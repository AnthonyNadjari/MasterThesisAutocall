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mfrapfo01\risk_cai$\EIS\EIS Structuring\9- Individual Folder\Stagiaires\Tom\Pricer &amp; Marcus\"/>
    </mc:Choice>
  </mc:AlternateContent>
  <bookViews>
    <workbookView xWindow="120" yWindow="210" windowWidth="37395" windowHeight="11505"/>
  </bookViews>
  <sheets>
    <sheet name="Main" sheetId="1" r:id="rId1"/>
    <sheet name="Data" sheetId="2" r:id="rId2"/>
    <sheet name="Data2" sheetId="4" r:id="rId3"/>
    <sheet name="Sheet3" sheetId="3" r:id="rId4"/>
    <sheet name="Vanille" sheetId="5" r:id="rId5"/>
  </sheets>
  <functionGroups builtInGroupCount="18"/>
  <externalReferences>
    <externalReference r:id="rId6"/>
  </externalReferences>
  <definedNames>
    <definedName name="BSGreeks?">Main!$M$18</definedName>
    <definedName name="CCy">Main!$D$5</definedName>
    <definedName name="CorrelVolSpot">Main!$D$33</definedName>
    <definedName name="cpn">Main!$D$20</definedName>
    <definedName name="cpn_barrier">Main!$D$19</definedName>
    <definedName name="Delta">Main!$M$10</definedName>
    <definedName name="DeltaHeston">Main!$M$26</definedName>
    <definedName name="DIVIDENDS_EU0009658145_FWD_C37">Main!$C$38:$J$213</definedName>
    <definedName name="DIVIDENDYIELDS_EU0009658145_FWD_B50">Data2!$B$51:$D$72</definedName>
    <definedName name="DIVIDENDYIELDS_EU0009658145_FWD_B79">Data2!$B$51:$D$75</definedName>
    <definedName name="DIVIDENDYIELDS_GB0001383545_FWD_B50">Data2!$B$51:$D$65</definedName>
    <definedName name="Duration">Main!$M$6</definedName>
    <definedName name="Duration_Heston">Main!$M$22</definedName>
    <definedName name="dvd">Main!$D$13</definedName>
    <definedName name="Exec_time">Main!$M$15</definedName>
    <definedName name="Exec_time_greeks">Main!$M$16</definedName>
    <definedName name="Exec_time_greeks_Heston">Main!$M$32</definedName>
    <definedName name="Exec_time2">Main!$M$31</definedName>
    <definedName name="freq">Main!$D$18</definedName>
    <definedName name="Funding">Main!$D$37</definedName>
    <definedName name="Gamma">Main!$M$11</definedName>
    <definedName name="GammaHeston">Main!$M$27</definedName>
    <definedName name="HEADERINDEX_EU0009658145_FWD_B109">Data2!$B$110:$C$114</definedName>
    <definedName name="HEADERINDEX_FR0003500008_FWD_B109">Data2!$B$110:$C$114</definedName>
    <definedName name="HGreeks?">Main!$M$34</definedName>
    <definedName name="INDEX_EU0009658145_FWD_B109">Data2!$B$116:$F$166</definedName>
    <definedName name="INDEX_FR0003500008_FWD_B109">Data2!$B$116:$F$156</definedName>
    <definedName name="Matu">Main!$D$6</definedName>
    <definedName name="nb_simul">Main!$D$27</definedName>
    <definedName name="Nominal">Main!$D$4</definedName>
    <definedName name="pdi_barrier">Main!$D$24</definedName>
    <definedName name="pdi_strike">Main!$D$23</definedName>
    <definedName name="PriceBS">Main!$M$5</definedName>
    <definedName name="PriceHeston">Main!$M$21</definedName>
    <definedName name="Prob_recall">Main!$M$7</definedName>
    <definedName name="Prob_recall2">Main!$M$23</definedName>
    <definedName name="PROPORTIONALDIVIDENDRATIO_EU0009658145_FWD_N28">Data!#REF!</definedName>
    <definedName name="PROPORTIONALDIVIDENDRATIO_FR0003500008_FWD_N28">Data!#REF!</definedName>
    <definedName name="RATECURVE_EUR_B16">Data2!$B$17:$D$42</definedName>
    <definedName name="RATECURVE_EUR_B44">Data2!$B$17:$D$42</definedName>
    <definedName name="RATECURVE_EUR_F16">Data2!$F$17:$H$45</definedName>
    <definedName name="RATECURVE_EUR_G16">Data2!$F$17:$H$45</definedName>
    <definedName name="RATECURVE_EUR_H16">Data2!$F$17:$H$45</definedName>
    <definedName name="RATECURVE_EUR_H44">Data2!$F$17:$H$45</definedName>
    <definedName name="RATECURVE_EUR_K16">Data2!$K$17:$M$42</definedName>
    <definedName name="RATECURVE_EUR_L16">Data2!$K$17:$M$42</definedName>
    <definedName name="RATECURVE_EUR_M16">Data2!$K$17:$M$42</definedName>
    <definedName name="RATECURVE_EUR_M44">Data2!$K$17:$M$42</definedName>
    <definedName name="recall_barrier">Main!$D$17</definedName>
    <definedName name="Recall_force">Main!$D$30</definedName>
    <definedName name="repo">Main!$D$14</definedName>
    <definedName name="REPOCURVE_EU0009658145_FWD_B19">Data2!#REF!</definedName>
    <definedName name="REPOCURVE_EU0009658145_FWD_F50">Data2!$F$51:$K$72</definedName>
    <definedName name="REPOCURVE_EU0009658145_FWD_G50">Data2!$F$51:$K$75</definedName>
    <definedName name="REPOCURVE_EU0009658145_FWD_H50">Data2!$F$51:$K$75</definedName>
    <definedName name="REPOCURVE_EU0009658145_FWD_H79">Data2!$F$51:$K$75</definedName>
    <definedName name="REPOCURVE_GB0001383545_FWD_G50">Data2!$F$51:$K$64</definedName>
    <definedName name="REPOCURVE_GB0001383545_FWD_H50">Data2!$F$51:$K$64</definedName>
    <definedName name="S0">Main!$D$10</definedName>
    <definedName name="State">Main!$G$17</definedName>
    <definedName name="TRANSCO_DAX_C4">Data2!$B$5:$C$11</definedName>
    <definedName name="TRANSCO_DAX_H32">Data!$H$33:$I$39</definedName>
    <definedName name="TRANSCO_SX5E_B4">Data2!$B$5:$C$11</definedName>
    <definedName name="TRANSCO_SX5E_C4">Data2!$B$5:$C$11</definedName>
    <definedName name="TRANSCO_UKX_B4">Data2!$B$5:$C$11</definedName>
    <definedName name="tx">Main!$D$12</definedName>
    <definedName name="Underlying_name">Main!$D$9</definedName>
    <definedName name="Vega">Main!$M$12</definedName>
    <definedName name="VegaHeston">Main!$M$28</definedName>
    <definedName name="vol">Main!$D$11</definedName>
    <definedName name="Vol_moy">Main!$D$31</definedName>
    <definedName name="Vol_vol">Main!$D$32</definedName>
    <definedName name="VOLATILITY_EU0009658145_FWD_B107">Data2!#REF!</definedName>
    <definedName name="VOLATILITY_EU0009658145_FWD_B81">Data2!$B$82:$AN$103</definedName>
    <definedName name="VOLATILITY_GB0001383545_FWD_B81">Data2!$B$82:$AN$98</definedName>
    <definedName name="VOLATILITYPARAMLASTUPDATETIME_EU0009658145_FWD_E4">Data2!$E$5:$E$6</definedName>
    <definedName name="VOLATILITYPARAMLASTUPDATETIME_FR0000045072_FWD_E4">Data2!$E$5:$E$6</definedName>
  </definedNames>
  <calcPr calcId="162913" calcMode="manual" calcCompleted="0" calcOnSave="0"/>
</workbook>
</file>

<file path=xl/calcChain.xml><?xml version="1.0" encoding="utf-8"?>
<calcChain xmlns="http://schemas.openxmlformats.org/spreadsheetml/2006/main">
  <c r="K2" i="5" l="1"/>
  <c r="D2" i="5"/>
  <c r="H4" i="1" l="1"/>
  <c r="H6" i="1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17" i="4"/>
  <c r="C2" i="5"/>
  <c r="B2" i="5"/>
  <c r="D10" i="1"/>
  <c r="K16" i="4"/>
  <c r="F16" i="4"/>
  <c r="E4" i="4"/>
  <c r="B4" i="4"/>
  <c r="F50" i="4"/>
  <c r="B16" i="4"/>
  <c r="B109" i="4"/>
  <c r="B81" i="4"/>
  <c r="B50" i="4"/>
  <c r="I2" i="5" l="1"/>
  <c r="N2" i="5" s="1"/>
  <c r="K80" i="4"/>
  <c r="Q80" i="4"/>
  <c r="AC80" i="4"/>
  <c r="C80" i="4"/>
  <c r="E80" i="4"/>
  <c r="R80" i="4"/>
  <c r="AD80" i="4"/>
  <c r="F80" i="4"/>
  <c r="S80" i="4"/>
  <c r="AE80" i="4"/>
  <c r="G80" i="4"/>
  <c r="T80" i="4"/>
  <c r="AF80" i="4"/>
  <c r="H80" i="4"/>
  <c r="U80" i="4"/>
  <c r="AG80" i="4"/>
  <c r="I80" i="4"/>
  <c r="V80" i="4"/>
  <c r="AH80" i="4"/>
  <c r="L80" i="4"/>
  <c r="AJ80" i="4"/>
  <c r="Y80" i="4"/>
  <c r="AK80" i="4"/>
  <c r="O80" i="4"/>
  <c r="AA80" i="4"/>
  <c r="AM80" i="4"/>
  <c r="P80" i="4"/>
  <c r="AB80" i="4"/>
  <c r="AN80" i="4"/>
  <c r="D80" i="4"/>
  <c r="J80" i="4"/>
  <c r="W80" i="4"/>
  <c r="AI80" i="4"/>
  <c r="X80" i="4"/>
  <c r="M80" i="4"/>
  <c r="N80" i="4"/>
  <c r="Z80" i="4"/>
  <c r="AL80" i="4"/>
  <c r="L101" i="3"/>
  <c r="N101" i="3" s="1"/>
  <c r="L100" i="3"/>
  <c r="N100" i="3" s="1"/>
  <c r="L99" i="3"/>
  <c r="N99" i="3" s="1"/>
  <c r="L98" i="3"/>
  <c r="N98" i="3" s="1"/>
  <c r="L97" i="3"/>
  <c r="N97" i="3" s="1"/>
  <c r="L96" i="3"/>
  <c r="N96" i="3" s="1"/>
  <c r="L95" i="3"/>
  <c r="N95" i="3" s="1"/>
  <c r="L94" i="3"/>
  <c r="N94" i="3" s="1"/>
  <c r="L93" i="3"/>
  <c r="N93" i="3" s="1"/>
  <c r="L92" i="3"/>
  <c r="N92" i="3" s="1"/>
  <c r="L91" i="3"/>
  <c r="N91" i="3" s="1"/>
  <c r="L90" i="3"/>
  <c r="N90" i="3" s="1"/>
  <c r="L89" i="3"/>
  <c r="N89" i="3" s="1"/>
  <c r="L88" i="3"/>
  <c r="N88" i="3" s="1"/>
  <c r="L87" i="3"/>
  <c r="N87" i="3" s="1"/>
  <c r="L86" i="3"/>
  <c r="N86" i="3" s="1"/>
  <c r="L85" i="3"/>
  <c r="N85" i="3" s="1"/>
  <c r="L84" i="3"/>
  <c r="N84" i="3" s="1"/>
  <c r="L83" i="3"/>
  <c r="N83" i="3" s="1"/>
  <c r="L82" i="3"/>
  <c r="N82" i="3" s="1"/>
  <c r="L81" i="3"/>
  <c r="N81" i="3" s="1"/>
  <c r="L80" i="3"/>
  <c r="N80" i="3" s="1"/>
  <c r="L79" i="3"/>
  <c r="N79" i="3" s="1"/>
  <c r="L78" i="3"/>
  <c r="N78" i="3" s="1"/>
  <c r="L77" i="3"/>
  <c r="N77" i="3" s="1"/>
  <c r="L76" i="3"/>
  <c r="N76" i="3" s="1"/>
  <c r="L75" i="3"/>
  <c r="N75" i="3" s="1"/>
  <c r="L74" i="3"/>
  <c r="N74" i="3" s="1"/>
  <c r="L73" i="3"/>
  <c r="N73" i="3" s="1"/>
  <c r="L72" i="3"/>
  <c r="N72" i="3" s="1"/>
  <c r="L71" i="3"/>
  <c r="N71" i="3" s="1"/>
  <c r="L70" i="3"/>
  <c r="N70" i="3" s="1"/>
  <c r="L69" i="3"/>
  <c r="N69" i="3" s="1"/>
  <c r="L68" i="3"/>
  <c r="N68" i="3" s="1"/>
  <c r="L67" i="3"/>
  <c r="N67" i="3" s="1"/>
  <c r="L66" i="3"/>
  <c r="N66" i="3" s="1"/>
  <c r="L65" i="3"/>
  <c r="N65" i="3" s="1"/>
  <c r="L64" i="3"/>
  <c r="N64" i="3" s="1"/>
  <c r="L63" i="3"/>
  <c r="N63" i="3" s="1"/>
  <c r="L62" i="3"/>
  <c r="N62" i="3" s="1"/>
  <c r="L61" i="3"/>
  <c r="N61" i="3" s="1"/>
  <c r="L60" i="3"/>
  <c r="N60" i="3" s="1"/>
  <c r="L59" i="3"/>
  <c r="N59" i="3" s="1"/>
  <c r="L58" i="3"/>
  <c r="N58" i="3" s="1"/>
  <c r="L57" i="3"/>
  <c r="N57" i="3" s="1"/>
  <c r="L56" i="3"/>
  <c r="N56" i="3" s="1"/>
  <c r="L55" i="3"/>
  <c r="N55" i="3" s="1"/>
  <c r="L54" i="3"/>
  <c r="N54" i="3" s="1"/>
  <c r="L53" i="3"/>
  <c r="N53" i="3" s="1"/>
  <c r="L52" i="3"/>
  <c r="N52" i="3" s="1"/>
  <c r="L51" i="3"/>
  <c r="N51" i="3" s="1"/>
  <c r="L50" i="3"/>
  <c r="N50" i="3" s="1"/>
  <c r="L49" i="3"/>
  <c r="N49" i="3" s="1"/>
  <c r="L48" i="3"/>
  <c r="N48" i="3" s="1"/>
  <c r="L47" i="3"/>
  <c r="N47" i="3" s="1"/>
  <c r="L46" i="3"/>
  <c r="N46" i="3" s="1"/>
  <c r="L45" i="3"/>
  <c r="N45" i="3" s="1"/>
  <c r="L44" i="3"/>
  <c r="N44" i="3" s="1"/>
  <c r="L43" i="3"/>
  <c r="N43" i="3" s="1"/>
  <c r="L42" i="3"/>
  <c r="N42" i="3" s="1"/>
  <c r="L41" i="3"/>
  <c r="N41" i="3" s="1"/>
  <c r="L40" i="3"/>
  <c r="N40" i="3" s="1"/>
  <c r="L39" i="3"/>
  <c r="N39" i="3" s="1"/>
  <c r="L38" i="3"/>
  <c r="N38" i="3" s="1"/>
  <c r="L37" i="3"/>
  <c r="N37" i="3" s="1"/>
  <c r="L36" i="3"/>
  <c r="N36" i="3" s="1"/>
  <c r="L35" i="3"/>
  <c r="N35" i="3" s="1"/>
  <c r="L34" i="3"/>
  <c r="N34" i="3" s="1"/>
  <c r="L33" i="3"/>
  <c r="N33" i="3" s="1"/>
  <c r="L32" i="3"/>
  <c r="N32" i="3" s="1"/>
  <c r="L31" i="3"/>
  <c r="N31" i="3" s="1"/>
  <c r="L30" i="3"/>
  <c r="N30" i="3" s="1"/>
  <c r="L29" i="3"/>
  <c r="N29" i="3" s="1"/>
  <c r="L28" i="3"/>
  <c r="N28" i="3" s="1"/>
  <c r="L27" i="3"/>
  <c r="N27" i="3" s="1"/>
  <c r="L26" i="3"/>
  <c r="N26" i="3" s="1"/>
  <c r="L25" i="3"/>
  <c r="N25" i="3" s="1"/>
  <c r="L24" i="3"/>
  <c r="N24" i="3" s="1"/>
  <c r="L23" i="3"/>
  <c r="N23" i="3" s="1"/>
  <c r="L22" i="3"/>
  <c r="N22" i="3" s="1"/>
  <c r="L21" i="3"/>
  <c r="N21" i="3" s="1"/>
  <c r="L20" i="3"/>
  <c r="N20" i="3" s="1"/>
  <c r="L19" i="3"/>
  <c r="N19" i="3" s="1"/>
  <c r="L18" i="3"/>
  <c r="N18" i="3" s="1"/>
  <c r="L17" i="3"/>
  <c r="N17" i="3" s="1"/>
  <c r="L16" i="3"/>
  <c r="N16" i="3" s="1"/>
  <c r="L15" i="3"/>
  <c r="N15" i="3" s="1"/>
  <c r="L14" i="3"/>
  <c r="N14" i="3" s="1"/>
  <c r="L13" i="3"/>
  <c r="N13" i="3" s="1"/>
  <c r="L12" i="3"/>
  <c r="N12" i="3" s="1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L2" i="3"/>
  <c r="N2" i="3" s="1"/>
  <c r="L3" i="3"/>
  <c r="M2" i="5" l="1"/>
  <c r="O2" i="5"/>
  <c r="P2" i="5"/>
  <c r="H5" i="1"/>
  <c r="H7" i="1"/>
  <c r="N3" i="3"/>
  <c r="Q2" i="5" l="1"/>
  <c r="U2" i="5" l="1"/>
  <c r="R2" i="5"/>
  <c r="S2" i="5"/>
  <c r="T2" i="5" l="1"/>
  <c r="V2" i="5"/>
  <c r="W2" i="5" l="1"/>
</calcChain>
</file>

<file path=xl/comments1.xml><?xml version="1.0" encoding="utf-8"?>
<comments xmlns="http://schemas.openxmlformats.org/spreadsheetml/2006/main">
  <authors>
    <author>NADJARI, Anthony (CA-CIB)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  <comment ref="F16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  <comment ref="B50" authorId="0" shapeId="0">
      <text>
        <r>
          <rPr>
            <b/>
            <sz val="9"/>
            <color indexed="81"/>
            <rFont val="Tahoma"/>
            <family val="2"/>
          </rPr>
          <t>1/1/0001 12:00:00 AM</t>
        </r>
      </text>
    </comment>
    <comment ref="F50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  <comment ref="B115" authorId="0" shapeId="0">
      <text>
        <r>
          <rPr>
            <b/>
            <sz val="9"/>
            <color indexed="81"/>
            <rFont val="Tahoma"/>
            <family val="2"/>
          </rPr>
          <t>4/8/2021 10:03:46 AM</t>
        </r>
      </text>
    </comment>
  </commentList>
</comments>
</file>

<file path=xl/sharedStrings.xml><?xml version="1.0" encoding="utf-8"?>
<sst xmlns="http://schemas.openxmlformats.org/spreadsheetml/2006/main" count="367" uniqueCount="253">
  <si>
    <t>Nominal</t>
  </si>
  <si>
    <t>Spot</t>
  </si>
  <si>
    <t>Taux</t>
  </si>
  <si>
    <t>Div Yield</t>
  </si>
  <si>
    <t>Repo</t>
  </si>
  <si>
    <t>Recall Barrier</t>
  </si>
  <si>
    <t>Maturity</t>
  </si>
  <si>
    <t>Autocall</t>
  </si>
  <si>
    <t>PDI</t>
  </si>
  <si>
    <t>PDI strike</t>
  </si>
  <si>
    <t>PDI Barrier</t>
  </si>
  <si>
    <t>Underlying</t>
  </si>
  <si>
    <t>Name</t>
  </si>
  <si>
    <t>SX5E</t>
  </si>
  <si>
    <t>Price</t>
  </si>
  <si>
    <t>Delta</t>
  </si>
  <si>
    <t>Gamma</t>
  </si>
  <si>
    <t>Vega</t>
  </si>
  <si>
    <t>Strike Date</t>
  </si>
  <si>
    <t>Last obs date</t>
  </si>
  <si>
    <t>Vol</t>
  </si>
  <si>
    <t>Perf</t>
  </si>
  <si>
    <t>Coupon</t>
  </si>
  <si>
    <t>Coupon Barrier</t>
  </si>
  <si>
    <t>Inputs</t>
  </si>
  <si>
    <t>Outputs</t>
  </si>
  <si>
    <t>Sensibiltiés</t>
  </si>
  <si>
    <t>Calcul Grecques ?</t>
  </si>
  <si>
    <t>Heston</t>
  </si>
  <si>
    <t>No</t>
  </si>
  <si>
    <t>Pricer ready</t>
  </si>
  <si>
    <t>Models Parameters</t>
  </si>
  <si>
    <t>Nb simulations</t>
  </si>
  <si>
    <t>Diffusion de la vol</t>
  </si>
  <si>
    <t>Black Scholes</t>
  </si>
  <si>
    <t>Vol of Vol</t>
  </si>
  <si>
    <t>Average Vol</t>
  </si>
  <si>
    <t>Correl Vol Spot</t>
  </si>
  <si>
    <t>Sensibilties</t>
  </si>
  <si>
    <t>Early Redem Prob</t>
  </si>
  <si>
    <t>Recall Force</t>
  </si>
  <si>
    <t>Execution time</t>
  </si>
  <si>
    <t>Pricing</t>
  </si>
  <si>
    <t>Greeks computation</t>
  </si>
  <si>
    <t>Average simulation</t>
  </si>
  <si>
    <t>Frequency (y)</t>
  </si>
  <si>
    <t>Date</t>
  </si>
  <si>
    <t>Recall Prob</t>
  </si>
  <si>
    <t>RATE CURVES</t>
  </si>
  <si>
    <t>EUR</t>
  </si>
  <si>
    <t>RATE CURVE E3M</t>
  </si>
  <si>
    <t>ZC (Continuous-Act/365F)</t>
  </si>
  <si>
    <t>DF</t>
  </si>
  <si>
    <t>Forward</t>
  </si>
  <si>
    <t>Issue Date</t>
  </si>
  <si>
    <t>Maturity Date</t>
  </si>
  <si>
    <t>Duration</t>
  </si>
  <si>
    <t>Maturity (y)</t>
  </si>
  <si>
    <t>Payoff</t>
  </si>
  <si>
    <t>payoff actualisé</t>
  </si>
  <si>
    <t>payoff final</t>
  </si>
  <si>
    <t>nb coupon</t>
  </si>
  <si>
    <t>maturité</t>
  </si>
  <si>
    <t>an 0</t>
  </si>
  <si>
    <t>an 1</t>
  </si>
  <si>
    <t>an 2</t>
  </si>
  <si>
    <t>an 3</t>
  </si>
  <si>
    <t>Obs 1</t>
  </si>
  <si>
    <t>Obs 2</t>
  </si>
  <si>
    <t>Obs 3</t>
  </si>
  <si>
    <t>Obs 4</t>
  </si>
  <si>
    <t>Obs 5</t>
  </si>
  <si>
    <t>Obs 6</t>
  </si>
  <si>
    <t>Obs 7</t>
  </si>
  <si>
    <t>Obs 8</t>
  </si>
  <si>
    <t>Obs 9</t>
  </si>
  <si>
    <t>Obs 10</t>
  </si>
  <si>
    <t>Obs</t>
  </si>
  <si>
    <t>Recall Proba</t>
  </si>
  <si>
    <t>EU0009658145-FWD</t>
  </si>
  <si>
    <t>Mat\Strike</t>
  </si>
  <si>
    <t>Rate</t>
  </si>
  <si>
    <t>Funding Spread</t>
  </si>
  <si>
    <t>E3M</t>
  </si>
  <si>
    <t>Currency</t>
  </si>
  <si>
    <t>EMTN</t>
  </si>
  <si>
    <t>Yes</t>
  </si>
  <si>
    <t>Reference Type</t>
  </si>
  <si>
    <t>Reference</t>
  </si>
  <si>
    <t>Bloomberg</t>
  </si>
  <si>
    <t>ISIN</t>
  </si>
  <si>
    <t>Reuters</t>
  </si>
  <si>
    <t>SophisCode</t>
  </si>
  <si>
    <t>SophisName</t>
  </si>
  <si>
    <t>SophisRef</t>
  </si>
  <si>
    <t>EU0009658145</t>
  </si>
  <si>
    <t>.STOXX50E</t>
  </si>
  <si>
    <t>1300526880</t>
  </si>
  <si>
    <t>DOW JONES EUROSTOXX 50-FWD</t>
  </si>
  <si>
    <t>SX5E - ALL</t>
  </si>
  <si>
    <t>Maturity In Days</t>
  </si>
  <si>
    <t>Ask</t>
  </si>
  <si>
    <t>Bid</t>
  </si>
  <si>
    <t>Cost</t>
  </si>
  <si>
    <t>Period</t>
  </si>
  <si>
    <t>0</t>
  </si>
  <si>
    <t>EUR - OIS EUR MULTICURVES</t>
  </si>
  <si>
    <t>EUR - EONIA</t>
  </si>
  <si>
    <t>Yield Value</t>
  </si>
  <si>
    <t>Credit Tax Paid</t>
  </si>
  <si>
    <t>RATES</t>
  </si>
  <si>
    <t>References</t>
  </si>
  <si>
    <t>EU0009658145-FWD - CALLMARKET</t>
  </si>
  <si>
    <t>Relative level</t>
  </si>
  <si>
    <t>Last Update Time</t>
  </si>
  <si>
    <t>Capitalized</t>
  </si>
  <si>
    <t>Basis</t>
  </si>
  <si>
    <t>CurrencyTreatment</t>
  </si>
  <si>
    <t>Quanto</t>
  </si>
  <si>
    <t>Lambda</t>
  </si>
  <si>
    <t>COMPOSITION</t>
  </si>
  <si>
    <t>Quantity</t>
  </si>
  <si>
    <t>GuaranteedForexSpot</t>
  </si>
  <si>
    <t>Strike</t>
  </si>
  <si>
    <t>Div</t>
  </si>
  <si>
    <t>Instr. Type</t>
  </si>
  <si>
    <t>Proxy BS</t>
  </si>
  <si>
    <t>Close Form</t>
  </si>
  <si>
    <t>N(d1)</t>
  </si>
  <si>
    <t>N(d2)</t>
  </si>
  <si>
    <t>Mat (y)</t>
  </si>
  <si>
    <t>d1</t>
  </si>
  <si>
    <t>d2</t>
  </si>
  <si>
    <t>ln(S/K)</t>
  </si>
  <si>
    <t>vol*sqrt(t)</t>
  </si>
  <si>
    <t>MC Price</t>
  </si>
  <si>
    <t>t*(r-q-d+vol^2/2)</t>
  </si>
  <si>
    <t>N(-d1)</t>
  </si>
  <si>
    <t>N(-d2)</t>
  </si>
  <si>
    <t>Barrier</t>
  </si>
  <si>
    <t>3.31 sec</t>
  </si>
  <si>
    <t>ADIDAS AG-FWD</t>
  </si>
  <si>
    <t>DE000A1EWWW0-IBIS-FWD</t>
  </si>
  <si>
    <t>ADYEN NV-FWD</t>
  </si>
  <si>
    <t>NL0012969182-AEXE-FWD</t>
  </si>
  <si>
    <t>AIR LIQUIDE SA-FWD</t>
  </si>
  <si>
    <t>FR0000120073-COCA-FWD</t>
  </si>
  <si>
    <t>AIRBUS SE-FWD</t>
  </si>
  <si>
    <t>NL0000235190-COCA-FWD</t>
  </si>
  <si>
    <t>ALLIANZ SE-REG-FWD</t>
  </si>
  <si>
    <t>DE0008404005-IBIS-FWD</t>
  </si>
  <si>
    <t>AMADEUS IT GROUP SA-FWD</t>
  </si>
  <si>
    <t>ES0109067019-CONT-FWD</t>
  </si>
  <si>
    <t>ANHEUSER-BUSCH INBEV-FWD</t>
  </si>
  <si>
    <t>BE0974293251-FWD</t>
  </si>
  <si>
    <t>ASM LITHOGRAPHY HLDG NV-FWD</t>
  </si>
  <si>
    <t>NL0010273215-FWD</t>
  </si>
  <si>
    <t>AXA SA-FWD</t>
  </si>
  <si>
    <t>FR0000120628-COCA-FWD</t>
  </si>
  <si>
    <t>BANCO SANTANDER-FWD</t>
  </si>
  <si>
    <t>ES0113900J37-FWD</t>
  </si>
  <si>
    <t>BASF AG IBIS-FWD</t>
  </si>
  <si>
    <t>DE000BASF111-IBIS-FWD</t>
  </si>
  <si>
    <t>BAYER AG FRANKFURT-FWD</t>
  </si>
  <si>
    <t>DE000BAY0017-IBIS-FWD</t>
  </si>
  <si>
    <t>BMW AG-FWD</t>
  </si>
  <si>
    <t>DE0005190003-FWD</t>
  </si>
  <si>
    <t>BNP PARIBAS-FWD</t>
  </si>
  <si>
    <t>FR0000131104-COCA-FWD</t>
  </si>
  <si>
    <t>CRH PLC-FWD</t>
  </si>
  <si>
    <t>IE0001827041-ISE--FWD</t>
  </si>
  <si>
    <t>DAIMLER AG-FWD</t>
  </si>
  <si>
    <t>DE0007100000-FWD</t>
  </si>
  <si>
    <t>DANONE-FWD</t>
  </si>
  <si>
    <t>FR0000120644-FWD</t>
  </si>
  <si>
    <t>DEUTSCHE BOERSE AG-FWD</t>
  </si>
  <si>
    <t>DE0005810055-IBIS-FWD</t>
  </si>
  <si>
    <t>DEUTSCHE POST AG-REG-FWD</t>
  </si>
  <si>
    <t>DE0005552004-IBIS-FWD</t>
  </si>
  <si>
    <t>DEUTSCHE TELEKOM AG-REG-FWD</t>
  </si>
  <si>
    <t>DE0005557508-FWD</t>
  </si>
  <si>
    <t>ENEL SPA-FWD</t>
  </si>
  <si>
    <t>IT0003128367-FWD</t>
  </si>
  <si>
    <t>ENGIE-FWD</t>
  </si>
  <si>
    <t>FR0010208488-FWD</t>
  </si>
  <si>
    <t>ENI SPA-FWD</t>
  </si>
  <si>
    <t>IT0003132476-FWD</t>
  </si>
  <si>
    <t>ESSILORLUXOTTICA-FWD</t>
  </si>
  <si>
    <t>FR0000121667-FWD</t>
  </si>
  <si>
    <t>FLUTTER ENTERTAINMENT PLC-DI-FWD</t>
  </si>
  <si>
    <t>IE00BWT6H894-ISE--FWD</t>
  </si>
  <si>
    <t>IBERDROLA-FWD</t>
  </si>
  <si>
    <t>ES0144580Y14-FWD</t>
  </si>
  <si>
    <t>INDUSTRIA DE DISENO TEXTIL-FWD</t>
  </si>
  <si>
    <t>ES0148396007-CONT-FWD</t>
  </si>
  <si>
    <t>INFINEON TECHNOLOGIES AG-FWD</t>
  </si>
  <si>
    <t>DE0006231004-IBIS-FWD</t>
  </si>
  <si>
    <t>ING GROEP NV-FWD</t>
  </si>
  <si>
    <t>NL0011821202-FWD</t>
  </si>
  <si>
    <t>INTESA SANPAOLO-FWD-RESTRICTED</t>
  </si>
  <si>
    <t>IT0000072618-FWD</t>
  </si>
  <si>
    <t>KERING (EX-PPR)-FWD</t>
  </si>
  <si>
    <t>FR0000121485-FWD</t>
  </si>
  <si>
    <t>KONE OYJ-B-FWD</t>
  </si>
  <si>
    <t>FI0009013403-FIOT-FWD</t>
  </si>
  <si>
    <t>KONINKLIJKE AHOLD DELHAIZE N-FWD</t>
  </si>
  <si>
    <t>NL0011794037-AEXE-FWD</t>
  </si>
  <si>
    <t>KONINKLIJKE PHILIPS NV-FWD</t>
  </si>
  <si>
    <t>NL0000009538-FWD</t>
  </si>
  <si>
    <t>L OREAL-FWD</t>
  </si>
  <si>
    <t>FR0000120321-FWD</t>
  </si>
  <si>
    <t>LINDE PLC-FWD</t>
  </si>
  <si>
    <t>IE00BZ12WP82-IBIS-FWD</t>
  </si>
  <si>
    <t>LVMH MOET HENNESSY-FWD</t>
  </si>
  <si>
    <t>FR0000121014-FWD</t>
  </si>
  <si>
    <t>MUENCHENER RUECKVER AG-FWD</t>
  </si>
  <si>
    <t>DE0008430026-FWD</t>
  </si>
  <si>
    <t>PERNOD RICARD-FWD</t>
  </si>
  <si>
    <t>FR0000120693-FWD</t>
  </si>
  <si>
    <t>PROSUS NV-FWD</t>
  </si>
  <si>
    <t>NL0013654783-AEXE-FWD</t>
  </si>
  <si>
    <t>SAFRAN SA-FWD</t>
  </si>
  <si>
    <t>FR0000073272-COCA-FWD</t>
  </si>
  <si>
    <t>SANOFI-FWD</t>
  </si>
  <si>
    <t>FR0000120578-FWD</t>
  </si>
  <si>
    <t>SAP AG-FWD</t>
  </si>
  <si>
    <t>DE0007164600-FWD</t>
  </si>
  <si>
    <t>SCHNEIDER ELECTRIC SA-FWD</t>
  </si>
  <si>
    <t>FR0000121972-FWD</t>
  </si>
  <si>
    <t>SIEMENS AG FRANKFURT-FWD</t>
  </si>
  <si>
    <t>DE0007236101-IBIS-FWD</t>
  </si>
  <si>
    <t>TOTAL SA-FWD</t>
  </si>
  <si>
    <t>FR0000120271-FWD</t>
  </si>
  <si>
    <t>VINCI -FWD</t>
  </si>
  <si>
    <t>FR0000125486-FWD</t>
  </si>
  <si>
    <t>VIVENDI SA-FWD</t>
  </si>
  <si>
    <t>FR0000127771-FWD</t>
  </si>
  <si>
    <t>VOLKSWAGEN AG PREF-FWD</t>
  </si>
  <si>
    <t>DE0007664039-FWD</t>
  </si>
  <si>
    <t>VONOVIA SE-FWD</t>
  </si>
  <si>
    <t>DE000A1ML7J1-IBIS-FWD</t>
  </si>
  <si>
    <t>Obs 11</t>
  </si>
  <si>
    <t>Obs 12</t>
  </si>
  <si>
    <t>Obs 13</t>
  </si>
  <si>
    <t>Obs 14</t>
  </si>
  <si>
    <t>Obs 15</t>
  </si>
  <si>
    <t>Obs 16</t>
  </si>
  <si>
    <t>Obs 17</t>
  </si>
  <si>
    <t>Obs 18</t>
  </si>
  <si>
    <t>Obs 19</t>
  </si>
  <si>
    <t>Obs 20</t>
  </si>
  <si>
    <t>3.40 sec</t>
  </si>
  <si>
    <t>4.98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</si>
</sst>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_(* #,##0.00_);_(* \(#,##0.00\);_(* &quot;-&quot;??_);_(@_)"/>
    <numFmt numFmtId="166" formatCode="[$-F800]dddd\,\ mmmm\ dd\,\ yyyy"/>
    <numFmt numFmtId="167" formatCode="0.0%"/>
    <numFmt numFmtId="168" formatCode="_-* #,##0\ &quot;€&quot;_-;\-* #,##0\ &quot;€&quot;_-;_-* &quot;-&quot;??\ &quot;€&quot;_-;_-@_-"/>
    <numFmt numFmtId="169" formatCode="0.000"/>
    <numFmt numFmtId="170" formatCode="dd\ mmmyy"/>
    <numFmt numFmtId="171" formatCode="dd\ mmmyy\ hh:mm"/>
    <numFmt numFmtId="172" formatCode="_([$€-2]* #,##0.00_);_([$€-2]* \(#,##0.00\);_([$€-2]* &quot;-&quot;??_)"/>
    <numFmt numFmtId="173" formatCode="_-* #,##0.0000_-;\-* #,##0.0000_-;_-* &quot;-&quot;??_-;_-@_-"/>
  </numFmts>
  <fonts count="29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00B05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Helv"/>
    </font>
    <font>
      <sz val="12"/>
      <name val="¹UAAA¼"/>
      <family val="3"/>
    </font>
    <font>
      <sz val="10"/>
      <name val="Univers (WN)"/>
      <family val="2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u/>
      <sz val="10"/>
      <color indexed="12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</font>
    <font>
      <sz val="8"/>
      <name val="Tahoma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12"/>
      <name val="Tahoma"/>
      <family val="2"/>
    </font>
    <font>
      <b/>
      <sz val="9"/>
      <name val="Tahoma"/>
      <family val="2"/>
    </font>
    <font>
      <b/>
      <sz val="9"/>
      <color indexed="42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u/>
      <sz val="11"/>
      <color theme="1"/>
      <name val="Arial"/>
      <family val="2"/>
    </font>
    <font>
      <b/>
      <sz val="10"/>
      <color indexed="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8000"/>
        <bgColor indexed="24"/>
      </patternFill>
    </fill>
    <fill>
      <patternFill patternType="solid">
        <fgColor indexed="9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rgb="FFA9A9A9"/>
        <bgColor indexed="24"/>
      </patternFill>
    </fill>
    <fill>
      <patternFill patternType="solid">
        <fgColor indexed="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</borders>
  <cellStyleXfs count="212">
    <xf numFmtId="0" fontId="0" fillId="0" borderId="0"/>
    <xf numFmtId="9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8" fillId="0" borderId="0" applyFont="0" applyFill="0" applyBorder="0" applyAlignment="0" applyProtection="0"/>
    <xf numFmtId="0" fontId="1" fillId="0" borderId="0"/>
    <xf numFmtId="43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8" fillId="0" borderId="0"/>
    <xf numFmtId="9" fontId="8" fillId="0" borderId="0" applyFont="0" applyFill="0" applyBorder="0" applyAlignment="0" applyProtection="0"/>
    <xf numFmtId="0" fontId="22" fillId="14" borderId="0"/>
    <xf numFmtId="43" fontId="8" fillId="0" borderId="0" applyFont="0" applyFill="0" applyBorder="0" applyAlignment="0" applyProtection="0"/>
    <xf numFmtId="0" fontId="22" fillId="15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  <xf numFmtId="0" fontId="23" fillId="15" borderId="0"/>
    <xf numFmtId="9" fontId="8" fillId="0" borderId="0" applyFont="0" applyFill="0" applyBorder="0" applyAlignment="0" applyProtection="0"/>
    <xf numFmtId="0" fontId="11" fillId="0" borderId="0"/>
    <xf numFmtId="0" fontId="8" fillId="0" borderId="0"/>
    <xf numFmtId="0" fontId="8" fillId="0" borderId="0"/>
    <xf numFmtId="0" fontId="1" fillId="0" borderId="0"/>
    <xf numFmtId="170" fontId="20" fillId="0" borderId="0" applyFont="0" applyFill="0" applyBorder="0" applyAlignment="0" applyProtection="0"/>
    <xf numFmtId="0" fontId="11" fillId="0" borderId="0"/>
    <xf numFmtId="0" fontId="8" fillId="0" borderId="0"/>
    <xf numFmtId="172" fontId="8" fillId="0" borderId="0" applyFont="0" applyFill="0" applyBorder="0" applyAlignment="0" applyProtection="0"/>
    <xf numFmtId="0" fontId="21" fillId="11" borderId="0">
      <alignment vertical="center"/>
    </xf>
    <xf numFmtId="9" fontId="19" fillId="0" borderId="0" applyFont="0" applyFill="0" applyBorder="0" applyAlignment="0" applyProtection="0"/>
    <xf numFmtId="0" fontId="26" fillId="16" borderId="42">
      <protection locked="0"/>
    </xf>
    <xf numFmtId="43" fontId="8" fillId="0" borderId="0" applyFont="0" applyFill="0" applyBorder="0" applyAlignment="0" applyProtection="0"/>
    <xf numFmtId="0" fontId="1" fillId="0" borderId="0"/>
    <xf numFmtId="0" fontId="11" fillId="0" borderId="0"/>
    <xf numFmtId="0" fontId="1" fillId="0" borderId="0"/>
    <xf numFmtId="0" fontId="23" fillId="15" borderId="0"/>
    <xf numFmtId="43" fontId="8" fillId="0" borderId="0" applyFont="0" applyFill="0" applyBorder="0" applyAlignment="0" applyProtection="0"/>
    <xf numFmtId="0" fontId="22" fillId="15" borderId="0"/>
    <xf numFmtId="0" fontId="8" fillId="0" borderId="0"/>
    <xf numFmtId="43" fontId="8" fillId="0" borderId="0" applyFont="0" applyFill="0" applyBorder="0" applyAlignment="0" applyProtection="0"/>
    <xf numFmtId="0" fontId="18" fillId="0" borderId="0"/>
    <xf numFmtId="0" fontId="19" fillId="0" borderId="0"/>
    <xf numFmtId="0" fontId="24" fillId="17" borderId="0"/>
    <xf numFmtId="0" fontId="1" fillId="0" borderId="0"/>
    <xf numFmtId="0" fontId="11" fillId="0" borderId="0"/>
    <xf numFmtId="0" fontId="20" fillId="15" borderId="0"/>
    <xf numFmtId="0" fontId="16" fillId="0" borderId="0" applyNumberFormat="0" applyFill="0" applyBorder="0" applyAlignment="0" applyProtection="0">
      <alignment vertical="top"/>
      <protection locked="0"/>
    </xf>
    <xf numFmtId="0" fontId="20" fillId="13" borderId="0">
      <protection locked="0"/>
    </xf>
    <xf numFmtId="0" fontId="23" fillId="15" borderId="0"/>
    <xf numFmtId="171" fontId="23" fillId="15" borderId="0" applyFont="0" applyFill="0" applyBorder="0" applyAlignment="0" applyProtection="0">
      <alignment vertical="center"/>
    </xf>
    <xf numFmtId="0" fontId="1" fillId="0" borderId="0"/>
    <xf numFmtId="0" fontId="20" fillId="6" borderId="0"/>
    <xf numFmtId="43" fontId="8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5" fillId="6" borderId="0"/>
    <xf numFmtId="0" fontId="8" fillId="0" borderId="0"/>
    <xf numFmtId="0" fontId="1" fillId="0" borderId="0"/>
    <xf numFmtId="0" fontId="1" fillId="0" borderId="0"/>
  </cellStyleXfs>
  <cellXfs count="169">
    <xf numFmtId="0" fontId="0" fillId="0" borderId="0" xfId="0"/>
    <xf numFmtId="0" fontId="0" fillId="3" borderId="0" xfId="0" applyFill="1"/>
    <xf numFmtId="0" fontId="0" fillId="2" borderId="3" xfId="0" applyFill="1" applyBorder="1"/>
    <xf numFmtId="0" fontId="0" fillId="2" borderId="5" xfId="0" applyFill="1" applyBorder="1"/>
    <xf numFmtId="2" fontId="0" fillId="0" borderId="0" xfId="1" applyNumberFormat="1" applyFont="1" applyAlignment="1">
      <alignment horizontal="center"/>
    </xf>
    <xf numFmtId="2" fontId="0" fillId="0" borderId="0" xfId="1" applyNumberFormat="1" applyFont="1"/>
    <xf numFmtId="0" fontId="0" fillId="2" borderId="4" xfId="0" applyFill="1" applyBorder="1" applyAlignment="1">
      <alignment horizontal="right"/>
    </xf>
    <xf numFmtId="0" fontId="0" fillId="3" borderId="0" xfId="0" applyFill="1" applyBorder="1"/>
    <xf numFmtId="0" fontId="5" fillId="2" borderId="4" xfId="0" applyFont="1" applyFill="1" applyBorder="1" applyAlignment="1">
      <alignment horizontal="center"/>
    </xf>
    <xf numFmtId="0" fontId="4" fillId="2" borderId="3" xfId="0" applyFont="1" applyFill="1" applyBorder="1"/>
    <xf numFmtId="0" fontId="0" fillId="2" borderId="3" xfId="0" applyFont="1" applyFill="1" applyBorder="1"/>
    <xf numFmtId="2" fontId="0" fillId="2" borderId="4" xfId="0" applyNumberFormat="1" applyFill="1" applyBorder="1" applyAlignment="1">
      <alignment horizontal="center"/>
    </xf>
    <xf numFmtId="10" fontId="0" fillId="2" borderId="4" xfId="0" applyNumberFormat="1" applyFill="1" applyBorder="1" applyAlignment="1">
      <alignment horizontal="right"/>
    </xf>
    <xf numFmtId="10" fontId="5" fillId="2" borderId="4" xfId="1" applyNumberFormat="1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9" fontId="0" fillId="2" borderId="4" xfId="0" applyNumberFormat="1" applyFill="1" applyBorder="1" applyAlignment="1">
      <alignment horizontal="center"/>
    </xf>
    <xf numFmtId="0" fontId="0" fillId="2" borderId="1" xfId="0" applyFill="1" applyBorder="1"/>
    <xf numFmtId="0" fontId="3" fillId="2" borderId="4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2" fontId="0" fillId="0" borderId="8" xfId="1" applyNumberFormat="1" applyFont="1" applyBorder="1" applyAlignment="1">
      <alignment horizontal="center"/>
    </xf>
    <xf numFmtId="2" fontId="0" fillId="0" borderId="0" xfId="1" applyNumberFormat="1" applyFont="1" applyBorder="1"/>
    <xf numFmtId="2" fontId="0" fillId="0" borderId="0" xfId="1" applyNumberFormat="1" applyFont="1" applyBorder="1" applyAlignment="1">
      <alignment horizontal="center"/>
    </xf>
    <xf numFmtId="2" fontId="3" fillId="0" borderId="9" xfId="1" applyNumberFormat="1" applyFont="1" applyBorder="1" applyAlignment="1">
      <alignment horizontal="center"/>
    </xf>
    <xf numFmtId="10" fontId="0" fillId="0" borderId="8" xfId="1" applyNumberFormat="1" applyFont="1" applyBorder="1" applyAlignment="1">
      <alignment horizontal="center"/>
    </xf>
    <xf numFmtId="10" fontId="3" fillId="0" borderId="9" xfId="1" applyNumberFormat="1" applyFont="1" applyBorder="1" applyAlignment="1">
      <alignment horizontal="center"/>
    </xf>
    <xf numFmtId="10" fontId="0" fillId="0" borderId="0" xfId="1" applyNumberFormat="1" applyFont="1"/>
    <xf numFmtId="14" fontId="3" fillId="0" borderId="9" xfId="1" applyNumberFormat="1" applyFont="1" applyBorder="1" applyAlignment="1">
      <alignment horizontal="center"/>
    </xf>
    <xf numFmtId="14" fontId="0" fillId="0" borderId="8" xfId="1" applyNumberFormat="1" applyFont="1" applyBorder="1" applyAlignment="1">
      <alignment horizontal="center"/>
    </xf>
    <xf numFmtId="14" fontId="0" fillId="0" borderId="0" xfId="1" applyNumberFormat="1" applyFont="1" applyAlignment="1">
      <alignment horizontal="center"/>
    </xf>
    <xf numFmtId="0" fontId="8" fillId="0" borderId="14" xfId="19" applyBorder="1" applyAlignment="1">
      <alignment horizontal="center"/>
    </xf>
    <xf numFmtId="0" fontId="8" fillId="6" borderId="12" xfId="19" applyFill="1" applyBorder="1" applyAlignment="1">
      <alignment horizontal="center"/>
    </xf>
    <xf numFmtId="14" fontId="8" fillId="0" borderId="13" xfId="19" applyNumberFormat="1" applyBorder="1" applyAlignment="1">
      <alignment horizontal="center"/>
    </xf>
    <xf numFmtId="0" fontId="8" fillId="0" borderId="14" xfId="19" applyBorder="1"/>
    <xf numFmtId="0" fontId="8" fillId="0" borderId="0" xfId="19" applyAlignment="1">
      <alignment horizontal="center"/>
    </xf>
    <xf numFmtId="0" fontId="8" fillId="0" borderId="16" xfId="19" applyBorder="1"/>
    <xf numFmtId="0" fontId="8" fillId="0" borderId="0" xfId="19" applyBorder="1" applyAlignment="1">
      <alignment horizontal="center"/>
    </xf>
    <xf numFmtId="10" fontId="8" fillId="0" borderId="8" xfId="19" applyNumberFormat="1" applyBorder="1" applyAlignment="1">
      <alignment horizontal="center"/>
    </xf>
    <xf numFmtId="10" fontId="8" fillId="0" borderId="17" xfId="19" applyNumberFormat="1" applyBorder="1" applyAlignment="1">
      <alignment horizontal="center"/>
    </xf>
    <xf numFmtId="14" fontId="8" fillId="0" borderId="13" xfId="19" applyNumberFormat="1" applyBorder="1"/>
    <xf numFmtId="14" fontId="8" fillId="0" borderId="15" xfId="19" applyNumberFormat="1" applyBorder="1"/>
    <xf numFmtId="0" fontId="8" fillId="6" borderId="10" xfId="19" applyFill="1" applyBorder="1" applyAlignment="1">
      <alignment horizontal="center"/>
    </xf>
    <xf numFmtId="0" fontId="8" fillId="6" borderId="11" xfId="19" applyFill="1" applyBorder="1" applyAlignment="1">
      <alignment horizontal="center"/>
    </xf>
    <xf numFmtId="10" fontId="0" fillId="0" borderId="0" xfId="1" applyNumberFormat="1" applyFont="1" applyBorder="1"/>
    <xf numFmtId="14" fontId="0" fillId="0" borderId="0" xfId="1" applyNumberFormat="1" applyFont="1" applyBorder="1" applyAlignment="1">
      <alignment horizontal="center"/>
    </xf>
    <xf numFmtId="14" fontId="0" fillId="0" borderId="0" xfId="1" applyNumberFormat="1" applyFont="1" applyBorder="1"/>
    <xf numFmtId="10" fontId="0" fillId="0" borderId="0" xfId="1" applyNumberFormat="1" applyFont="1" applyBorder="1" applyAlignment="1">
      <alignment horizontal="center"/>
    </xf>
    <xf numFmtId="0" fontId="0" fillId="3" borderId="0" xfId="0" applyFill="1" applyAlignment="1">
      <alignment horizontal="center"/>
    </xf>
    <xf numFmtId="2" fontId="5" fillId="2" borderId="4" xfId="1" applyNumberFormat="1" applyFont="1" applyFill="1" applyBorder="1" applyAlignment="1">
      <alignment horizontal="center"/>
    </xf>
    <xf numFmtId="2" fontId="3" fillId="2" borderId="4" xfId="1" applyNumberFormat="1" applyFont="1" applyFill="1" applyBorder="1" applyAlignment="1">
      <alignment horizontal="center"/>
    </xf>
    <xf numFmtId="0" fontId="0" fillId="2" borderId="19" xfId="0" applyFill="1" applyBorder="1" applyAlignment="1">
      <alignment horizontal="left"/>
    </xf>
    <xf numFmtId="0" fontId="3" fillId="4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left"/>
    </xf>
    <xf numFmtId="10" fontId="3" fillId="4" borderId="22" xfId="1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3" fillId="4" borderId="24" xfId="0" applyFont="1" applyFill="1" applyBorder="1" applyAlignment="1">
      <alignment horizontal="center"/>
    </xf>
    <xf numFmtId="0" fontId="3" fillId="3" borderId="0" xfId="0" applyFont="1" applyFill="1"/>
    <xf numFmtId="2" fontId="3" fillId="4" borderId="22" xfId="1" applyNumberFormat="1" applyFont="1" applyFill="1" applyBorder="1" applyAlignment="1">
      <alignment horizontal="center"/>
    </xf>
    <xf numFmtId="167" fontId="3" fillId="4" borderId="22" xfId="1" applyNumberFormat="1" applyFont="1" applyFill="1" applyBorder="1" applyAlignment="1">
      <alignment horizontal="center"/>
    </xf>
    <xf numFmtId="9" fontId="3" fillId="4" borderId="22" xfId="1" applyNumberFormat="1" applyFont="1" applyFill="1" applyBorder="1" applyAlignment="1">
      <alignment horizontal="center"/>
    </xf>
    <xf numFmtId="9" fontId="3" fillId="4" borderId="20" xfId="1" applyNumberFormat="1" applyFont="1" applyFill="1" applyBorder="1" applyAlignment="1">
      <alignment horizontal="center"/>
    </xf>
    <xf numFmtId="10" fontId="3" fillId="4" borderId="24" xfId="1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0" fontId="0" fillId="2" borderId="18" xfId="0" applyFill="1" applyBorder="1" applyAlignment="1">
      <alignment horizontal="left"/>
    </xf>
    <xf numFmtId="167" fontId="3" fillId="4" borderId="24" xfId="1" applyNumberFormat="1" applyFont="1" applyFill="1" applyBorder="1" applyAlignment="1">
      <alignment horizontal="center"/>
    </xf>
    <xf numFmtId="9" fontId="0" fillId="0" borderId="0" xfId="1" applyNumberFormat="1" applyFont="1"/>
    <xf numFmtId="2" fontId="5" fillId="2" borderId="2" xfId="0" applyNumberFormat="1" applyFont="1" applyFill="1" applyBorder="1" applyAlignment="1">
      <alignment horizontal="center"/>
    </xf>
    <xf numFmtId="2" fontId="5" fillId="2" borderId="2" xfId="24" applyNumberFormat="1" applyFont="1" applyFill="1" applyBorder="1" applyAlignment="1">
      <alignment horizontal="center"/>
    </xf>
    <xf numFmtId="1" fontId="3" fillId="4" borderId="7" xfId="24" applyNumberFormat="1" applyFont="1" applyFill="1" applyBorder="1" applyAlignment="1">
      <alignment horizontal="center"/>
    </xf>
    <xf numFmtId="10" fontId="0" fillId="2" borderId="4" xfId="1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9" fontId="14" fillId="9" borderId="0" xfId="1" applyNumberFormat="1" applyFont="1" applyFill="1" applyBorder="1" applyAlignment="1">
      <alignment horizontal="center" vertical="center"/>
    </xf>
    <xf numFmtId="169" fontId="14" fillId="8" borderId="0" xfId="1" applyNumberFormat="1" applyFont="1" applyFill="1" applyBorder="1" applyAlignment="1">
      <alignment horizontal="center" vertical="center"/>
    </xf>
    <xf numFmtId="169" fontId="14" fillId="9" borderId="37" xfId="1" applyNumberFormat="1" applyFont="1" applyFill="1" applyBorder="1" applyAlignment="1">
      <alignment horizontal="center" vertical="center"/>
    </xf>
    <xf numFmtId="169" fontId="14" fillId="8" borderId="37" xfId="1" applyNumberFormat="1" applyFont="1" applyFill="1" applyBorder="1" applyAlignment="1">
      <alignment horizontal="center" vertical="center"/>
    </xf>
    <xf numFmtId="0" fontId="3" fillId="4" borderId="24" xfId="24" applyNumberFormat="1" applyFont="1" applyFill="1" applyBorder="1" applyAlignment="1">
      <alignment horizontal="center"/>
    </xf>
    <xf numFmtId="168" fontId="3" fillId="4" borderId="20" xfId="23" applyNumberFormat="1" applyFont="1" applyFill="1" applyBorder="1" applyAlignment="1">
      <alignment horizontal="center"/>
    </xf>
    <xf numFmtId="169" fontId="0" fillId="0" borderId="0" xfId="0" applyNumberFormat="1"/>
    <xf numFmtId="169" fontId="14" fillId="8" borderId="0" xfId="0" applyNumberFormat="1" applyFont="1" applyFill="1" applyBorder="1" applyAlignment="1">
      <alignment horizontal="center" vertical="center"/>
    </xf>
    <xf numFmtId="169" fontId="14" fillId="8" borderId="27" xfId="0" applyNumberFormat="1" applyFont="1" applyFill="1" applyBorder="1" applyAlignment="1">
      <alignment horizontal="center" vertical="center"/>
    </xf>
    <xf numFmtId="14" fontId="14" fillId="8" borderId="29" xfId="0" applyNumberFormat="1" applyFont="1" applyFill="1" applyBorder="1" applyAlignment="1">
      <alignment horizontal="center" vertical="center"/>
    </xf>
    <xf numFmtId="169" fontId="14" fillId="8" borderId="31" xfId="0" applyNumberFormat="1" applyFont="1" applyFill="1" applyBorder="1" applyAlignment="1">
      <alignment horizontal="center" vertical="center"/>
    </xf>
    <xf numFmtId="49" fontId="14" fillId="9" borderId="36" xfId="0" applyNumberFormat="1" applyFont="1" applyFill="1" applyBorder="1" applyAlignment="1">
      <alignment horizontal="center" vertical="center"/>
    </xf>
    <xf numFmtId="49" fontId="14" fillId="8" borderId="36" xfId="0" applyNumberFormat="1" applyFont="1" applyFill="1" applyBorder="1" applyAlignment="1">
      <alignment horizontal="center" vertical="center"/>
    </xf>
    <xf numFmtId="49" fontId="14" fillId="8" borderId="29" xfId="0" applyNumberFormat="1" applyFont="1" applyFill="1" applyBorder="1" applyAlignment="1">
      <alignment horizontal="center" vertical="center"/>
    </xf>
    <xf numFmtId="49" fontId="14" fillId="9" borderId="37" xfId="0" applyNumberFormat="1" applyFont="1" applyFill="1" applyBorder="1" applyAlignment="1">
      <alignment horizontal="center" vertical="center"/>
    </xf>
    <xf numFmtId="49" fontId="14" fillId="8" borderId="37" xfId="0" applyNumberFormat="1" applyFont="1" applyFill="1" applyBorder="1" applyAlignment="1">
      <alignment horizontal="center" vertical="center"/>
    </xf>
    <xf numFmtId="49" fontId="14" fillId="8" borderId="31" xfId="0" applyNumberFormat="1" applyFont="1" applyFill="1" applyBorder="1" applyAlignment="1">
      <alignment horizontal="center" vertical="center"/>
    </xf>
    <xf numFmtId="49" fontId="10" fillId="10" borderId="30" xfId="0" applyNumberFormat="1" applyFont="1" applyFill="1" applyBorder="1" applyAlignment="1">
      <alignment horizontal="center" vertical="center"/>
    </xf>
    <xf numFmtId="49" fontId="10" fillId="10" borderId="35" xfId="0" applyNumberFormat="1" applyFont="1" applyFill="1" applyBorder="1" applyAlignment="1">
      <alignment horizontal="center" vertical="center"/>
    </xf>
    <xf numFmtId="1" fontId="14" fillId="9" borderId="0" xfId="0" applyNumberFormat="1" applyFont="1" applyFill="1" applyBorder="1" applyAlignment="1">
      <alignment horizontal="center" vertical="center"/>
    </xf>
    <xf numFmtId="169" fontId="14" fillId="9" borderId="0" xfId="0" applyNumberFormat="1" applyFont="1" applyFill="1" applyBorder="1" applyAlignment="1">
      <alignment horizontal="center" vertical="center"/>
    </xf>
    <xf numFmtId="1" fontId="14" fillId="8" borderId="0" xfId="0" applyNumberFormat="1" applyFont="1" applyFill="1" applyBorder="1" applyAlignment="1">
      <alignment horizontal="center" vertical="center"/>
    </xf>
    <xf numFmtId="14" fontId="14" fillId="9" borderId="36" xfId="0" applyNumberFormat="1" applyFont="1" applyFill="1" applyBorder="1" applyAlignment="1">
      <alignment horizontal="center" vertical="center"/>
    </xf>
    <xf numFmtId="14" fontId="14" fillId="8" borderId="36" xfId="0" applyNumberFormat="1" applyFont="1" applyFill="1" applyBorder="1" applyAlignment="1">
      <alignment horizontal="center" vertical="center"/>
    </xf>
    <xf numFmtId="14" fontId="10" fillId="10" borderId="30" xfId="0" applyNumberFormat="1" applyFont="1" applyFill="1" applyBorder="1" applyAlignment="1">
      <alignment horizontal="center" vertical="center"/>
    </xf>
    <xf numFmtId="1" fontId="10" fillId="10" borderId="28" xfId="0" applyNumberFormat="1" applyFont="1" applyFill="1" applyBorder="1" applyAlignment="1">
      <alignment horizontal="center" vertical="center"/>
    </xf>
    <xf numFmtId="169" fontId="10" fillId="10" borderId="28" xfId="0" applyNumberFormat="1" applyFont="1" applyFill="1" applyBorder="1" applyAlignment="1">
      <alignment horizontal="center" vertical="center"/>
    </xf>
    <xf numFmtId="169" fontId="14" fillId="9" borderId="27" xfId="0" applyNumberFormat="1" applyFont="1" applyFill="1" applyBorder="1" applyAlignment="1">
      <alignment horizontal="center" vertical="center"/>
    </xf>
    <xf numFmtId="14" fontId="14" fillId="9" borderId="29" xfId="0" applyNumberFormat="1" applyFont="1" applyFill="1" applyBorder="1" applyAlignment="1">
      <alignment horizontal="center" vertical="center"/>
    </xf>
    <xf numFmtId="169" fontId="14" fillId="9" borderId="37" xfId="0" applyNumberFormat="1" applyFont="1" applyFill="1" applyBorder="1" applyAlignment="1">
      <alignment horizontal="center" vertical="center"/>
    </xf>
    <xf numFmtId="169" fontId="14" fillId="8" borderId="37" xfId="0" applyNumberFormat="1" applyFont="1" applyFill="1" applyBorder="1" applyAlignment="1">
      <alignment horizontal="center" vertical="center"/>
    </xf>
    <xf numFmtId="169" fontId="14" fillId="9" borderId="31" xfId="0" applyNumberFormat="1" applyFont="1" applyFill="1" applyBorder="1" applyAlignment="1">
      <alignment horizontal="center" vertical="center"/>
    </xf>
    <xf numFmtId="169" fontId="10" fillId="10" borderId="35" xfId="0" applyNumberFormat="1" applyFont="1" applyFill="1" applyBorder="1" applyAlignment="1">
      <alignment horizontal="center" vertical="center"/>
    </xf>
    <xf numFmtId="0" fontId="27" fillId="0" borderId="0" xfId="0" applyFont="1"/>
    <xf numFmtId="10" fontId="3" fillId="0" borderId="0" xfId="1" applyNumberFormat="1" applyFont="1" applyAlignment="1">
      <alignment horizontal="center"/>
    </xf>
    <xf numFmtId="14" fontId="10" fillId="10" borderId="3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5" xfId="0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9" fontId="0" fillId="0" borderId="45" xfId="0" applyNumberFormat="1" applyBorder="1" applyAlignment="1">
      <alignment horizontal="center"/>
    </xf>
    <xf numFmtId="14" fontId="0" fillId="0" borderId="45" xfId="0" applyNumberFormat="1" applyBorder="1" applyAlignment="1">
      <alignment horizontal="center"/>
    </xf>
    <xf numFmtId="0" fontId="17" fillId="12" borderId="39" xfId="0" applyFont="1" applyFill="1" applyBorder="1" applyAlignment="1">
      <alignment horizontal="center"/>
    </xf>
    <xf numFmtId="0" fontId="17" fillId="12" borderId="40" xfId="0" applyFont="1" applyFill="1" applyBorder="1" applyAlignment="1">
      <alignment horizontal="center"/>
    </xf>
    <xf numFmtId="0" fontId="17" fillId="12" borderId="41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10" fontId="0" fillId="0" borderId="49" xfId="1" applyNumberFormat="1" applyFont="1" applyBorder="1" applyAlignment="1">
      <alignment horizontal="center"/>
    </xf>
    <xf numFmtId="9" fontId="0" fillId="0" borderId="49" xfId="0" applyNumberFormat="1" applyBorder="1" applyAlignment="1">
      <alignment horizontal="center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43" fontId="0" fillId="0" borderId="45" xfId="24" applyFont="1" applyBorder="1" applyAlignment="1">
      <alignment horizontal="center"/>
    </xf>
    <xf numFmtId="10" fontId="0" fillId="0" borderId="45" xfId="0" applyNumberFormat="1" applyBorder="1" applyAlignment="1">
      <alignment horizontal="center"/>
    </xf>
    <xf numFmtId="0" fontId="17" fillId="12" borderId="0" xfId="0" applyFont="1" applyFill="1" applyBorder="1" applyAlignment="1">
      <alignment horizontal="center"/>
    </xf>
    <xf numFmtId="10" fontId="0" fillId="0" borderId="47" xfId="1" applyNumberFormat="1" applyFont="1" applyBorder="1" applyAlignment="1">
      <alignment horizontal="center"/>
    </xf>
    <xf numFmtId="43" fontId="0" fillId="0" borderId="0" xfId="0" applyNumberFormat="1"/>
    <xf numFmtId="0" fontId="0" fillId="4" borderId="45" xfId="0" applyFill="1" applyBorder="1" applyAlignment="1">
      <alignment horizontal="center"/>
    </xf>
    <xf numFmtId="10" fontId="0" fillId="4" borderId="45" xfId="0" applyNumberFormat="1" applyFill="1" applyBorder="1" applyAlignment="1">
      <alignment horizontal="center"/>
    </xf>
    <xf numFmtId="43" fontId="0" fillId="4" borderId="45" xfId="24" applyFont="1" applyFill="1" applyBorder="1" applyAlignment="1">
      <alignment horizontal="center"/>
    </xf>
    <xf numFmtId="0" fontId="0" fillId="0" borderId="51" xfId="0" applyBorder="1" applyAlignment="1">
      <alignment horizontal="center"/>
    </xf>
    <xf numFmtId="173" fontId="0" fillId="0" borderId="51" xfId="24" applyNumberFormat="1" applyFont="1" applyBorder="1" applyAlignment="1">
      <alignment horizontal="center"/>
    </xf>
    <xf numFmtId="10" fontId="0" fillId="0" borderId="51" xfId="1" applyNumberFormat="1" applyFont="1" applyBorder="1" applyAlignment="1">
      <alignment horizontal="center"/>
    </xf>
    <xf numFmtId="10" fontId="0" fillId="0" borderId="51" xfId="0" applyNumberFormat="1" applyBorder="1" applyAlignment="1">
      <alignment horizontal="center"/>
    </xf>
    <xf numFmtId="173" fontId="0" fillId="0" borderId="45" xfId="24" applyNumberFormat="1" applyFont="1" applyBorder="1" applyAlignment="1">
      <alignment horizontal="center"/>
    </xf>
    <xf numFmtId="0" fontId="3" fillId="4" borderId="46" xfId="0" applyFont="1" applyFill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48" xfId="0" applyFont="1" applyBorder="1" applyAlignment="1">
      <alignment horizontal="center"/>
    </xf>
    <xf numFmtId="9" fontId="0" fillId="4" borderId="45" xfId="24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166" fontId="3" fillId="2" borderId="8" xfId="0" applyNumberFormat="1" applyFont="1" applyFill="1" applyBorder="1" applyAlignment="1">
      <alignment horizontal="center"/>
    </xf>
    <xf numFmtId="2" fontId="3" fillId="0" borderId="8" xfId="1" applyNumberFormat="1" applyFont="1" applyBorder="1" applyAlignment="1">
      <alignment horizontal="center"/>
    </xf>
    <xf numFmtId="0" fontId="10" fillId="0" borderId="0" xfId="19" applyFont="1" applyBorder="1" applyAlignment="1">
      <alignment horizontal="center"/>
    </xf>
    <xf numFmtId="49" fontId="14" fillId="9" borderId="0" xfId="0" applyNumberFormat="1" applyFont="1" applyFill="1" applyBorder="1" applyAlignment="1">
      <alignment horizontal="center" vertical="center"/>
    </xf>
    <xf numFmtId="49" fontId="14" fillId="8" borderId="0" xfId="0" applyNumberFormat="1" applyFont="1" applyFill="1" applyBorder="1" applyAlignment="1">
      <alignment horizontal="center" vertical="center"/>
    </xf>
    <xf numFmtId="0" fontId="28" fillId="7" borderId="32" xfId="0" applyFont="1" applyFill="1" applyBorder="1" applyAlignment="1"/>
    <xf numFmtId="0" fontId="28" fillId="7" borderId="34" xfId="0" applyFont="1" applyFill="1" applyBorder="1" applyAlignment="1"/>
    <xf numFmtId="49" fontId="14" fillId="8" borderId="27" xfId="0" applyNumberFormat="1" applyFont="1" applyFill="1" applyBorder="1" applyAlignment="1">
      <alignment horizontal="center" vertical="center"/>
    </xf>
    <xf numFmtId="14" fontId="14" fillId="9" borderId="43" xfId="0" applyNumberFormat="1" applyFont="1" applyFill="1" applyBorder="1" applyAlignment="1">
      <alignment horizontal="center" vertical="center"/>
    </xf>
    <xf numFmtId="0" fontId="28" fillId="7" borderId="44" xfId="0" applyFont="1" applyFill="1" applyBorder="1" applyAlignment="1"/>
    <xf numFmtId="0" fontId="28" fillId="7" borderId="33" xfId="0" applyFont="1" applyFill="1" applyBorder="1" applyAlignment="1"/>
    <xf numFmtId="1" fontId="14" fillId="9" borderId="27" xfId="0" applyNumberFormat="1" applyFont="1" applyFill="1" applyBorder="1" applyAlignment="1">
      <alignment horizontal="center" vertical="center"/>
    </xf>
    <xf numFmtId="49" fontId="14" fillId="9" borderId="31" xfId="0" applyNumberFormat="1" applyFont="1" applyFill="1" applyBorder="1" applyAlignment="1">
      <alignment horizontal="center" vertical="center"/>
    </xf>
    <xf numFmtId="169" fontId="14" fillId="9" borderId="27" xfId="1" applyNumberFormat="1" applyFont="1" applyFill="1" applyBorder="1" applyAlignment="1">
      <alignment horizontal="center" vertical="center"/>
    </xf>
    <xf numFmtId="169" fontId="14" fillId="9" borderId="31" xfId="1" applyNumberFormat="1" applyFont="1" applyFill="1" applyBorder="1" applyAlignment="1">
      <alignment horizontal="center" vertical="center"/>
    </xf>
    <xf numFmtId="169" fontId="28" fillId="7" borderId="34" xfId="0" applyNumberFormat="1" applyFont="1" applyFill="1" applyBorder="1" applyAlignment="1"/>
    <xf numFmtId="169" fontId="14" fillId="8" borderId="0" xfId="24" applyNumberFormat="1" applyFont="1" applyFill="1" applyBorder="1" applyAlignment="1">
      <alignment horizontal="center" vertical="center"/>
    </xf>
    <xf numFmtId="169" fontId="28" fillId="7" borderId="33" xfId="0" applyNumberFormat="1" applyFont="1" applyFill="1" applyBorder="1" applyAlignment="1"/>
    <xf numFmtId="49" fontId="10" fillId="10" borderId="28" xfId="0" applyNumberFormat="1" applyFont="1" applyFill="1" applyBorder="1" applyAlignment="1">
      <alignment horizontal="center" vertical="center"/>
    </xf>
  </cellXfs>
  <cellStyles count="212">
    <cellStyle name=" 1" xfId="13"/>
    <cellStyle name=" 1 2" xfId="14"/>
    <cellStyle name=" 1 2 2" xfId="16"/>
    <cellStyle name=" 1 2 3" xfId="17"/>
    <cellStyle name="_Actions  20050616" xfId="164"/>
    <cellStyle name="_AlimUrgencesLimites" xfId="163"/>
    <cellStyle name="_CalyonEquityVaRTree.NEW" xfId="187"/>
    <cellStyle name="_Délégation CB EU - Limites" xfId="198"/>
    <cellStyle name="_fr3 rvs 14mars" xfId="174"/>
    <cellStyle name="_PNL " xfId="5"/>
    <cellStyle name="_RSE_US_USD_1400009137 " xfId="15"/>
    <cellStyle name="_Tables" xfId="179"/>
    <cellStyle name="_TAUX" xfId="192"/>
    <cellStyle name="AeE­ [0]_INQUIRY ¿µ¾÷AßAø " xfId="6"/>
    <cellStyle name="AeE­_INQUIRY ¿µ¾÷AßAø " xfId="7"/>
    <cellStyle name="AÞ¸¶ [0]_INQUIRY ¿µ¾÷AßAø " xfId="8"/>
    <cellStyle name="AÞ¸¶_INQUIRY ¿µ¾÷AßAø " xfId="9"/>
    <cellStyle name="background" xfId="205"/>
    <cellStyle name="banner" xfId="182"/>
    <cellStyle name="C?AØ_¿µ¾÷CoE² " xfId="10"/>
    <cellStyle name="calc" xfId="168"/>
    <cellStyle name="calculated" xfId="191"/>
    <cellStyle name="Comma" xfId="24" builtinId="3"/>
    <cellStyle name="Comma 2" xfId="20"/>
    <cellStyle name="Comma 2 2" xfId="98"/>
    <cellStyle name="Comma 2 2 2" xfId="207"/>
    <cellStyle name="Comma 2 3" xfId="31"/>
    <cellStyle name="Comma 2 3 2" xfId="206"/>
    <cellStyle name="Comma 2 4" xfId="190"/>
    <cellStyle name="Comma 3" xfId="3"/>
    <cellStyle name="Comma 3 2" xfId="111"/>
    <cellStyle name="Comma 3 3" xfId="45"/>
    <cellStyle name="Comma 3 4" xfId="193"/>
    <cellStyle name="Comma 4" xfId="96"/>
    <cellStyle name="Comma 4 2" xfId="185"/>
    <cellStyle name="Comma 5" xfId="25"/>
    <cellStyle name="Comma 6" xfId="167"/>
    <cellStyle name="Currency" xfId="23" builtinId="4"/>
    <cellStyle name="data_3000" xfId="201"/>
    <cellStyle name="date" xfId="178"/>
    <cellStyle name="datetime" xfId="203"/>
    <cellStyle name="Euro" xfId="181"/>
    <cellStyle name="Header" xfId="196"/>
    <cellStyle name="Hyperlink 2" xfId="200"/>
    <cellStyle name="label" xfId="208"/>
    <cellStyle name="main_input" xfId="184"/>
    <cellStyle name="Milliers 2" xfId="170"/>
    <cellStyle name="Normal" xfId="0" builtinId="0"/>
    <cellStyle name="Normal 2" xfId="19"/>
    <cellStyle name="Normal 2 2" xfId="195"/>
    <cellStyle name="Normal 2 3" xfId="194"/>
    <cellStyle name="Normal 2 3 2" xfId="175"/>
    <cellStyle name="Normal 3" xfId="18"/>
    <cellStyle name="Normal 3 2" xfId="34"/>
    <cellStyle name="Normal 3 2 2" xfId="38"/>
    <cellStyle name="Normal 3 2 2 2" xfId="52"/>
    <cellStyle name="Normal 3 2 2 2 2" xfId="90"/>
    <cellStyle name="Normal 3 2 2 2 2 2" xfId="156"/>
    <cellStyle name="Normal 3 2 2 2 3" xfId="118"/>
    <cellStyle name="Normal 3 2 2 3" xfId="77"/>
    <cellStyle name="Normal 3 2 2 3 2" xfId="143"/>
    <cellStyle name="Normal 3 2 2 4" xfId="65"/>
    <cellStyle name="Normal 3 2 2 4 2" xfId="131"/>
    <cellStyle name="Normal 3 2 2 5" xfId="104"/>
    <cellStyle name="Normal 3 2 3" xfId="42"/>
    <cellStyle name="Normal 3 2 3 2" xfId="56"/>
    <cellStyle name="Normal 3 2 3 2 2" xfId="94"/>
    <cellStyle name="Normal 3 2 3 2 2 2" xfId="160"/>
    <cellStyle name="Normal 3 2 3 2 3" xfId="122"/>
    <cellStyle name="Normal 3 2 3 3" xfId="81"/>
    <cellStyle name="Normal 3 2 3 3 2" xfId="147"/>
    <cellStyle name="Normal 3 2 3 4" xfId="69"/>
    <cellStyle name="Normal 3 2 3 4 2" xfId="135"/>
    <cellStyle name="Normal 3 2 3 5" xfId="108"/>
    <cellStyle name="Normal 3 2 4" xfId="48"/>
    <cellStyle name="Normal 3 2 4 2" xfId="86"/>
    <cellStyle name="Normal 3 2 4 2 2" xfId="152"/>
    <cellStyle name="Normal 3 2 4 3" xfId="114"/>
    <cellStyle name="Normal 3 2 5" xfId="73"/>
    <cellStyle name="Normal 3 2 5 2" xfId="139"/>
    <cellStyle name="Normal 3 2 6" xfId="61"/>
    <cellStyle name="Normal 3 2 6 2" xfId="127"/>
    <cellStyle name="Normal 3 2 7" xfId="100"/>
    <cellStyle name="Normal 3 3" xfId="36"/>
    <cellStyle name="Normal 3 3 2" xfId="50"/>
    <cellStyle name="Normal 3 3 2 2" xfId="88"/>
    <cellStyle name="Normal 3 3 2 2 2" xfId="154"/>
    <cellStyle name="Normal 3 3 2 3" xfId="116"/>
    <cellStyle name="Normal 3 3 3" xfId="75"/>
    <cellStyle name="Normal 3 3 3 2" xfId="141"/>
    <cellStyle name="Normal 3 3 4" xfId="63"/>
    <cellStyle name="Normal 3 3 4 2" xfId="129"/>
    <cellStyle name="Normal 3 3 5" xfId="102"/>
    <cellStyle name="Normal 3 4" xfId="40"/>
    <cellStyle name="Normal 3 4 2" xfId="54"/>
    <cellStyle name="Normal 3 4 2 2" xfId="92"/>
    <cellStyle name="Normal 3 4 2 2 2" xfId="158"/>
    <cellStyle name="Normal 3 4 2 3" xfId="120"/>
    <cellStyle name="Normal 3 4 3" xfId="79"/>
    <cellStyle name="Normal 3 4 3 2" xfId="145"/>
    <cellStyle name="Normal 3 4 4" xfId="67"/>
    <cellStyle name="Normal 3 4 4 2" xfId="133"/>
    <cellStyle name="Normal 3 4 5" xfId="106"/>
    <cellStyle name="Normal 3 5" xfId="46"/>
    <cellStyle name="Normal 3 5 2" xfId="84"/>
    <cellStyle name="Normal 3 5 2 2" xfId="150"/>
    <cellStyle name="Normal 3 5 3" xfId="112"/>
    <cellStyle name="Normal 3 6" xfId="71"/>
    <cellStyle name="Normal 3 6 2" xfId="137"/>
    <cellStyle name="Normal 3 7" xfId="59"/>
    <cellStyle name="Normal 3 7 2" xfId="125"/>
    <cellStyle name="Normal 3 8" xfId="97"/>
    <cellStyle name="Normal 3 9" xfId="30"/>
    <cellStyle name="Normal 4" xfId="22"/>
    <cellStyle name="Normal 4 2" xfId="35"/>
    <cellStyle name="Normal 4 2 2" xfId="39"/>
    <cellStyle name="Normal 4 2 2 2" xfId="53"/>
    <cellStyle name="Normal 4 2 2 2 2" xfId="91"/>
    <cellStyle name="Normal 4 2 2 2 2 2" xfId="157"/>
    <cellStyle name="Normal 4 2 2 2 3" xfId="119"/>
    <cellStyle name="Normal 4 2 2 3" xfId="78"/>
    <cellStyle name="Normal 4 2 2 3 2" xfId="144"/>
    <cellStyle name="Normal 4 2 2 4" xfId="66"/>
    <cellStyle name="Normal 4 2 2 4 2" xfId="132"/>
    <cellStyle name="Normal 4 2 2 5" xfId="105"/>
    <cellStyle name="Normal 4 2 3" xfId="43"/>
    <cellStyle name="Normal 4 2 3 2" xfId="57"/>
    <cellStyle name="Normal 4 2 3 2 2" xfId="95"/>
    <cellStyle name="Normal 4 2 3 2 2 2" xfId="161"/>
    <cellStyle name="Normal 4 2 3 2 3" xfId="123"/>
    <cellStyle name="Normal 4 2 3 3" xfId="82"/>
    <cellStyle name="Normal 4 2 3 3 2" xfId="148"/>
    <cellStyle name="Normal 4 2 3 4" xfId="70"/>
    <cellStyle name="Normal 4 2 3 4 2" xfId="136"/>
    <cellStyle name="Normal 4 2 3 5" xfId="109"/>
    <cellStyle name="Normal 4 2 4" xfId="49"/>
    <cellStyle name="Normal 4 2 4 2" xfId="87"/>
    <cellStyle name="Normal 4 2 4 2 2" xfId="153"/>
    <cellStyle name="Normal 4 2 4 3" xfId="115"/>
    <cellStyle name="Normal 4 2 5" xfId="74"/>
    <cellStyle name="Normal 4 2 5 2" xfId="140"/>
    <cellStyle name="Normal 4 2 6" xfId="62"/>
    <cellStyle name="Normal 4 2 6 2" xfId="128"/>
    <cellStyle name="Normal 4 2 7" xfId="101"/>
    <cellStyle name="Normal 4 3" xfId="37"/>
    <cellStyle name="Normal 4 3 2" xfId="51"/>
    <cellStyle name="Normal 4 3 2 2" xfId="89"/>
    <cellStyle name="Normal 4 3 2 2 2" xfId="155"/>
    <cellStyle name="Normal 4 3 2 3" xfId="117"/>
    <cellStyle name="Normal 4 3 3" xfId="76"/>
    <cellStyle name="Normal 4 3 3 2" xfId="142"/>
    <cellStyle name="Normal 4 3 4" xfId="64"/>
    <cellStyle name="Normal 4 3 4 2" xfId="130"/>
    <cellStyle name="Normal 4 3 5" xfId="103"/>
    <cellStyle name="Normal 4 4" xfId="41"/>
    <cellStyle name="Normal 4 4 2" xfId="55"/>
    <cellStyle name="Normal 4 4 2 2" xfId="93"/>
    <cellStyle name="Normal 4 4 2 2 2" xfId="159"/>
    <cellStyle name="Normal 4 4 2 3" xfId="121"/>
    <cellStyle name="Normal 4 4 3" xfId="80"/>
    <cellStyle name="Normal 4 4 3 2" xfId="146"/>
    <cellStyle name="Normal 4 4 4" xfId="68"/>
    <cellStyle name="Normal 4 4 4 2" xfId="134"/>
    <cellStyle name="Normal 4 4 5" xfId="107"/>
    <cellStyle name="Normal 4 5" xfId="47"/>
    <cellStyle name="Normal 4 5 2" xfId="85"/>
    <cellStyle name="Normal 4 5 2 2" xfId="151"/>
    <cellStyle name="Normal 4 5 3" xfId="113"/>
    <cellStyle name="Normal 4 6" xfId="72"/>
    <cellStyle name="Normal 4 6 2" xfId="138"/>
    <cellStyle name="Normal 4 7" xfId="60"/>
    <cellStyle name="Normal 4 7 2" xfId="126"/>
    <cellStyle name="Normal 4 8" xfId="99"/>
    <cellStyle name="Normal 4 9" xfId="33"/>
    <cellStyle name="Normal 5" xfId="2"/>
    <cellStyle name="Normal 5 2" xfId="204"/>
    <cellStyle name="Normal 5 2 2" xfId="171"/>
    <cellStyle name="Normal 5 2 2 2" xfId="27"/>
    <cellStyle name="Normal 5 2 3" xfId="162"/>
    <cellStyle name="Normal 5 3" xfId="177"/>
    <cellStyle name="Normal 5 3 2" xfId="26"/>
    <cellStyle name="Normal 5 4" xfId="29"/>
    <cellStyle name="Normal 5 5" xfId="211"/>
    <cellStyle name="Normal 5 6" xfId="188"/>
    <cellStyle name="Normal 6" xfId="44"/>
    <cellStyle name="Normal 6 2" xfId="83"/>
    <cellStyle name="Normal 6 2 2" xfId="149"/>
    <cellStyle name="Normal 6 3" xfId="110"/>
    <cellStyle name="Normal 6 4" xfId="180"/>
    <cellStyle name="Normal 7" xfId="58"/>
    <cellStyle name="Normal 7 2" xfId="124"/>
    <cellStyle name="Normal 7 2 2" xfId="32"/>
    <cellStyle name="Normal 7 3" xfId="186"/>
    <cellStyle name="Normal 7 4" xfId="210"/>
    <cellStyle name="Normal 8" xfId="209"/>
    <cellStyle name="Normal 9" xfId="197"/>
    <cellStyle name="Normal 9 2" xfId="28"/>
    <cellStyle name="Percent" xfId="1" builtinId="5"/>
    <cellStyle name="Percent 2" xfId="21"/>
    <cellStyle name="Percent 2 2" xfId="183"/>
    <cellStyle name="Percent 2 3" xfId="169"/>
    <cellStyle name="Percent 3" xfId="4"/>
    <cellStyle name="Percent 4" xfId="173"/>
    <cellStyle name="Pourcentage 2" xfId="165"/>
    <cellStyle name="realtime" xfId="172"/>
    <cellStyle name="result" xfId="166"/>
    <cellStyle name="rt" xfId="189"/>
    <cellStyle name="static" xfId="199"/>
    <cellStyle name="Style 1" xfId="176"/>
    <cellStyle name="text" xfId="202"/>
    <cellStyle name="W臧rung [0]_Global Data " xfId="11"/>
    <cellStyle name="W臧rung_Global Data 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Average</a:t>
            </a:r>
            <a:r>
              <a:rPr lang="fr-FR" baseline="0"/>
              <a:t> spot simulation</a:t>
            </a:r>
            <a:endParaRPr lang="fr-FR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Data!$B$3:$B$90</c:f>
              <c:numCache>
                <c:formatCode>m/d/yyyy</c:formatCode>
                <c:ptCount val="88"/>
                <c:pt idx="0">
                  <c:v>44294</c:v>
                </c:pt>
                <c:pt idx="1">
                  <c:v>44659</c:v>
                </c:pt>
                <c:pt idx="2">
                  <c:v>45024</c:v>
                </c:pt>
                <c:pt idx="3">
                  <c:v>45390</c:v>
                </c:pt>
                <c:pt idx="4">
                  <c:v>45755</c:v>
                </c:pt>
                <c:pt idx="5">
                  <c:v>46120</c:v>
                </c:pt>
                <c:pt idx="6">
                  <c:v>46485</c:v>
                </c:pt>
                <c:pt idx="7">
                  <c:v>46851</c:v>
                </c:pt>
                <c:pt idx="8">
                  <c:v>47216</c:v>
                </c:pt>
                <c:pt idx="9">
                  <c:v>47581</c:v>
                </c:pt>
                <c:pt idx="10">
                  <c:v>47946</c:v>
                </c:pt>
              </c:numCache>
            </c:numRef>
          </c:cat>
          <c:val>
            <c:numRef>
              <c:f>Data!$C$3:$C$90</c:f>
              <c:numCache>
                <c:formatCode>0.00</c:formatCode>
                <c:ptCount val="88"/>
                <c:pt idx="0">
                  <c:v>3552.6399999982282</c:v>
                </c:pt>
                <c:pt idx="1">
                  <c:v>3415.8182900571305</c:v>
                </c:pt>
                <c:pt idx="2">
                  <c:v>3282.4909730980653</c:v>
                </c:pt>
                <c:pt idx="3">
                  <c:v>3154.905587657091</c:v>
                </c:pt>
                <c:pt idx="4">
                  <c:v>3046.7709223617089</c:v>
                </c:pt>
                <c:pt idx="5">
                  <c:v>2947.3861190708303</c:v>
                </c:pt>
                <c:pt idx="6">
                  <c:v>2854.4970068172361</c:v>
                </c:pt>
                <c:pt idx="7">
                  <c:v>2742.9473752692093</c:v>
                </c:pt>
                <c:pt idx="8">
                  <c:v>2635.9390395505302</c:v>
                </c:pt>
                <c:pt idx="9">
                  <c:v>2530.8546878981624</c:v>
                </c:pt>
                <c:pt idx="10">
                  <c:v>2430.5296627045605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DA-441C-8931-12D86106C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59744"/>
        <c:axId val="45786240"/>
      </c:lineChart>
      <c:lineChart>
        <c:grouping val="standard"/>
        <c:varyColors val="0"/>
        <c:ser>
          <c:idx val="1"/>
          <c:order val="1"/>
          <c:tx>
            <c:strRef>
              <c:f>Data!$D$2</c:f>
              <c:strCache>
                <c:ptCount val="1"/>
                <c:pt idx="0">
                  <c:v>Perf</c:v>
                </c:pt>
              </c:strCache>
            </c:strRef>
          </c:tx>
          <c:marker>
            <c:symbol val="none"/>
          </c:marker>
          <c:cat>
            <c:numRef>
              <c:f>Data!$B$3:$B$90</c:f>
              <c:numCache>
                <c:formatCode>m/d/yyyy</c:formatCode>
                <c:ptCount val="88"/>
                <c:pt idx="0">
                  <c:v>44294</c:v>
                </c:pt>
                <c:pt idx="1">
                  <c:v>44659</c:v>
                </c:pt>
                <c:pt idx="2">
                  <c:v>45024</c:v>
                </c:pt>
                <c:pt idx="3">
                  <c:v>45390</c:v>
                </c:pt>
                <c:pt idx="4">
                  <c:v>45755</c:v>
                </c:pt>
                <c:pt idx="5">
                  <c:v>46120</c:v>
                </c:pt>
                <c:pt idx="6">
                  <c:v>46485</c:v>
                </c:pt>
                <c:pt idx="7">
                  <c:v>46851</c:v>
                </c:pt>
                <c:pt idx="8">
                  <c:v>47216</c:v>
                </c:pt>
                <c:pt idx="9">
                  <c:v>47581</c:v>
                </c:pt>
                <c:pt idx="10">
                  <c:v>47946</c:v>
                </c:pt>
              </c:numCache>
            </c:numRef>
          </c:cat>
          <c:val>
            <c:numRef>
              <c:f>Data!$D$3:$D$90</c:f>
              <c:numCache>
                <c:formatCode>0.00%</c:formatCode>
                <c:ptCount val="88"/>
                <c:pt idx="0">
                  <c:v>0</c:v>
                </c:pt>
                <c:pt idx="1">
                  <c:v>-3.9273908345307043E-2</c:v>
                </c:pt>
                <c:pt idx="2">
                  <c:v>-7.9088411896777275E-2</c:v>
                </c:pt>
                <c:pt idx="3">
                  <c:v>-0.11873241820705142</c:v>
                </c:pt>
                <c:pt idx="4">
                  <c:v>-0.15360867327357391</c:v>
                </c:pt>
                <c:pt idx="5">
                  <c:v>-0.18677227284417799</c:v>
                </c:pt>
                <c:pt idx="6">
                  <c:v>-0.21879534124188513</c:v>
                </c:pt>
                <c:pt idx="7">
                  <c:v>-0.25865796240871841</c:v>
                </c:pt>
                <c:pt idx="8">
                  <c:v>-0.2984514988256754</c:v>
                </c:pt>
                <c:pt idx="9">
                  <c:v>-0.33913392208532311</c:v>
                </c:pt>
                <c:pt idx="10">
                  <c:v>-0.37958178728758535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DA-441C-8931-12D86106C254}"/>
            </c:ext>
          </c:extLst>
        </c:ser>
        <c:ser>
          <c:idx val="2"/>
          <c:order val="2"/>
          <c:tx>
            <c:v>Forward</c:v>
          </c:tx>
          <c:marker>
            <c:symbol val="none"/>
          </c:marker>
          <c:val>
            <c:numRef>
              <c:f>Data!$E$3:$E$90</c:f>
              <c:numCache>
                <c:formatCode>0.00%</c:formatCode>
                <c:ptCount val="88"/>
                <c:pt idx="0">
                  <c:v>0</c:v>
                </c:pt>
                <c:pt idx="1">
                  <c:v>-3.8999999999999986E-2</c:v>
                </c:pt>
                <c:pt idx="2">
                  <c:v>-7.8E-2</c:v>
                </c:pt>
                <c:pt idx="3">
                  <c:v>-0.11699999999999999</c:v>
                </c:pt>
                <c:pt idx="4">
                  <c:v>-0.156</c:v>
                </c:pt>
                <c:pt idx="5">
                  <c:v>-0.19499999999999998</c:v>
                </c:pt>
                <c:pt idx="6">
                  <c:v>-0.23400000000000001</c:v>
                </c:pt>
                <c:pt idx="7">
                  <c:v>-0.27299999999999985</c:v>
                </c:pt>
                <c:pt idx="8">
                  <c:v>-0.312</c:v>
                </c:pt>
                <c:pt idx="9">
                  <c:v>-0.35099999999999998</c:v>
                </c:pt>
                <c:pt idx="10">
                  <c:v>-0.3899999999999999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DA-441C-8931-12D86106C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19360"/>
        <c:axId val="100326400"/>
      </c:lineChart>
      <c:dateAx>
        <c:axId val="445597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45786240"/>
        <c:crosses val="autoZero"/>
        <c:auto val="1"/>
        <c:lblOffset val="100"/>
        <c:baseTimeUnit val="months"/>
      </c:dateAx>
      <c:valAx>
        <c:axId val="45786240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44559744"/>
        <c:crosses val="autoZero"/>
        <c:crossBetween val="between"/>
      </c:valAx>
      <c:valAx>
        <c:axId val="1003264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03919360"/>
        <c:crosses val="max"/>
        <c:crossBetween val="between"/>
      </c:valAx>
      <c:dateAx>
        <c:axId val="203919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0326400"/>
        <c:crosses val="autoZero"/>
        <c:auto val="1"/>
        <c:lblOffset val="100"/>
        <c:baseTimeUnit val="year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Life</a:t>
            </a:r>
            <a:r>
              <a:rPr lang="en-US" baseline="0"/>
              <a:t> expectancy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Main!$S$3</c:f>
              <c:strCache>
                <c:ptCount val="1"/>
                <c:pt idx="0">
                  <c:v>Recall Proba</c:v>
                </c:pt>
              </c:strCache>
            </c:strRef>
          </c:tx>
          <c:invertIfNegative val="0"/>
          <c:cat>
            <c:strRef>
              <c:f>Main!$R$4:$R$13</c:f>
              <c:strCache>
                <c:ptCount val="10"/>
                <c:pt idx="0">
                  <c:v>Obs 1</c:v>
                </c:pt>
                <c:pt idx="1">
                  <c:v>Obs 2</c:v>
                </c:pt>
                <c:pt idx="2">
                  <c:v>Obs 3</c:v>
                </c:pt>
                <c:pt idx="3">
                  <c:v>Obs 4</c:v>
                </c:pt>
                <c:pt idx="4">
                  <c:v>Obs 5</c:v>
                </c:pt>
                <c:pt idx="5">
                  <c:v>Obs 6</c:v>
                </c:pt>
                <c:pt idx="6">
                  <c:v>Obs 7</c:v>
                </c:pt>
                <c:pt idx="7">
                  <c:v>Obs 8</c:v>
                </c:pt>
                <c:pt idx="8">
                  <c:v>Obs 9</c:v>
                </c:pt>
                <c:pt idx="9">
                  <c:v>Obs 10</c:v>
                </c:pt>
              </c:strCache>
            </c:strRef>
          </c:cat>
          <c:val>
            <c:numRef>
              <c:f>Main!$S$4:$S$13</c:f>
              <c:numCache>
                <c:formatCode>General</c:formatCode>
                <c:ptCount val="10"/>
                <c:pt idx="0">
                  <c:v>0.36758999999999997</c:v>
                </c:pt>
                <c:pt idx="1">
                  <c:v>9.4119999999999995E-2</c:v>
                </c:pt>
                <c:pt idx="2">
                  <c:v>4.7300000000000002E-2</c:v>
                </c:pt>
                <c:pt idx="3">
                  <c:v>2.6710000000000001E-2</c:v>
                </c:pt>
                <c:pt idx="4">
                  <c:v>1.321E-2</c:v>
                </c:pt>
                <c:pt idx="5">
                  <c:v>1.274E-2</c:v>
                </c:pt>
                <c:pt idx="6">
                  <c:v>8.6099999999999996E-3</c:v>
                </c:pt>
                <c:pt idx="7">
                  <c:v>8.2299999999999995E-3</c:v>
                </c:pt>
                <c:pt idx="8">
                  <c:v>6.0899999999999999E-3</c:v>
                </c:pt>
                <c:pt idx="9">
                  <c:v>0.41539999999999999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48-4F09-8BB0-814B6C05E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267712"/>
        <c:axId val="167310464"/>
      </c:barChart>
      <c:catAx>
        <c:axId val="1672677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67310464"/>
        <c:crosses val="autoZero"/>
        <c:auto val="1"/>
        <c:lblAlgn val="ctr"/>
        <c:lblOffset val="100"/>
        <c:noMultiLvlLbl val="0"/>
      </c:catAx>
      <c:valAx>
        <c:axId val="16731046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7267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380998</xdr:colOff>
      <xdr:row>10</xdr:row>
      <xdr:rowOff>95250</xdr:rowOff>
    </xdr:from>
    <xdr:to>
      <xdr:col>9</xdr:col>
      <xdr:colOff>85724</xdr:colOff>
      <xdr:row>12</xdr:row>
      <xdr:rowOff>85725</xdr:rowOff>
    </xdr:to>
    <xdr:sp macro="[0]!ComputePriceBS" textlink="">
      <xdr:nvSpPr>
        <xdr:cNvPr id="3" name="Rounded Rectangle 2"/>
        <xdr:cNvSpPr/>
      </xdr:nvSpPr>
      <xdr:spPr>
        <a:xfrm>
          <a:off x="3762373" y="1762125"/>
          <a:ext cx="2838451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Compute</a:t>
          </a:r>
          <a:r>
            <a:rPr lang="fr-FR" sz="1100" baseline="0"/>
            <a:t> BS Price</a:t>
          </a:r>
          <a:endParaRPr lang="fr-FR" sz="1100"/>
        </a:p>
      </xdr:txBody>
    </xdr:sp>
    <xdr:clientData/>
  </xdr:twoCellAnchor>
  <xdr:twoCellAnchor>
    <xdr:from>
      <xdr:col>6</xdr:col>
      <xdr:colOff>514350</xdr:colOff>
      <xdr:row>19</xdr:row>
      <xdr:rowOff>38100</xdr:rowOff>
    </xdr:from>
    <xdr:to>
      <xdr:col>8</xdr:col>
      <xdr:colOff>219075</xdr:colOff>
      <xdr:row>21</xdr:row>
      <xdr:rowOff>0</xdr:rowOff>
    </xdr:to>
    <xdr:sp macro="[0]!RecallProba" textlink="">
      <xdr:nvSpPr>
        <xdr:cNvPr id="4" name="Rounded Rectangle 3"/>
        <xdr:cNvSpPr/>
      </xdr:nvSpPr>
      <xdr:spPr>
        <a:xfrm>
          <a:off x="4305300" y="3181350"/>
          <a:ext cx="16668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Get recall proba</a:t>
          </a:r>
        </a:p>
      </xdr:txBody>
    </xdr:sp>
    <xdr:clientData/>
  </xdr:twoCellAnchor>
  <xdr:twoCellAnchor>
    <xdr:from>
      <xdr:col>23</xdr:col>
      <xdr:colOff>285750</xdr:colOff>
      <xdr:row>1</xdr:row>
      <xdr:rowOff>29135</xdr:rowOff>
    </xdr:from>
    <xdr:to>
      <xdr:col>34</xdr:col>
      <xdr:colOff>99173</xdr:colOff>
      <xdr:row>19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266701</xdr:colOff>
      <xdr:row>20</xdr:row>
      <xdr:rowOff>152400</xdr:rowOff>
    </xdr:from>
    <xdr:to>
      <xdr:col>34</xdr:col>
      <xdr:colOff>78441</xdr:colOff>
      <xdr:row>37</xdr:row>
      <xdr:rowOff>114301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381000</xdr:colOff>
      <xdr:row>13</xdr:row>
      <xdr:rowOff>66675</xdr:rowOff>
    </xdr:from>
    <xdr:to>
      <xdr:col>9</xdr:col>
      <xdr:colOff>85726</xdr:colOff>
      <xdr:row>15</xdr:row>
      <xdr:rowOff>47625</xdr:rowOff>
    </xdr:to>
    <xdr:sp macro="[0]!ComputePriceHeston" textlink="">
      <xdr:nvSpPr>
        <xdr:cNvPr id="6" name="Rounded Rectangle 5"/>
        <xdr:cNvSpPr/>
      </xdr:nvSpPr>
      <xdr:spPr>
        <a:xfrm>
          <a:off x="3762375" y="2209800"/>
          <a:ext cx="2838451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Compute</a:t>
          </a:r>
          <a:r>
            <a:rPr lang="fr-FR" sz="1100" baseline="0"/>
            <a:t> Heston Price</a:t>
          </a:r>
          <a:endParaRPr lang="fr-FR" sz="1100"/>
        </a:p>
      </xdr:txBody>
    </xdr:sp>
    <xdr:clientData/>
  </xdr:twoCellAnchor>
  <xdr:twoCellAnchor>
    <xdr:from>
      <xdr:col>6</xdr:col>
      <xdr:colOff>666750</xdr:colOff>
      <xdr:row>24</xdr:row>
      <xdr:rowOff>0</xdr:rowOff>
    </xdr:from>
    <xdr:to>
      <xdr:col>8</xdr:col>
      <xdr:colOff>66675</xdr:colOff>
      <xdr:row>27</xdr:row>
      <xdr:rowOff>19050</xdr:rowOff>
    </xdr:to>
    <xdr:sp macro="[0]!Refresh_Data" textlink="">
      <xdr:nvSpPr>
        <xdr:cNvPr id="2" name="Rounded Rectangle 1"/>
        <xdr:cNvSpPr/>
      </xdr:nvSpPr>
      <xdr:spPr>
        <a:xfrm>
          <a:off x="4457700" y="3981450"/>
          <a:ext cx="1362075" cy="5238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Refresh</a:t>
          </a:r>
          <a:r>
            <a:rPr lang="en-GB" sz="1100" baseline="0"/>
            <a:t> Param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342900</xdr:colOff>
      <xdr:row>1</xdr:row>
      <xdr:rowOff>9525</xdr:rowOff>
    </xdr:from>
    <xdr:to>
      <xdr:col>27</xdr:col>
      <xdr:colOff>133350</xdr:colOff>
      <xdr:row>3</xdr:row>
      <xdr:rowOff>47625</xdr:rowOff>
    </xdr:to>
    <xdr:sp macro="[0]!PricingVanilla" textlink="">
      <xdr:nvSpPr>
        <xdr:cNvPr id="2" name="Rounded Rectangle 1"/>
        <xdr:cNvSpPr/>
      </xdr:nvSpPr>
      <xdr:spPr>
        <a:xfrm>
          <a:off x="9906000" y="171450"/>
          <a:ext cx="16192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Price MC</a:t>
          </a:r>
          <a:r>
            <a:rPr lang="en-GB" sz="1100" baseline="0"/>
            <a:t> BS</a:t>
          </a:r>
        </a:p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32App\XLPS\XLAddinFramework\PluginDll\XLPricer\XLA\XLP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List"/>
    </sheetNames>
    <definedNames>
      <definedName name="DisplayDividendYields"/>
      <definedName name="DisplayIndexComposition"/>
      <definedName name="DisplayRateCurve"/>
      <definedName name="DisplayRepoCurve"/>
      <definedName name="DisplayTransco"/>
      <definedName name="DisplayVolatility"/>
      <definedName name="DisplayVolatilityUpdateTime"/>
      <definedName name="GetEquityFixings"/>
      <definedName name="GetTransco"/>
      <definedName name="GetVolatilityPoi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V83"/>
  <sheetViews>
    <sheetView tabSelected="1" zoomScaleNormal="100" workbookViewId="0">
      <selection activeCell="S18" sqref="S18"/>
    </sheetView>
  </sheetViews>
  <sheetFormatPr defaultRowHeight="12.75"/>
  <cols>
    <col min="1" max="1" width="5.140625" style="1" customWidth="1"/>
    <col min="2" max="2" width="3.28515625" style="1" customWidth="1"/>
    <col min="3" max="3" width="18.7109375" style="1" bestFit="1" customWidth="1"/>
    <col min="4" max="4" width="18.5703125" style="47" bestFit="1" customWidth="1"/>
    <col min="5" max="5" width="5" style="1" customWidth="1"/>
    <col min="6" max="6" width="6.140625" style="1" customWidth="1"/>
    <col min="7" max="7" width="13.140625" style="1" bestFit="1" customWidth="1"/>
    <col min="8" max="8" width="16.28515625" style="1" customWidth="1"/>
    <col min="9" max="9" width="11.42578125" style="1" customWidth="1"/>
    <col min="10" max="10" width="7.85546875" style="1" customWidth="1"/>
    <col min="11" max="11" width="9.140625" style="1"/>
    <col min="12" max="12" width="17.28515625" style="1" bestFit="1" customWidth="1"/>
    <col min="13" max="13" width="15.5703125" style="1" bestFit="1" customWidth="1"/>
    <col min="14" max="17" width="9.140625" style="1"/>
    <col min="18" max="18" width="7.42578125" style="1" bestFit="1" customWidth="1"/>
    <col min="19" max="19" width="12.7109375" style="1" bestFit="1" customWidth="1"/>
    <col min="20" max="31" width="9.140625" style="1"/>
    <col min="32" max="32" width="10.28515625" style="1" bestFit="1" customWidth="1"/>
    <col min="33" max="16384" width="9.140625" style="1"/>
  </cols>
  <sheetData>
    <row r="1" spans="3:20">
      <c r="K1" s="7"/>
      <c r="N1" s="7"/>
      <c r="P1" s="19"/>
      <c r="Q1" s="19"/>
      <c r="T1" s="19"/>
    </row>
    <row r="2" spans="3:20">
      <c r="C2" s="142" t="s">
        <v>24</v>
      </c>
      <c r="D2" s="142"/>
      <c r="J2" s="7"/>
      <c r="K2" s="7"/>
      <c r="L2" s="143" t="s">
        <v>25</v>
      </c>
      <c r="M2" s="143"/>
      <c r="N2" s="7"/>
      <c r="O2" s="7"/>
      <c r="P2" s="19"/>
      <c r="Q2" s="19"/>
      <c r="T2" s="19"/>
    </row>
    <row r="3" spans="3:20" ht="13.5" thickBot="1">
      <c r="J3" s="7"/>
      <c r="K3" s="7"/>
      <c r="L3" s="7"/>
      <c r="M3" s="7"/>
      <c r="N3" s="7"/>
      <c r="O3" s="7"/>
      <c r="P3" s="19"/>
      <c r="Q3" s="19"/>
      <c r="R3" s="73" t="s">
        <v>77</v>
      </c>
      <c r="S3" s="73" t="s">
        <v>78</v>
      </c>
      <c r="T3" s="19"/>
    </row>
    <row r="4" spans="3:20" ht="13.5" thickBot="1">
      <c r="C4" s="50" t="s">
        <v>0</v>
      </c>
      <c r="D4" s="79">
        <v>10000000</v>
      </c>
      <c r="G4" s="18" t="s">
        <v>18</v>
      </c>
      <c r="H4" s="150">
        <f ca="1">TODAY()</f>
        <v>44294</v>
      </c>
      <c r="I4" s="150"/>
      <c r="J4" s="7"/>
      <c r="K4" s="7"/>
      <c r="L4" s="141" t="s">
        <v>34</v>
      </c>
      <c r="M4" s="141"/>
      <c r="N4" s="7"/>
      <c r="O4" s="7"/>
      <c r="P4" s="19"/>
      <c r="Q4" s="19"/>
      <c r="R4" s="73" t="s">
        <v>67</v>
      </c>
      <c r="S4" s="73">
        <v>0.41747000000000001</v>
      </c>
      <c r="T4" s="19"/>
    </row>
    <row r="5" spans="3:20">
      <c r="C5" s="52" t="s">
        <v>84</v>
      </c>
      <c r="D5" s="53" t="s">
        <v>49</v>
      </c>
      <c r="G5" s="18" t="s">
        <v>54</v>
      </c>
      <c r="H5" s="150">
        <f ca="1">H4+14</f>
        <v>44308</v>
      </c>
      <c r="I5" s="150"/>
      <c r="J5" s="7"/>
      <c r="K5" s="7"/>
      <c r="L5" s="16" t="s">
        <v>14</v>
      </c>
      <c r="M5" s="69">
        <v>87.780337528276277</v>
      </c>
      <c r="N5" s="7"/>
      <c r="O5" s="7"/>
      <c r="P5" s="19"/>
      <c r="Q5" s="19"/>
      <c r="R5" s="73" t="s">
        <v>68</v>
      </c>
      <c r="S5" s="73">
        <v>0.11282</v>
      </c>
      <c r="T5" s="19"/>
    </row>
    <row r="6" spans="3:20" ht="13.5" thickBot="1">
      <c r="C6" s="54" t="s">
        <v>57</v>
      </c>
      <c r="D6" s="78">
        <v>10</v>
      </c>
      <c r="G6" s="18" t="s">
        <v>19</v>
      </c>
      <c r="H6" s="150">
        <f ca="1">EDATE(H4,12*Matu)</f>
        <v>47946</v>
      </c>
      <c r="I6" s="150"/>
      <c r="J6" s="7"/>
      <c r="K6" s="7"/>
      <c r="L6" s="2" t="s">
        <v>56</v>
      </c>
      <c r="M6" s="48">
        <v>7.8493199999999996</v>
      </c>
      <c r="N6" s="7"/>
      <c r="O6" s="7"/>
      <c r="P6" s="19"/>
      <c r="Q6" s="19"/>
      <c r="R6" s="73" t="s">
        <v>69</v>
      </c>
      <c r="S6" s="73">
        <v>4.1570000000000003E-2</v>
      </c>
      <c r="T6" s="19"/>
    </row>
    <row r="7" spans="3:20">
      <c r="G7" s="18" t="s">
        <v>55</v>
      </c>
      <c r="H7" s="150">
        <f ca="1">H6+14</f>
        <v>47960</v>
      </c>
      <c r="I7" s="150"/>
      <c r="J7" s="7"/>
      <c r="K7" s="7"/>
      <c r="L7" s="2" t="s">
        <v>39</v>
      </c>
      <c r="M7" s="13">
        <v>0.69481000000000004</v>
      </c>
      <c r="N7" s="7"/>
      <c r="O7" s="7"/>
      <c r="P7" s="19"/>
      <c r="Q7" s="19"/>
      <c r="R7" s="73" t="s">
        <v>70</v>
      </c>
      <c r="S7" s="73">
        <v>2.5360000000000001E-2</v>
      </c>
      <c r="T7" s="19"/>
    </row>
    <row r="8" spans="3:20" ht="13.5" thickBot="1">
      <c r="C8" s="56" t="s">
        <v>11</v>
      </c>
      <c r="J8" s="7"/>
      <c r="K8" s="7"/>
      <c r="L8" s="2"/>
      <c r="M8" s="8"/>
      <c r="N8" s="7"/>
      <c r="O8" s="7"/>
      <c r="P8" s="19"/>
      <c r="Q8" s="19"/>
      <c r="R8" s="73" t="s">
        <v>71</v>
      </c>
      <c r="S8" s="73">
        <v>2.1000000000000001E-2</v>
      </c>
      <c r="T8" s="19"/>
    </row>
    <row r="9" spans="3:20">
      <c r="C9" s="50" t="s">
        <v>12</v>
      </c>
      <c r="D9" s="51" t="s">
        <v>13</v>
      </c>
      <c r="J9" s="7"/>
      <c r="K9" s="7"/>
      <c r="L9" s="9" t="s">
        <v>38</v>
      </c>
      <c r="M9" s="8"/>
      <c r="N9" s="7"/>
      <c r="O9" s="7"/>
      <c r="P9" s="19"/>
      <c r="Q9" s="19"/>
      <c r="R9" s="73" t="s">
        <v>72</v>
      </c>
      <c r="S9" s="73">
        <v>1.4239999999999999E-2</v>
      </c>
      <c r="T9" s="19"/>
    </row>
    <row r="10" spans="3:20">
      <c r="C10" s="52" t="s">
        <v>1</v>
      </c>
      <c r="D10" s="62">
        <f ca="1">[1]!GetEquityFixings(Underlying_name)</f>
        <v>3956.77</v>
      </c>
      <c r="J10" s="7"/>
      <c r="K10" s="7"/>
      <c r="L10" s="2" t="s">
        <v>15</v>
      </c>
      <c r="M10" s="49">
        <v>0.14234757774809736</v>
      </c>
      <c r="N10" s="7"/>
      <c r="O10" s="7"/>
      <c r="P10" s="19"/>
      <c r="Q10" s="19"/>
      <c r="R10" s="73" t="s">
        <v>73</v>
      </c>
      <c r="S10" s="73">
        <v>1.172E-2</v>
      </c>
      <c r="T10" s="19"/>
    </row>
    <row r="11" spans="3:20">
      <c r="C11" s="52" t="s">
        <v>20</v>
      </c>
      <c r="D11" s="53">
        <v>0.2</v>
      </c>
      <c r="J11" s="7"/>
      <c r="K11" s="7"/>
      <c r="L11" s="2" t="s">
        <v>16</v>
      </c>
      <c r="M11" s="49">
        <v>-0.14234757774809736</v>
      </c>
      <c r="N11" s="7"/>
      <c r="O11" s="7"/>
      <c r="P11" s="19"/>
      <c r="Q11" s="19"/>
      <c r="R11" s="73" t="s">
        <v>74</v>
      </c>
      <c r="S11" s="73">
        <v>8.5500000000000003E-3</v>
      </c>
      <c r="T11" s="19"/>
    </row>
    <row r="12" spans="3:20">
      <c r="C12" s="52" t="s">
        <v>2</v>
      </c>
      <c r="D12" s="53">
        <v>1E-3</v>
      </c>
      <c r="J12" s="7"/>
      <c r="K12" s="7"/>
      <c r="L12" s="10" t="s">
        <v>17</v>
      </c>
      <c r="M12" s="49">
        <v>-1.0632085138604452</v>
      </c>
      <c r="N12" s="7"/>
      <c r="O12" s="7"/>
      <c r="P12" s="19"/>
      <c r="Q12" s="19"/>
      <c r="R12" s="73" t="s">
        <v>75</v>
      </c>
      <c r="S12" s="73">
        <v>5.1799999999999997E-3</v>
      </c>
      <c r="T12" s="19"/>
    </row>
    <row r="13" spans="3:20">
      <c r="C13" s="52" t="s">
        <v>3</v>
      </c>
      <c r="D13" s="58">
        <v>0.03</v>
      </c>
      <c r="J13" s="7"/>
      <c r="K13" s="7"/>
      <c r="L13" s="10"/>
      <c r="M13" s="17"/>
      <c r="N13" s="7"/>
      <c r="O13" s="7"/>
      <c r="P13" s="19"/>
      <c r="Q13" s="19"/>
      <c r="R13" s="73" t="s">
        <v>76</v>
      </c>
      <c r="S13" s="73">
        <v>7.9600000000000001E-3</v>
      </c>
      <c r="T13" s="19"/>
    </row>
    <row r="14" spans="3:20" ht="13.5" thickBot="1">
      <c r="C14" s="54" t="s">
        <v>4</v>
      </c>
      <c r="D14" s="66">
        <v>0.01</v>
      </c>
      <c r="J14" s="7"/>
      <c r="K14" s="7"/>
      <c r="L14" s="9" t="s">
        <v>41</v>
      </c>
      <c r="M14" s="6"/>
      <c r="N14" s="7"/>
      <c r="O14" s="7"/>
      <c r="P14" s="19"/>
      <c r="Q14" s="19"/>
      <c r="R14" s="73" t="s">
        <v>241</v>
      </c>
      <c r="S14" s="73">
        <v>5.4299999999999999E-3</v>
      </c>
      <c r="T14" s="19"/>
    </row>
    <row r="15" spans="3:20">
      <c r="J15" s="7"/>
      <c r="K15" s="7"/>
      <c r="L15" s="2" t="s">
        <v>42</v>
      </c>
      <c r="M15" s="11" t="s">
        <v>251</v>
      </c>
      <c r="N15" s="7"/>
      <c r="O15" s="7"/>
      <c r="P15" s="19"/>
      <c r="Q15" s="19"/>
      <c r="R15" s="73" t="s">
        <v>242</v>
      </c>
      <c r="S15" s="73">
        <v>5.1700000000000001E-3</v>
      </c>
      <c r="T15" s="19"/>
    </row>
    <row r="16" spans="3:20" ht="13.5" thickBot="1">
      <c r="C16" s="56" t="s">
        <v>7</v>
      </c>
      <c r="J16" s="7"/>
      <c r="K16" s="7"/>
      <c r="L16" s="2" t="s">
        <v>43</v>
      </c>
      <c r="M16" s="15" t="s">
        <v>252</v>
      </c>
      <c r="N16" s="7"/>
      <c r="O16" s="7"/>
      <c r="P16" s="19"/>
      <c r="Q16" s="19"/>
      <c r="R16" s="73" t="s">
        <v>243</v>
      </c>
      <c r="S16" s="73">
        <v>3.8500000000000001E-3</v>
      </c>
      <c r="T16" s="19"/>
    </row>
    <row r="17" spans="3:22">
      <c r="C17" s="50" t="s">
        <v>5</v>
      </c>
      <c r="D17" s="60">
        <v>1</v>
      </c>
      <c r="G17" s="144" t="s">
        <v>30</v>
      </c>
      <c r="H17" s="145"/>
      <c r="I17" s="146"/>
      <c r="J17" s="7"/>
      <c r="K17" s="7"/>
      <c r="L17" s="2"/>
      <c r="M17" s="12"/>
      <c r="N17" s="7"/>
      <c r="O17" s="7"/>
      <c r="P17" s="19"/>
      <c r="Q17" s="19"/>
      <c r="R17" s="73" t="s">
        <v>244</v>
      </c>
      <c r="S17" s="73">
        <v>3.6900000000000001E-3</v>
      </c>
      <c r="T17" s="19"/>
    </row>
    <row r="18" spans="3:22" ht="13.5" thickBot="1">
      <c r="C18" s="52" t="s">
        <v>45</v>
      </c>
      <c r="D18" s="57">
        <v>0.5</v>
      </c>
      <c r="G18" s="147"/>
      <c r="H18" s="148"/>
      <c r="I18" s="149"/>
      <c r="J18" s="7"/>
      <c r="K18" s="7"/>
      <c r="L18" s="3" t="s">
        <v>27</v>
      </c>
      <c r="M18" s="14" t="s">
        <v>86</v>
      </c>
      <c r="N18" s="7"/>
      <c r="O18" s="7"/>
      <c r="P18" s="19"/>
      <c r="Q18" s="19"/>
      <c r="R18" s="73" t="s">
        <v>245</v>
      </c>
      <c r="S18" s="73">
        <v>2.49E-3</v>
      </c>
      <c r="T18" s="19"/>
    </row>
    <row r="19" spans="3:22">
      <c r="C19" s="52" t="s">
        <v>23</v>
      </c>
      <c r="D19" s="59">
        <v>0.7</v>
      </c>
      <c r="J19" s="7"/>
      <c r="K19" s="7"/>
      <c r="L19" s="7"/>
      <c r="M19" s="7"/>
      <c r="N19" s="7"/>
      <c r="O19" s="7"/>
      <c r="R19" s="73" t="s">
        <v>246</v>
      </c>
      <c r="S19" s="73">
        <v>2.6900000000000001E-3</v>
      </c>
      <c r="T19" s="19"/>
    </row>
    <row r="20" spans="3:22" ht="13.5" thickBot="1">
      <c r="C20" s="54" t="s">
        <v>22</v>
      </c>
      <c r="D20" s="61">
        <v>0.03</v>
      </c>
      <c r="J20" s="7"/>
      <c r="K20" s="7"/>
      <c r="L20" s="141" t="s">
        <v>28</v>
      </c>
      <c r="M20" s="141"/>
      <c r="N20" s="7"/>
      <c r="O20" s="7"/>
      <c r="R20" s="73" t="s">
        <v>247</v>
      </c>
      <c r="S20" s="73">
        <v>2.0500000000000002E-3</v>
      </c>
      <c r="T20" s="19"/>
    </row>
    <row r="21" spans="3:22">
      <c r="J21" s="7"/>
      <c r="K21" s="7"/>
      <c r="L21" s="16" t="s">
        <v>14</v>
      </c>
      <c r="M21" s="68">
        <v>89.764120823178644</v>
      </c>
      <c r="N21" s="7"/>
      <c r="O21" s="7"/>
      <c r="R21" s="73" t="s">
        <v>248</v>
      </c>
      <c r="S21" s="73">
        <v>2.32E-3</v>
      </c>
      <c r="T21" s="19"/>
    </row>
    <row r="22" spans="3:22" ht="13.5" thickBot="1">
      <c r="C22" s="56" t="s">
        <v>8</v>
      </c>
      <c r="J22" s="7"/>
      <c r="K22" s="7"/>
      <c r="L22" s="2" t="s">
        <v>56</v>
      </c>
      <c r="M22" s="72">
        <v>5.2819799999999999</v>
      </c>
      <c r="N22" s="7"/>
      <c r="O22" s="7"/>
      <c r="R22" s="73" t="s">
        <v>249</v>
      </c>
      <c r="S22" s="73">
        <v>1.6199999999999999E-3</v>
      </c>
      <c r="T22" s="19"/>
    </row>
    <row r="23" spans="3:22">
      <c r="C23" s="63" t="s">
        <v>9</v>
      </c>
      <c r="D23" s="60">
        <v>1</v>
      </c>
      <c r="J23" s="7"/>
      <c r="K23" s="7"/>
      <c r="L23" s="2" t="s">
        <v>39</v>
      </c>
      <c r="M23" s="13">
        <v>0.58460000000000001</v>
      </c>
      <c r="N23" s="7"/>
      <c r="O23" s="7"/>
      <c r="R23" s="73" t="s">
        <v>250</v>
      </c>
      <c r="S23" s="73">
        <v>0.30481999999999998</v>
      </c>
      <c r="T23" s="19"/>
    </row>
    <row r="24" spans="3:22" ht="13.5" thickBot="1">
      <c r="C24" s="64" t="s">
        <v>10</v>
      </c>
      <c r="D24" s="61">
        <v>0.6</v>
      </c>
      <c r="J24" s="7"/>
      <c r="K24" s="7"/>
      <c r="L24" s="2"/>
      <c r="M24" s="8"/>
      <c r="N24" s="7"/>
      <c r="O24" s="7"/>
      <c r="T24" s="19"/>
    </row>
    <row r="25" spans="3:22">
      <c r="J25" s="7"/>
      <c r="K25" s="7"/>
      <c r="L25" s="9" t="s">
        <v>26</v>
      </c>
      <c r="M25" s="8"/>
      <c r="N25" s="7"/>
      <c r="O25" s="7"/>
      <c r="T25" s="19"/>
      <c r="U25" s="7"/>
      <c r="V25" s="7"/>
    </row>
    <row r="26" spans="3:22" ht="13.5" thickBot="1">
      <c r="C26" s="56" t="s">
        <v>31</v>
      </c>
      <c r="J26" s="7"/>
      <c r="K26" s="7"/>
      <c r="L26" s="2" t="s">
        <v>15</v>
      </c>
      <c r="M26" s="71"/>
      <c r="N26" s="7"/>
      <c r="O26" s="7"/>
      <c r="T26" s="19"/>
      <c r="U26" s="7"/>
      <c r="V26" s="7"/>
    </row>
    <row r="27" spans="3:22" ht="13.5" thickBot="1">
      <c r="C27" s="65" t="s">
        <v>32</v>
      </c>
      <c r="D27" s="70">
        <v>100000</v>
      </c>
      <c r="J27" s="7"/>
      <c r="K27" s="7"/>
      <c r="L27" s="2" t="s">
        <v>16</v>
      </c>
      <c r="M27" s="71"/>
      <c r="N27" s="7"/>
      <c r="O27" s="7"/>
      <c r="T27" s="19"/>
      <c r="U27" s="7"/>
      <c r="V27" s="7"/>
    </row>
    <row r="28" spans="3:22">
      <c r="J28" s="7"/>
      <c r="K28" s="7"/>
      <c r="L28" s="10" t="s">
        <v>17</v>
      </c>
      <c r="M28" s="71"/>
      <c r="N28" s="7"/>
      <c r="O28" s="7"/>
      <c r="T28" s="19"/>
      <c r="U28" s="7"/>
      <c r="V28" s="7"/>
    </row>
    <row r="29" spans="3:22" ht="13.5" thickBot="1">
      <c r="C29" s="56" t="s">
        <v>33</v>
      </c>
      <c r="J29" s="7"/>
      <c r="K29" s="7"/>
      <c r="L29" s="2"/>
      <c r="M29" s="6"/>
      <c r="N29" s="7"/>
      <c r="O29" s="7"/>
      <c r="T29" s="19"/>
      <c r="U29" s="7"/>
      <c r="V29" s="7"/>
    </row>
    <row r="30" spans="3:22">
      <c r="C30" s="50" t="s">
        <v>40</v>
      </c>
      <c r="D30" s="51">
        <v>1</v>
      </c>
      <c r="J30" s="7"/>
      <c r="K30" s="7"/>
      <c r="L30" s="9" t="s">
        <v>41</v>
      </c>
      <c r="M30" s="6"/>
      <c r="N30" s="7"/>
      <c r="O30" s="7"/>
      <c r="T30" s="19"/>
      <c r="U30" s="7"/>
      <c r="V30" s="7"/>
    </row>
    <row r="31" spans="3:22">
      <c r="C31" s="52" t="s">
        <v>36</v>
      </c>
      <c r="D31" s="53">
        <v>0.15</v>
      </c>
      <c r="J31" s="7"/>
      <c r="K31" s="7"/>
      <c r="L31" s="2" t="s">
        <v>42</v>
      </c>
      <c r="M31" s="11" t="s">
        <v>140</v>
      </c>
      <c r="N31" s="7"/>
      <c r="O31" s="7"/>
      <c r="T31" s="19"/>
      <c r="U31" s="7"/>
      <c r="V31" s="7"/>
    </row>
    <row r="32" spans="3:22">
      <c r="C32" s="52" t="s">
        <v>35</v>
      </c>
      <c r="D32" s="53">
        <v>0.02</v>
      </c>
      <c r="J32" s="7"/>
      <c r="K32" s="7"/>
      <c r="L32" s="2" t="s">
        <v>43</v>
      </c>
      <c r="M32" s="15"/>
      <c r="N32" s="7"/>
      <c r="O32" s="7"/>
      <c r="T32" s="19"/>
      <c r="U32" s="7"/>
      <c r="V32" s="7"/>
    </row>
    <row r="33" spans="3:22" ht="13.5" thickBot="1">
      <c r="C33" s="54" t="s">
        <v>37</v>
      </c>
      <c r="D33" s="55">
        <v>-0.6</v>
      </c>
      <c r="J33" s="7"/>
      <c r="K33" s="7"/>
      <c r="L33" s="2"/>
      <c r="M33" s="12"/>
      <c r="N33" s="7"/>
      <c r="O33" s="7"/>
      <c r="T33" s="19"/>
      <c r="V33" s="7"/>
    </row>
    <row r="34" spans="3:22" ht="13.5" thickBot="1">
      <c r="J34" s="7"/>
      <c r="K34" s="7"/>
      <c r="L34" s="3" t="s">
        <v>27</v>
      </c>
      <c r="M34" s="14" t="s">
        <v>29</v>
      </c>
      <c r="N34" s="7"/>
      <c r="O34" s="7"/>
      <c r="T34" s="19"/>
    </row>
    <row r="35" spans="3:22" ht="13.5" thickBot="1">
      <c r="C35" s="56" t="s">
        <v>85</v>
      </c>
      <c r="J35" s="7"/>
      <c r="K35" s="7"/>
      <c r="L35" s="7"/>
      <c r="M35" s="7"/>
      <c r="N35" s="7"/>
      <c r="O35" s="7"/>
      <c r="T35" s="19"/>
    </row>
    <row r="36" spans="3:22">
      <c r="C36" s="63" t="s">
        <v>81</v>
      </c>
      <c r="D36" s="60" t="s">
        <v>83</v>
      </c>
      <c r="K36" s="7"/>
      <c r="L36" s="7"/>
      <c r="M36" s="7"/>
      <c r="N36" s="7"/>
      <c r="O36" s="7"/>
      <c r="T36" s="19"/>
    </row>
    <row r="37" spans="3:22" ht="13.5" thickBot="1">
      <c r="C37" s="64" t="s">
        <v>82</v>
      </c>
      <c r="D37" s="61">
        <v>4.7999999999999996E-3</v>
      </c>
      <c r="K37" s="7"/>
      <c r="N37" s="7"/>
      <c r="O37" s="7"/>
      <c r="T37" s="19"/>
    </row>
    <row r="38" spans="3:22">
      <c r="K38" s="7"/>
      <c r="N38" s="7"/>
      <c r="O38" s="7"/>
      <c r="T38" s="19"/>
    </row>
    <row r="39" spans="3:22">
      <c r="T39" s="19"/>
    </row>
    <row r="40" spans="3:22">
      <c r="T40" s="19"/>
    </row>
    <row r="41" spans="3:22">
      <c r="T41" s="19"/>
    </row>
    <row r="42" spans="3:22">
      <c r="T42" s="19"/>
    </row>
    <row r="43" spans="3:22">
      <c r="T43" s="19"/>
    </row>
    <row r="44" spans="3:22">
      <c r="T44" s="19"/>
    </row>
    <row r="45" spans="3:22">
      <c r="T45" s="19"/>
    </row>
    <row r="46" spans="3:22">
      <c r="T46" s="19"/>
    </row>
    <row r="47" spans="3:22">
      <c r="T47" s="19"/>
    </row>
    <row r="48" spans="3:22">
      <c r="T48" s="19"/>
    </row>
    <row r="49" spans="20:20">
      <c r="T49" s="19"/>
    </row>
    <row r="50" spans="20:20">
      <c r="T50" s="19"/>
    </row>
    <row r="51" spans="20:20">
      <c r="T51" s="19"/>
    </row>
    <row r="52" spans="20:20">
      <c r="T52" s="19"/>
    </row>
    <row r="53" spans="20:20">
      <c r="T53" s="19"/>
    </row>
    <row r="54" spans="20:20">
      <c r="T54" s="19"/>
    </row>
    <row r="55" spans="20:20">
      <c r="T55" s="19"/>
    </row>
    <row r="56" spans="20:20">
      <c r="T56" s="19"/>
    </row>
    <row r="57" spans="20:20">
      <c r="T57" s="19"/>
    </row>
    <row r="58" spans="20:20">
      <c r="T58" s="19"/>
    </row>
    <row r="59" spans="20:20">
      <c r="T59" s="19"/>
    </row>
    <row r="60" spans="20:20">
      <c r="T60" s="19"/>
    </row>
    <row r="61" spans="20:20">
      <c r="T61" s="19"/>
    </row>
    <row r="62" spans="20:20">
      <c r="T62" s="19"/>
    </row>
    <row r="63" spans="20:20">
      <c r="T63" s="19"/>
    </row>
    <row r="64" spans="20:20">
      <c r="T64" s="19"/>
    </row>
    <row r="65" spans="20:20">
      <c r="T65" s="19"/>
    </row>
    <row r="66" spans="20:20">
      <c r="T66" s="19"/>
    </row>
    <row r="67" spans="20:20">
      <c r="T67" s="19"/>
    </row>
    <row r="68" spans="20:20">
      <c r="T68" s="19"/>
    </row>
    <row r="69" spans="20:20">
      <c r="T69" s="19"/>
    </row>
    <row r="70" spans="20:20">
      <c r="T70" s="19"/>
    </row>
    <row r="71" spans="20:20">
      <c r="T71" s="19"/>
    </row>
    <row r="72" spans="20:20">
      <c r="T72" s="19"/>
    </row>
    <row r="73" spans="20:20">
      <c r="T73" s="19"/>
    </row>
    <row r="74" spans="20:20">
      <c r="T74" s="19"/>
    </row>
    <row r="75" spans="20:20">
      <c r="T75" s="19"/>
    </row>
    <row r="76" spans="20:20">
      <c r="T76" s="19"/>
    </row>
    <row r="77" spans="20:20">
      <c r="T77" s="19"/>
    </row>
    <row r="78" spans="20:20">
      <c r="T78" s="19"/>
    </row>
    <row r="79" spans="20:20">
      <c r="T79" s="19"/>
    </row>
    <row r="80" spans="20:20">
      <c r="T80" s="19"/>
    </row>
    <row r="81" spans="20:20">
      <c r="T81" s="19"/>
    </row>
    <row r="82" spans="20:20">
      <c r="T82" s="19"/>
    </row>
    <row r="83" spans="20:20">
      <c r="T83" s="19"/>
    </row>
  </sheetData>
  <mergeCells count="9">
    <mergeCell ref="L20:M20"/>
    <mergeCell ref="L4:M4"/>
    <mergeCell ref="C2:D2"/>
    <mergeCell ref="L2:M2"/>
    <mergeCell ref="G17:I18"/>
    <mergeCell ref="H6:I6"/>
    <mergeCell ref="H4:I4"/>
    <mergeCell ref="H5:I5"/>
    <mergeCell ref="H7:I7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0"/>
  <sheetViews>
    <sheetView showGridLines="0" workbookViewId="0">
      <selection activeCell="H26" sqref="H26"/>
    </sheetView>
  </sheetViews>
  <sheetFormatPr defaultRowHeight="12.75"/>
  <cols>
    <col min="1" max="1" width="7.5703125" style="4" bestFit="1" customWidth="1"/>
    <col min="2" max="2" width="10.140625" style="29" bestFit="1" customWidth="1"/>
    <col min="3" max="3" width="8.5703125" style="5" bestFit="1" customWidth="1"/>
    <col min="4" max="4" width="7.85546875" style="26" bestFit="1" customWidth="1"/>
    <col min="5" max="5" width="8.5703125" style="26" bestFit="1" customWidth="1"/>
    <col min="6" max="6" width="7.5703125" style="4" bestFit="1" customWidth="1"/>
    <col min="7" max="7" width="11.5703125" style="4" bestFit="1" customWidth="1"/>
    <col min="8" max="8" width="15.42578125" style="5" bestFit="1" customWidth="1"/>
    <col min="9" max="9" width="13.5703125" style="5" customWidth="1"/>
    <col min="10" max="10" width="10.140625" style="5" bestFit="1" customWidth="1"/>
    <col min="11" max="11" width="22.85546875" style="5" bestFit="1" customWidth="1"/>
    <col min="12" max="12" width="12" style="5" bestFit="1" customWidth="1"/>
    <col min="13" max="16384" width="9.140625" style="5"/>
  </cols>
  <sheetData>
    <row r="1" spans="1:14">
      <c r="A1" s="22"/>
      <c r="B1" s="151" t="s">
        <v>44</v>
      </c>
      <c r="C1" s="151"/>
      <c r="D1" s="151"/>
      <c r="E1" s="43"/>
      <c r="F1" s="22"/>
      <c r="G1" s="22"/>
      <c r="H1" s="21"/>
      <c r="I1" s="21"/>
      <c r="J1" s="152" t="s">
        <v>48</v>
      </c>
      <c r="K1" s="152"/>
      <c r="L1" s="152"/>
      <c r="M1" s="21"/>
    </row>
    <row r="2" spans="1:14" ht="13.5" thickBot="1">
      <c r="A2" s="22"/>
      <c r="B2" s="27" t="s">
        <v>46</v>
      </c>
      <c r="C2" s="23" t="s">
        <v>1</v>
      </c>
      <c r="D2" s="25" t="s">
        <v>21</v>
      </c>
      <c r="E2" s="25" t="s">
        <v>53</v>
      </c>
      <c r="G2" s="23" t="s">
        <v>46</v>
      </c>
      <c r="H2" s="23" t="s">
        <v>47</v>
      </c>
      <c r="I2" s="21"/>
      <c r="J2" s="36" t="s">
        <v>49</v>
      </c>
      <c r="K2" s="36" t="s">
        <v>50</v>
      </c>
      <c r="L2" s="34"/>
      <c r="M2" s="21"/>
      <c r="N2"/>
    </row>
    <row r="3" spans="1:14" ht="13.5" thickBot="1">
      <c r="A3" s="22"/>
      <c r="B3" s="28">
        <v>44294</v>
      </c>
      <c r="C3" s="20">
        <v>3956.7700000044451</v>
      </c>
      <c r="D3" s="24">
        <v>0</v>
      </c>
      <c r="E3" s="24">
        <v>0</v>
      </c>
      <c r="G3" s="28">
        <v>44659</v>
      </c>
      <c r="H3" s="24">
        <v>0.38146000000000002</v>
      </c>
      <c r="I3" s="21"/>
      <c r="J3" s="31" t="s">
        <v>6</v>
      </c>
      <c r="K3" s="41" t="s">
        <v>51</v>
      </c>
      <c r="L3" s="42" t="s">
        <v>52</v>
      </c>
      <c r="M3" s="21"/>
      <c r="N3"/>
    </row>
    <row r="4" spans="1:14">
      <c r="A4" s="22"/>
      <c r="B4" s="28">
        <v>44659</v>
      </c>
      <c r="C4" s="20">
        <v>3801.7255589043939</v>
      </c>
      <c r="D4" s="24">
        <v>-3.9972977760739284E-2</v>
      </c>
      <c r="E4" s="24">
        <v>-3.8999999999999986E-2</v>
      </c>
      <c r="G4" s="28">
        <v>45024</v>
      </c>
      <c r="H4" s="24">
        <v>0.10414</v>
      </c>
      <c r="I4" s="21"/>
      <c r="J4" s="32">
        <v>44151</v>
      </c>
      <c r="K4" s="37">
        <v>-4.9306294671007467E-3</v>
      </c>
      <c r="L4" s="30">
        <v>1.0012976643313904</v>
      </c>
      <c r="M4" s="21"/>
      <c r="N4"/>
    </row>
    <row r="5" spans="1:14">
      <c r="A5" s="22"/>
      <c r="B5" s="28">
        <v>45024</v>
      </c>
      <c r="C5" s="20">
        <v>3659.6604808773609</v>
      </c>
      <c r="D5" s="24">
        <v>-7.8057657549171502E-2</v>
      </c>
      <c r="E5" s="24">
        <v>-7.7999999999999889E-2</v>
      </c>
      <c r="G5" s="28">
        <v>45390</v>
      </c>
      <c r="H5" s="24">
        <v>3.091E-2</v>
      </c>
      <c r="I5" s="21"/>
      <c r="J5" s="32">
        <v>44181</v>
      </c>
      <c r="K5" s="37">
        <v>-4.8673316790629742E-3</v>
      </c>
      <c r="L5" s="30">
        <v>1.0016816419425485</v>
      </c>
      <c r="M5" s="21"/>
      <c r="N5"/>
    </row>
    <row r="6" spans="1:14">
      <c r="A6" s="22"/>
      <c r="B6" s="28">
        <v>45390</v>
      </c>
      <c r="C6" s="20">
        <v>3530.898277852823</v>
      </c>
      <c r="D6" s="24">
        <v>-0.11387572765193257</v>
      </c>
      <c r="E6" s="24">
        <v>-0.11699999999999999</v>
      </c>
      <c r="G6" s="28">
        <v>45755</v>
      </c>
      <c r="H6" s="24">
        <v>2.4680000000000001E-2</v>
      </c>
      <c r="I6" s="21"/>
      <c r="J6" s="39">
        <v>44271</v>
      </c>
      <c r="K6" s="37">
        <v>-4.7942538412073651E-3</v>
      </c>
      <c r="L6" s="33">
        <v>1.0028411759904665</v>
      </c>
      <c r="M6" s="21"/>
      <c r="N6"/>
    </row>
    <row r="7" spans="1:14">
      <c r="A7" s="22"/>
      <c r="B7" s="28">
        <v>45755</v>
      </c>
      <c r="C7" s="20">
        <v>3413.3279599438774</v>
      </c>
      <c r="D7" s="24">
        <v>-0.14774027916510027</v>
      </c>
      <c r="E7" s="24">
        <v>-0.15599999999999989</v>
      </c>
      <c r="G7" s="28">
        <v>46120</v>
      </c>
      <c r="H7" s="24">
        <v>1.635E-2</v>
      </c>
      <c r="I7" s="21"/>
      <c r="J7" s="39">
        <v>44364</v>
      </c>
      <c r="K7" s="37">
        <v>-4.7635794676614308E-3</v>
      </c>
      <c r="L7" s="33">
        <v>1.0040408713121414</v>
      </c>
      <c r="M7" s="21"/>
      <c r="N7"/>
    </row>
    <row r="8" spans="1:14">
      <c r="A8" s="22"/>
      <c r="B8" s="28">
        <v>46120</v>
      </c>
      <c r="C8" s="20">
        <v>3302.7895805156204</v>
      </c>
      <c r="D8" s="24">
        <v>-0.18066059705851836</v>
      </c>
      <c r="E8" s="24">
        <v>-0.19499999999999998</v>
      </c>
      <c r="G8" s="28">
        <v>46485</v>
      </c>
      <c r="H8" s="24">
        <v>9.2499999999999995E-3</v>
      </c>
      <c r="I8" s="21"/>
      <c r="J8" s="39">
        <v>44455</v>
      </c>
      <c r="K8" s="37">
        <v>-4.7473741718558875E-3</v>
      </c>
      <c r="L8" s="33">
        <v>1.0052161588655018</v>
      </c>
      <c r="M8" s="21"/>
      <c r="N8"/>
    </row>
    <row r="9" spans="1:14">
      <c r="A9" s="22"/>
      <c r="B9" s="28">
        <v>46485</v>
      </c>
      <c r="C9" s="20">
        <v>3186.5544837358798</v>
      </c>
      <c r="D9" s="24">
        <v>-0.21648780194496417</v>
      </c>
      <c r="E9" s="24">
        <v>-0.23399999999999987</v>
      </c>
      <c r="G9" s="28">
        <v>46851</v>
      </c>
      <c r="H9" s="24">
        <v>6.3899999999999998E-3</v>
      </c>
      <c r="I9" s="21"/>
      <c r="J9" s="39">
        <v>44545</v>
      </c>
      <c r="K9" s="37">
        <v>-4.7278077501248933E-3</v>
      </c>
      <c r="L9" s="33">
        <v>1.0063671043702989</v>
      </c>
      <c r="M9" s="21"/>
      <c r="N9"/>
    </row>
    <row r="10" spans="1:14">
      <c r="A10" s="22"/>
      <c r="B10" s="28">
        <v>46851</v>
      </c>
      <c r="C10" s="20">
        <v>3069.9466330012324</v>
      </c>
      <c r="D10" s="24">
        <v>-0.25376785781112893</v>
      </c>
      <c r="E10" s="24">
        <v>-0.27299999999999985</v>
      </c>
      <c r="G10" s="28">
        <v>47216</v>
      </c>
      <c r="H10" s="24">
        <v>8.2500000000000004E-3</v>
      </c>
      <c r="I10" s="21"/>
      <c r="J10" s="39">
        <v>44635</v>
      </c>
      <c r="K10" s="37">
        <v>-4.7143698761616566E-3</v>
      </c>
      <c r="L10" s="33">
        <v>1.0075194576684046</v>
      </c>
      <c r="M10" s="21"/>
      <c r="N10"/>
    </row>
    <row r="11" spans="1:14">
      <c r="A11" s="22"/>
      <c r="B11" s="28">
        <v>47216</v>
      </c>
      <c r="C11" s="20">
        <v>2958.088753364646</v>
      </c>
      <c r="D11" s="24">
        <v>-0.29088466751530367</v>
      </c>
      <c r="E11" s="24">
        <v>-0.31199999999999967</v>
      </c>
      <c r="G11" s="28">
        <v>47581</v>
      </c>
      <c r="H11" s="24">
        <v>9.4000000000000004E-3</v>
      </c>
      <c r="I11" s="21"/>
      <c r="J11" s="39">
        <v>44789</v>
      </c>
      <c r="K11" s="37">
        <v>-4.7078003189481767E-3</v>
      </c>
      <c r="L11" s="33">
        <v>1.0095121485973972</v>
      </c>
      <c r="M11" s="21"/>
      <c r="N11"/>
    </row>
    <row r="12" spans="1:14">
      <c r="A12" s="22"/>
      <c r="B12" s="28">
        <v>47581</v>
      </c>
      <c r="C12" s="20">
        <v>2853.030289246316</v>
      </c>
      <c r="D12" s="24">
        <v>-0.32704634706658964</v>
      </c>
      <c r="E12" s="24">
        <v>-0.35099999999999981</v>
      </c>
      <c r="G12" s="28">
        <v>47946</v>
      </c>
      <c r="H12" s="24">
        <v>0.40916999999999998</v>
      </c>
      <c r="I12" s="21"/>
      <c r="J12" s="39">
        <v>45153</v>
      </c>
      <c r="K12" s="37">
        <v>-4.5935399695913887E-3</v>
      </c>
      <c r="L12" s="33">
        <v>1.0139142900634874</v>
      </c>
      <c r="M12" s="21"/>
      <c r="N12"/>
    </row>
    <row r="13" spans="1:14">
      <c r="A13" s="22"/>
      <c r="B13" s="28">
        <v>47946</v>
      </c>
      <c r="C13" s="20">
        <v>2746.752317178999</v>
      </c>
      <c r="D13" s="24">
        <v>-0.36500879766588779</v>
      </c>
      <c r="E13" s="24">
        <v>-0.38999999999999974</v>
      </c>
      <c r="F13" s="22"/>
      <c r="G13" s="44"/>
      <c r="H13" s="21"/>
      <c r="I13" s="21"/>
      <c r="J13" s="39">
        <v>45518</v>
      </c>
      <c r="K13" s="37">
        <v>-4.4124526470527307E-3</v>
      </c>
      <c r="L13" s="33">
        <v>1.0178434021053386</v>
      </c>
      <c r="M13" s="21"/>
      <c r="N13"/>
    </row>
    <row r="14" spans="1:14">
      <c r="A14" s="22"/>
      <c r="B14" s="44"/>
      <c r="C14" s="22"/>
      <c r="D14" s="46"/>
      <c r="E14" s="46"/>
      <c r="H14" s="21"/>
      <c r="I14" s="21"/>
      <c r="J14" s="39">
        <v>45883</v>
      </c>
      <c r="K14" s="37">
        <v>-4.1853284872596219E-3</v>
      </c>
      <c r="L14" s="33">
        <v>1.0211822680486637</v>
      </c>
      <c r="M14" s="21"/>
      <c r="N14"/>
    </row>
    <row r="15" spans="1:14">
      <c r="A15" s="22"/>
      <c r="B15" s="44"/>
      <c r="C15" s="22"/>
      <c r="D15" s="46"/>
      <c r="E15" s="46"/>
      <c r="H15" s="21"/>
      <c r="I15" s="21"/>
      <c r="J15" s="39">
        <v>46248</v>
      </c>
      <c r="K15" s="37">
        <v>-3.872155259952314E-3</v>
      </c>
      <c r="L15" s="33">
        <v>1.0235374928981467</v>
      </c>
      <c r="M15" s="21"/>
      <c r="N15"/>
    </row>
    <row r="16" spans="1:14">
      <c r="A16" s="22"/>
      <c r="B16" s="44"/>
      <c r="C16" s="22"/>
      <c r="D16" s="46"/>
      <c r="E16" s="46"/>
      <c r="F16" s="22"/>
      <c r="G16" s="22"/>
      <c r="H16" s="22"/>
      <c r="I16" s="22"/>
      <c r="J16" s="39">
        <v>46615</v>
      </c>
      <c r="K16" s="37">
        <v>-3.503539027145142E-3</v>
      </c>
      <c r="L16" s="33">
        <v>1.0248771655028126</v>
      </c>
      <c r="M16" s="22"/>
      <c r="N16"/>
    </row>
    <row r="17" spans="1:14">
      <c r="A17" s="22"/>
      <c r="B17" s="44"/>
      <c r="C17" s="22"/>
      <c r="D17" s="46"/>
      <c r="E17" s="46"/>
      <c r="F17" s="22"/>
      <c r="G17" s="22"/>
      <c r="H17" s="21"/>
      <c r="I17" s="21"/>
      <c r="J17" s="39">
        <v>46980</v>
      </c>
      <c r="K17" s="37">
        <v>-3.1056841046853217E-3</v>
      </c>
      <c r="L17" s="33">
        <v>1.0252003085315013</v>
      </c>
      <c r="M17" s="21"/>
      <c r="N17"/>
    </row>
    <row r="18" spans="1:14">
      <c r="A18" s="22"/>
      <c r="B18" s="44"/>
      <c r="C18" s="22"/>
      <c r="D18" s="46"/>
      <c r="E18" s="46"/>
      <c r="F18" s="22"/>
      <c r="G18" s="22"/>
      <c r="H18" s="21"/>
      <c r="I18" s="21"/>
      <c r="J18" s="39">
        <v>47344</v>
      </c>
      <c r="K18" s="37">
        <v>-2.6910979256937187E-3</v>
      </c>
      <c r="L18" s="33">
        <v>1.0245457799022573</v>
      </c>
      <c r="M18" s="21"/>
      <c r="N18"/>
    </row>
    <row r="19" spans="1:14">
      <c r="B19" s="44"/>
      <c r="C19" s="22"/>
      <c r="D19" s="46"/>
      <c r="E19" s="46"/>
      <c r="H19" s="21"/>
      <c r="I19" s="21"/>
      <c r="J19" s="39">
        <v>47709</v>
      </c>
      <c r="K19" s="37">
        <v>-2.2246148225541834E-3</v>
      </c>
      <c r="L19" s="33">
        <v>1.022520367003287</v>
      </c>
      <c r="M19" s="21"/>
      <c r="N19"/>
    </row>
    <row r="20" spans="1:14">
      <c r="B20" s="44"/>
      <c r="C20" s="22"/>
      <c r="D20" s="46"/>
      <c r="E20" s="46"/>
      <c r="G20" s="5"/>
      <c r="J20" s="39">
        <v>48074</v>
      </c>
      <c r="K20" s="37">
        <v>-1.7769113592957272E-3</v>
      </c>
      <c r="L20" s="33">
        <v>1.0197581567456158</v>
      </c>
      <c r="N20"/>
    </row>
    <row r="21" spans="1:14">
      <c r="B21" s="44"/>
      <c r="C21" s="22"/>
      <c r="D21" s="46"/>
      <c r="E21" s="46"/>
      <c r="G21" s="5"/>
      <c r="J21" s="39">
        <v>48442</v>
      </c>
      <c r="K21" s="37">
        <v>-1.3627339872932041E-3</v>
      </c>
      <c r="L21" s="33">
        <v>1.0165138126878774</v>
      </c>
      <c r="N21"/>
    </row>
    <row r="22" spans="1:14">
      <c r="B22" s="44"/>
      <c r="C22" s="22"/>
      <c r="D22" s="46"/>
      <c r="E22" s="46"/>
      <c r="G22" s="5"/>
      <c r="J22" s="39">
        <v>49535</v>
      </c>
      <c r="K22" s="37">
        <v>-3.0275402176982284E-4</v>
      </c>
      <c r="L22" s="33">
        <v>1.004555803904728</v>
      </c>
      <c r="N22"/>
    </row>
    <row r="23" spans="1:14">
      <c r="B23" s="44"/>
      <c r="C23" s="22"/>
      <c r="D23" s="46"/>
      <c r="E23" s="46"/>
      <c r="G23" s="5"/>
      <c r="J23" s="39">
        <v>51362</v>
      </c>
      <c r="K23" s="37">
        <v>5.2712363548637739E-4</v>
      </c>
      <c r="L23" s="33">
        <v>0.98950290122753715</v>
      </c>
      <c r="N23"/>
    </row>
    <row r="24" spans="1:14">
      <c r="B24" s="44"/>
      <c r="C24" s="21"/>
      <c r="D24" s="43"/>
      <c r="E24" s="43"/>
      <c r="G24" s="5"/>
      <c r="J24" s="39">
        <v>53189</v>
      </c>
      <c r="K24" s="37">
        <v>4.954004081862912E-4</v>
      </c>
      <c r="L24" s="33">
        <v>0.98767930346792721</v>
      </c>
      <c r="N24"/>
    </row>
    <row r="25" spans="1:14">
      <c r="B25" s="44"/>
      <c r="C25" s="21"/>
      <c r="D25" s="43"/>
      <c r="E25" s="43"/>
      <c r="G25" s="5"/>
      <c r="J25" s="39">
        <v>55016</v>
      </c>
      <c r="K25" s="37">
        <v>2.2013432189934258E-4</v>
      </c>
      <c r="L25" s="33">
        <v>0.99341113852702689</v>
      </c>
    </row>
    <row r="26" spans="1:14">
      <c r="B26" s="44"/>
      <c r="C26" s="21"/>
      <c r="D26" s="43"/>
      <c r="E26" s="43"/>
      <c r="G26" s="5"/>
      <c r="J26" s="39">
        <v>58669</v>
      </c>
      <c r="K26" s="37">
        <v>-3.1795012732711576E-4</v>
      </c>
      <c r="L26" s="33">
        <v>1.0128115743776136</v>
      </c>
    </row>
    <row r="27" spans="1:14" ht="13.5" thickBot="1">
      <c r="B27" s="44"/>
      <c r="C27" s="21"/>
      <c r="D27" s="43"/>
      <c r="E27" s="43"/>
      <c r="G27" s="5"/>
      <c r="J27" s="40">
        <v>62319</v>
      </c>
      <c r="K27" s="38">
        <v>-8.0908931080269449E-4</v>
      </c>
      <c r="L27" s="35">
        <v>1.0413162095736657</v>
      </c>
    </row>
    <row r="28" spans="1:14">
      <c r="B28" s="45"/>
      <c r="C28" s="21"/>
      <c r="D28" s="43"/>
      <c r="E28" s="43"/>
      <c r="G28" s="5"/>
    </row>
    <row r="29" spans="1:14">
      <c r="B29" s="44"/>
      <c r="C29" s="21"/>
      <c r="D29" s="43"/>
      <c r="E29" s="43"/>
      <c r="G29" s="5"/>
    </row>
    <row r="30" spans="1:14">
      <c r="B30" s="44"/>
      <c r="C30" s="21"/>
      <c r="D30" s="43"/>
      <c r="E30" s="43"/>
      <c r="G30" s="5"/>
    </row>
    <row r="31" spans="1:14">
      <c r="B31" s="44"/>
      <c r="C31" s="21"/>
      <c r="D31" s="43"/>
      <c r="E31" s="43"/>
      <c r="G31" s="5"/>
    </row>
    <row r="32" spans="1:14">
      <c r="B32" s="44"/>
      <c r="C32" s="21"/>
      <c r="D32" s="43"/>
      <c r="E32" s="43"/>
      <c r="G32" s="5"/>
    </row>
    <row r="33" spans="2:7">
      <c r="B33" s="22"/>
      <c r="C33" s="21"/>
      <c r="D33" s="43"/>
      <c r="E33" s="43"/>
      <c r="G33" s="5"/>
    </row>
    <row r="34" spans="2:7">
      <c r="G34" s="5"/>
    </row>
    <row r="35" spans="2:7">
      <c r="G35" s="5"/>
    </row>
    <row r="36" spans="2:7">
      <c r="G36" s="5"/>
    </row>
    <row r="37" spans="2:7">
      <c r="G37" s="5"/>
    </row>
    <row r="38" spans="2:7">
      <c r="G38" s="5"/>
    </row>
    <row r="39" spans="2:7">
      <c r="G39" s="5"/>
    </row>
    <row r="40" spans="2:7">
      <c r="G40" s="5"/>
    </row>
  </sheetData>
  <mergeCells count="2">
    <mergeCell ref="B1:D1"/>
    <mergeCell ref="J1:L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AN166"/>
  <sheetViews>
    <sheetView showGridLines="0" workbookViewId="0">
      <selection activeCell="C11" sqref="C11"/>
    </sheetView>
  </sheetViews>
  <sheetFormatPr defaultRowHeight="12.75"/>
  <cols>
    <col min="2" max="2" width="35.7109375" customWidth="1"/>
    <col min="3" max="3" width="33.28515625" bestFit="1" customWidth="1"/>
    <col min="4" max="4" width="15.7109375" bestFit="1" customWidth="1"/>
    <col min="5" max="5" width="35.7109375" customWidth="1"/>
    <col min="6" max="6" width="18.7109375" bestFit="1" customWidth="1"/>
    <col min="7" max="7" width="23.7109375" bestFit="1" customWidth="1"/>
    <col min="8" max="10" width="8.5703125" bestFit="1" customWidth="1"/>
    <col min="11" max="11" width="12.140625" bestFit="1" customWidth="1"/>
    <col min="12" max="12" width="28.42578125" bestFit="1" customWidth="1"/>
    <col min="13" max="35" width="8.5703125" bestFit="1" customWidth="1"/>
    <col min="36" max="40" width="9.5703125" bestFit="1" customWidth="1"/>
  </cols>
  <sheetData>
    <row r="2" spans="2:13" ht="15">
      <c r="B2" s="107" t="s">
        <v>111</v>
      </c>
    </row>
    <row r="4" spans="2:13">
      <c r="B4" s="155" t="str">
        <f ca="1">[1]!DisplayTransco(Underlying_name,"BBG","ALL")</f>
        <v>TRANSCO</v>
      </c>
      <c r="C4" s="156" t="s">
        <v>99</v>
      </c>
      <c r="E4" s="159" t="str">
        <f ca="1">[1]!DisplayVolatilityUpdateTime(C11,"FORWARD","EUR","CallResult")</f>
        <v>VOLATILITYPARAMLASTUPDATETIME</v>
      </c>
    </row>
    <row r="5" spans="2:13">
      <c r="B5" s="91" t="s">
        <v>87</v>
      </c>
      <c r="C5" s="92" t="s">
        <v>88</v>
      </c>
      <c r="E5" s="109" t="s">
        <v>114</v>
      </c>
    </row>
    <row r="6" spans="2:13">
      <c r="B6" s="85" t="s">
        <v>89</v>
      </c>
      <c r="C6" s="88" t="s">
        <v>13</v>
      </c>
      <c r="E6" s="158">
        <v>44294.396782407406</v>
      </c>
    </row>
    <row r="7" spans="2:13">
      <c r="B7" s="86" t="s">
        <v>90</v>
      </c>
      <c r="C7" s="89" t="s">
        <v>95</v>
      </c>
    </row>
    <row r="8" spans="2:13">
      <c r="B8" s="85" t="s">
        <v>91</v>
      </c>
      <c r="C8" s="88" t="s">
        <v>96</v>
      </c>
    </row>
    <row r="9" spans="2:13">
      <c r="B9" s="86" t="s">
        <v>92</v>
      </c>
      <c r="C9" s="89" t="s">
        <v>97</v>
      </c>
    </row>
    <row r="10" spans="2:13">
      <c r="B10" s="85" t="s">
        <v>93</v>
      </c>
      <c r="C10" s="88" t="s">
        <v>98</v>
      </c>
    </row>
    <row r="11" spans="2:13">
      <c r="B11" s="87" t="s">
        <v>94</v>
      </c>
      <c r="C11" s="90" t="s">
        <v>79</v>
      </c>
    </row>
    <row r="14" spans="2:13" ht="15">
      <c r="B14" s="107" t="s">
        <v>110</v>
      </c>
    </row>
    <row r="16" spans="2:13">
      <c r="B16" s="155" t="str">
        <f ca="1">[1]!DisplayRateCurve(CCy,,,,,TRUE)</f>
        <v>RATECURVE</v>
      </c>
      <c r="C16" s="160" t="s">
        <v>106</v>
      </c>
      <c r="D16" s="156"/>
      <c r="F16" s="155" t="str">
        <f ca="1">[1]!DisplayRateCurve(Main!D5,"ATP EONIA")</f>
        <v>RATECURVE</v>
      </c>
      <c r="G16" s="160" t="s">
        <v>107</v>
      </c>
      <c r="H16" s="156"/>
      <c r="K16" s="155" t="str">
        <f ca="1">[1]!DisplayRateCurve(Main!D5,,,,,TRUE)</f>
        <v>RATECURVE</v>
      </c>
      <c r="L16" s="160" t="s">
        <v>106</v>
      </c>
      <c r="M16" s="156"/>
    </row>
    <row r="17" spans="2:13">
      <c r="B17" s="98" t="s">
        <v>6</v>
      </c>
      <c r="C17" s="100" t="s">
        <v>51</v>
      </c>
      <c r="D17" s="106" t="s">
        <v>52</v>
      </c>
      <c r="F17" s="98" t="s">
        <v>6</v>
      </c>
      <c r="G17" s="100" t="s">
        <v>51</v>
      </c>
      <c r="H17" s="106" t="s">
        <v>52</v>
      </c>
      <c r="K17" s="98" t="s">
        <v>6</v>
      </c>
      <c r="L17" s="100" t="s">
        <v>51</v>
      </c>
      <c r="M17" s="106" t="s">
        <v>52</v>
      </c>
    </row>
    <row r="18" spans="2:13">
      <c r="B18" s="96">
        <v>44305</v>
      </c>
      <c r="C18" s="94">
        <v>-4.8871734665311192E-3</v>
      </c>
      <c r="D18" s="103">
        <v>1.0001472955267343</v>
      </c>
      <c r="F18" s="96">
        <v>44295</v>
      </c>
      <c r="G18" s="94">
        <v>1.2876161769000282E-2</v>
      </c>
      <c r="H18" s="103">
        <v>0.99996472346670007</v>
      </c>
      <c r="K18" s="96">
        <v>44305</v>
      </c>
      <c r="L18" s="94">
        <v>-4.8871734665311192E-3</v>
      </c>
      <c r="M18" s="103">
        <v>1.0001472955267343</v>
      </c>
    </row>
    <row r="19" spans="2:13">
      <c r="B19" s="97">
        <v>44312</v>
      </c>
      <c r="C19" s="81">
        <v>-4.88735161688191E-3</v>
      </c>
      <c r="D19" s="104">
        <v>1.0002410491274096</v>
      </c>
      <c r="F19" s="97">
        <v>44301</v>
      </c>
      <c r="G19" s="81">
        <v>-4.886913075328082E-3</v>
      </c>
      <c r="H19" s="104">
        <v>1.000093726012631</v>
      </c>
      <c r="K19" s="97">
        <v>44312</v>
      </c>
      <c r="L19" s="81">
        <v>-4.88735161688191E-3</v>
      </c>
      <c r="M19" s="104">
        <v>1.0002410491274096</v>
      </c>
    </row>
    <row r="20" spans="2:13">
      <c r="B20" s="96">
        <v>44319</v>
      </c>
      <c r="C20" s="94">
        <v>-4.8960488558172002E-3</v>
      </c>
      <c r="D20" s="103">
        <v>1.000335402046735</v>
      </c>
      <c r="F20" s="96">
        <v>44326</v>
      </c>
      <c r="G20" s="94">
        <v>-4.8963633980690915E-3</v>
      </c>
      <c r="H20" s="103">
        <v>1.0004293623653655</v>
      </c>
      <c r="K20" s="96">
        <v>44319</v>
      </c>
      <c r="L20" s="94">
        <v>-4.8960488558172002E-3</v>
      </c>
      <c r="M20" s="103">
        <v>1.000335402046735</v>
      </c>
    </row>
    <row r="21" spans="2:13">
      <c r="B21" s="97">
        <v>44328</v>
      </c>
      <c r="C21" s="81">
        <v>-4.8967663335685828E-3</v>
      </c>
      <c r="D21" s="104">
        <v>1.000456241184285</v>
      </c>
      <c r="F21" s="97">
        <v>44355</v>
      </c>
      <c r="G21" s="81">
        <v>-4.9018547339519025E-3</v>
      </c>
      <c r="H21" s="104">
        <v>1.0008195497263277</v>
      </c>
      <c r="K21" s="97">
        <v>44328</v>
      </c>
      <c r="L21" s="81">
        <v>-4.8967663335685828E-3</v>
      </c>
      <c r="M21" s="104">
        <v>1.000456241184285</v>
      </c>
    </row>
    <row r="22" spans="2:13">
      <c r="B22" s="96">
        <v>44361</v>
      </c>
      <c r="C22" s="94">
        <v>-4.9079698863348726E-3</v>
      </c>
      <c r="D22" s="103">
        <v>1.0009013209660667</v>
      </c>
      <c r="F22" s="96">
        <v>44385</v>
      </c>
      <c r="G22" s="94">
        <v>-4.9322439458095359E-3</v>
      </c>
      <c r="H22" s="103">
        <v>1.0012304391069913</v>
      </c>
      <c r="K22" s="96">
        <v>44361</v>
      </c>
      <c r="L22" s="94">
        <v>-4.9079698863348726E-3</v>
      </c>
      <c r="M22" s="103">
        <v>1.0009013209660667</v>
      </c>
    </row>
    <row r="23" spans="2:13">
      <c r="B23" s="97">
        <v>44389</v>
      </c>
      <c r="C23" s="81">
        <v>-4.928696192490218E-3</v>
      </c>
      <c r="D23" s="104">
        <v>1.0012836344921818</v>
      </c>
      <c r="F23" s="97">
        <v>44417</v>
      </c>
      <c r="G23" s="81">
        <v>-4.9551560862041563E-3</v>
      </c>
      <c r="H23" s="104">
        <v>1.0016712146474691</v>
      </c>
      <c r="K23" s="97">
        <v>44389</v>
      </c>
      <c r="L23" s="81">
        <v>-4.928696192490218E-3</v>
      </c>
      <c r="M23" s="104">
        <v>1.0012836344921818</v>
      </c>
    </row>
    <row r="24" spans="2:13">
      <c r="B24" s="96">
        <v>44420</v>
      </c>
      <c r="C24" s="94">
        <v>-4.9498139298636262E-3</v>
      </c>
      <c r="D24" s="103">
        <v>1.0017101635554704</v>
      </c>
      <c r="F24" s="96">
        <v>44447</v>
      </c>
      <c r="G24" s="94">
        <v>-4.9722812611880003E-3</v>
      </c>
      <c r="H24" s="103">
        <v>1.0020864449265212</v>
      </c>
      <c r="K24" s="96">
        <v>44420</v>
      </c>
      <c r="L24" s="94">
        <v>-4.9498139298636262E-3</v>
      </c>
      <c r="M24" s="103">
        <v>1.0017101635554704</v>
      </c>
    </row>
    <row r="25" spans="2:13">
      <c r="B25" s="97">
        <v>44452</v>
      </c>
      <c r="C25" s="81">
        <v>-4.9611825364798464E-3</v>
      </c>
      <c r="D25" s="104">
        <v>1.0021498880881072</v>
      </c>
      <c r="F25" s="97">
        <v>44477</v>
      </c>
      <c r="G25" s="81">
        <v>-4.9898701464360694E-3</v>
      </c>
      <c r="H25" s="104">
        <v>1.002504902550958</v>
      </c>
      <c r="K25" s="97">
        <v>44452</v>
      </c>
      <c r="L25" s="81">
        <v>-4.9611825364798464E-3</v>
      </c>
      <c r="M25" s="104">
        <v>1.0021498880881072</v>
      </c>
    </row>
    <row r="26" spans="2:13">
      <c r="B26" s="96">
        <v>44481</v>
      </c>
      <c r="C26" s="94">
        <v>-4.9823334860397816E-3</v>
      </c>
      <c r="D26" s="103">
        <v>1.0025558534110011</v>
      </c>
      <c r="F26" s="96">
        <v>44508</v>
      </c>
      <c r="G26" s="94">
        <v>-5.005082530575574E-3</v>
      </c>
      <c r="H26" s="103">
        <v>1.0029387965648522</v>
      </c>
      <c r="K26" s="96">
        <v>44481</v>
      </c>
      <c r="L26" s="94">
        <v>-4.9823334860397816E-3</v>
      </c>
      <c r="M26" s="103">
        <v>1.0025558534110011</v>
      </c>
    </row>
    <row r="27" spans="2:13">
      <c r="B27" s="97">
        <v>44573</v>
      </c>
      <c r="C27" s="81">
        <v>-5.0262372245233264E-3</v>
      </c>
      <c r="D27" s="104">
        <v>1.0038493629508662</v>
      </c>
      <c r="F27" s="97">
        <v>44538</v>
      </c>
      <c r="G27" s="81">
        <v>-5.0190054802926711E-3</v>
      </c>
      <c r="H27" s="104">
        <v>1.0033608056725691</v>
      </c>
      <c r="K27" s="97">
        <v>44573</v>
      </c>
      <c r="L27" s="81">
        <v>-5.0262372245233264E-3</v>
      </c>
      <c r="M27" s="104">
        <v>1.0038493629508662</v>
      </c>
    </row>
    <row r="28" spans="2:13">
      <c r="B28" s="96">
        <v>44663</v>
      </c>
      <c r="C28" s="94">
        <v>-5.0600601810807657E-3</v>
      </c>
      <c r="D28" s="103">
        <v>1.005128619470907</v>
      </c>
      <c r="F28" s="96">
        <v>44571</v>
      </c>
      <c r="G28" s="94">
        <v>-5.0318287625270028E-3</v>
      </c>
      <c r="H28" s="103">
        <v>1.0038259759577202</v>
      </c>
      <c r="K28" s="96">
        <v>44663</v>
      </c>
      <c r="L28" s="94">
        <v>-5.0600601810807657E-3</v>
      </c>
      <c r="M28" s="103">
        <v>1.005128619470907</v>
      </c>
    </row>
    <row r="29" spans="2:13">
      <c r="B29" s="97">
        <v>45028</v>
      </c>
      <c r="C29" s="81">
        <v>-5.1317341613316596E-3</v>
      </c>
      <c r="D29" s="104">
        <v>1.0103731383184684</v>
      </c>
      <c r="F29" s="97">
        <v>44600</v>
      </c>
      <c r="G29" s="81">
        <v>-5.0455303535772971E-3</v>
      </c>
      <c r="H29" s="104">
        <v>1.0042389103466551</v>
      </c>
      <c r="K29" s="97">
        <v>45028</v>
      </c>
      <c r="L29" s="81">
        <v>-5.1317341613316596E-3</v>
      </c>
      <c r="M29" s="104">
        <v>1.0103731383184684</v>
      </c>
    </row>
    <row r="30" spans="2:13">
      <c r="B30" s="96">
        <v>45394</v>
      </c>
      <c r="C30" s="94">
        <v>-4.9101832116615228E-3</v>
      </c>
      <c r="D30" s="103">
        <v>1.0149078421078648</v>
      </c>
      <c r="F30" s="96">
        <v>44628</v>
      </c>
      <c r="G30" s="94">
        <v>-5.0561637129248518E-3</v>
      </c>
      <c r="H30" s="103">
        <v>1.004637455979718</v>
      </c>
      <c r="K30" s="96">
        <v>45394</v>
      </c>
      <c r="L30" s="94">
        <v>-4.9101832116615228E-3</v>
      </c>
      <c r="M30" s="103">
        <v>1.0149078421078648</v>
      </c>
    </row>
    <row r="31" spans="2:13">
      <c r="B31" s="97">
        <v>45761</v>
      </c>
      <c r="C31" s="81">
        <v>-4.5269430805660359E-3</v>
      </c>
      <c r="D31" s="104">
        <v>1.0183611204173726</v>
      </c>
      <c r="F31" s="97">
        <v>44659</v>
      </c>
      <c r="G31" s="81">
        <v>-5.066923144379269E-3</v>
      </c>
      <c r="H31" s="104">
        <v>1.0050797817080661</v>
      </c>
      <c r="K31" s="97">
        <v>45761</v>
      </c>
      <c r="L31" s="81">
        <v>-4.5269430805660359E-3</v>
      </c>
      <c r="M31" s="104">
        <v>1.0183611204173726</v>
      </c>
    </row>
    <row r="32" spans="2:13">
      <c r="B32" s="96">
        <v>46125</v>
      </c>
      <c r="C32" s="94">
        <v>-4.0024438190473547E-3</v>
      </c>
      <c r="D32" s="103">
        <v>1.0202809317844841</v>
      </c>
      <c r="F32" s="96">
        <v>45027</v>
      </c>
      <c r="G32" s="94">
        <v>-5.1220048549877007E-3</v>
      </c>
      <c r="H32" s="103">
        <v>1.0103391922454965</v>
      </c>
      <c r="K32" s="96">
        <v>46125</v>
      </c>
      <c r="L32" s="94">
        <v>-4.0024438190473547E-3</v>
      </c>
      <c r="M32" s="103">
        <v>1.0202809317844841</v>
      </c>
    </row>
    <row r="33" spans="2:13">
      <c r="B33" s="97">
        <v>46489</v>
      </c>
      <c r="C33" s="81">
        <v>-3.3565997516904569E-3</v>
      </c>
      <c r="D33" s="104">
        <v>1.0203906858753293</v>
      </c>
      <c r="F33" s="97">
        <v>45390</v>
      </c>
      <c r="G33" s="81">
        <v>-4.9151535712107638E-3</v>
      </c>
      <c r="H33" s="104">
        <v>1.014868377644907</v>
      </c>
      <c r="K33" s="97">
        <v>46489</v>
      </c>
      <c r="L33" s="81">
        <v>-3.3565997516904569E-3</v>
      </c>
      <c r="M33" s="104">
        <v>1.0203906858753293</v>
      </c>
    </row>
    <row r="34" spans="2:13">
      <c r="B34" s="96">
        <v>46855</v>
      </c>
      <c r="C34" s="94">
        <v>-2.6492588845300953E-3</v>
      </c>
      <c r="D34" s="103">
        <v>1.018762200704447</v>
      </c>
      <c r="F34" s="96">
        <v>45755</v>
      </c>
      <c r="G34" s="94">
        <v>-4.5202550143682409E-3</v>
      </c>
      <c r="H34" s="103">
        <v>1.0182580816495506</v>
      </c>
      <c r="K34" s="96">
        <v>46855</v>
      </c>
      <c r="L34" s="94">
        <v>-2.6492588845300953E-3</v>
      </c>
      <c r="M34" s="103">
        <v>1.018762200704447</v>
      </c>
    </row>
    <row r="35" spans="2:13">
      <c r="B35" s="97">
        <v>47220</v>
      </c>
      <c r="C35" s="81">
        <v>-1.910060526898701E-3</v>
      </c>
      <c r="D35" s="104">
        <v>1.015429709961573</v>
      </c>
      <c r="F35" s="97">
        <v>46120</v>
      </c>
      <c r="G35" s="81">
        <v>-3.9839024188769766E-3</v>
      </c>
      <c r="H35" s="104">
        <v>1.0201303639213908</v>
      </c>
      <c r="K35" s="97">
        <v>47220</v>
      </c>
      <c r="L35" s="81">
        <v>-1.910060526898701E-3</v>
      </c>
      <c r="M35" s="104">
        <v>1.015429709961573</v>
      </c>
    </row>
    <row r="36" spans="2:13">
      <c r="B36" s="96">
        <v>47585</v>
      </c>
      <c r="C36" s="94">
        <v>-1.1687807089860759E-3</v>
      </c>
      <c r="D36" s="103">
        <v>1.0105939620254043</v>
      </c>
      <c r="F36" s="96">
        <v>46485</v>
      </c>
      <c r="G36" s="94">
        <v>-3.3360390038882034E-3</v>
      </c>
      <c r="H36" s="103">
        <v>1.0202272267972918</v>
      </c>
      <c r="K36" s="96">
        <v>47585</v>
      </c>
      <c r="L36" s="94">
        <v>-1.1687807089860759E-3</v>
      </c>
      <c r="M36" s="103">
        <v>1.0105939620254043</v>
      </c>
    </row>
    <row r="37" spans="2:13">
      <c r="B37" s="97">
        <v>47953</v>
      </c>
      <c r="C37" s="81">
        <v>-4.6567694594864601E-4</v>
      </c>
      <c r="D37" s="104">
        <v>1.0046791651679976</v>
      </c>
      <c r="F37" s="97">
        <v>46853</v>
      </c>
      <c r="G37" s="81">
        <v>-2.6265168273889037E-3</v>
      </c>
      <c r="H37" s="104">
        <v>1.0185849921288626</v>
      </c>
      <c r="K37" s="97">
        <v>47953</v>
      </c>
      <c r="L37" s="81">
        <v>-4.6567694594864601E-4</v>
      </c>
      <c r="M37" s="104">
        <v>1.0046791651679976</v>
      </c>
    </row>
    <row r="38" spans="2:13">
      <c r="B38" s="96">
        <v>48681</v>
      </c>
      <c r="C38" s="94">
        <v>8.2557041402197032E-4</v>
      </c>
      <c r="D38" s="103">
        <v>0.99012638951484921</v>
      </c>
      <c r="F38" s="96">
        <v>47217</v>
      </c>
      <c r="G38" s="94">
        <v>-1.8850130322762006E-3</v>
      </c>
      <c r="H38" s="103">
        <v>1.0152101115418133</v>
      </c>
      <c r="K38" s="96">
        <v>48681</v>
      </c>
      <c r="L38" s="94">
        <v>8.2557041402197032E-4</v>
      </c>
      <c r="M38" s="103">
        <v>0.99012638951484921</v>
      </c>
    </row>
    <row r="39" spans="2:13">
      <c r="B39" s="97">
        <v>49779</v>
      </c>
      <c r="C39" s="81">
        <v>2.3881845964233215E-3</v>
      </c>
      <c r="D39" s="104">
        <v>0.96474814758828309</v>
      </c>
      <c r="F39" s="97">
        <v>47581</v>
      </c>
      <c r="G39" s="81">
        <v>-1.1616981418756693E-3</v>
      </c>
      <c r="H39" s="104">
        <v>1.0105165631246431</v>
      </c>
      <c r="K39" s="97">
        <v>49779</v>
      </c>
      <c r="L39" s="81">
        <v>2.3881845964233215E-3</v>
      </c>
      <c r="M39" s="104">
        <v>0.96474814758828309</v>
      </c>
    </row>
    <row r="40" spans="2:13">
      <c r="B40" s="96">
        <v>51603</v>
      </c>
      <c r="C40" s="94">
        <v>3.7786403197876441E-3</v>
      </c>
      <c r="D40" s="103">
        <v>0.92712583494742973</v>
      </c>
      <c r="F40" s="96">
        <v>47946</v>
      </c>
      <c r="G40" s="94">
        <v>-4.5635427003675811E-4</v>
      </c>
      <c r="H40" s="103">
        <v>1.0045764835314677</v>
      </c>
      <c r="K40" s="96">
        <v>51603</v>
      </c>
      <c r="L40" s="94">
        <v>3.7786403197876441E-3</v>
      </c>
      <c r="M40" s="103">
        <v>0.92712583494742973</v>
      </c>
    </row>
    <row r="41" spans="2:13">
      <c r="B41" s="97">
        <v>53429</v>
      </c>
      <c r="C41" s="81">
        <v>4.180116703188518E-3</v>
      </c>
      <c r="D41" s="104">
        <v>0.90066901543285305</v>
      </c>
      <c r="F41" s="97">
        <v>48312</v>
      </c>
      <c r="G41" s="81">
        <v>2.2093655800406619E-4</v>
      </c>
      <c r="H41" s="104">
        <v>0.99757083714787054</v>
      </c>
      <c r="K41" s="97">
        <v>53429</v>
      </c>
      <c r="L41" s="81">
        <v>4.180116703188518E-3</v>
      </c>
      <c r="M41" s="104">
        <v>0.90066901543285305</v>
      </c>
    </row>
    <row r="42" spans="2:13">
      <c r="B42" s="102">
        <v>55255</v>
      </c>
      <c r="C42" s="101">
        <v>4.1448800308277606E-3</v>
      </c>
      <c r="D42" s="105">
        <v>0.88296358870988678</v>
      </c>
      <c r="F42" s="96">
        <v>48677</v>
      </c>
      <c r="G42" s="94">
        <v>8.4950149216868863E-4</v>
      </c>
      <c r="H42" s="103">
        <v>0.98985085362179381</v>
      </c>
      <c r="K42" s="102">
        <v>55255</v>
      </c>
      <c r="L42" s="101">
        <v>4.1448800308277606E-3</v>
      </c>
      <c r="M42" s="105">
        <v>0.88296358870988678</v>
      </c>
    </row>
    <row r="43" spans="2:13">
      <c r="F43" s="97">
        <v>49773</v>
      </c>
      <c r="G43" s="81">
        <v>2.4074956928372437E-3</v>
      </c>
      <c r="H43" s="104">
        <v>0.96450639246614434</v>
      </c>
    </row>
    <row r="44" spans="2:13">
      <c r="F44" s="96">
        <v>51599</v>
      </c>
      <c r="G44" s="94">
        <v>3.8023416921545605E-3</v>
      </c>
      <c r="H44" s="103">
        <v>0.9267245297714537</v>
      </c>
    </row>
    <row r="45" spans="2:13">
      <c r="F45" s="83">
        <v>55253</v>
      </c>
      <c r="G45" s="82">
        <v>4.1766854118968771E-3</v>
      </c>
      <c r="H45" s="84">
        <v>0.88214084358420486</v>
      </c>
    </row>
    <row r="47" spans="2:13" ht="15">
      <c r="B47" s="107" t="s">
        <v>53</v>
      </c>
    </row>
    <row r="50" spans="2:11">
      <c r="B50" s="155" t="str">
        <f ca="1">[1]!DisplayDividendYields(C8)</f>
        <v>DIVIDENDYIELDS</v>
      </c>
      <c r="C50" s="160" t="s">
        <v>79</v>
      </c>
      <c r="D50" s="156"/>
      <c r="F50" s="155" t="str">
        <f ca="1">[1]!DisplayRepoCurve(C8)</f>
        <v>REPOCURVE</v>
      </c>
      <c r="G50" s="160" t="s">
        <v>79</v>
      </c>
      <c r="H50" s="160"/>
      <c r="I50" s="160"/>
      <c r="J50" s="160"/>
      <c r="K50" s="156"/>
    </row>
    <row r="51" spans="2:11">
      <c r="B51" s="98" t="s">
        <v>6</v>
      </c>
      <c r="C51" s="100" t="s">
        <v>108</v>
      </c>
      <c r="D51" s="106" t="s">
        <v>109</v>
      </c>
      <c r="F51" s="98" t="s">
        <v>6</v>
      </c>
      <c r="G51" s="99" t="s">
        <v>100</v>
      </c>
      <c r="H51" s="100" t="s">
        <v>101</v>
      </c>
      <c r="I51" s="100" t="s">
        <v>102</v>
      </c>
      <c r="J51" s="100" t="s">
        <v>103</v>
      </c>
      <c r="K51" s="92" t="s">
        <v>104</v>
      </c>
    </row>
    <row r="52" spans="2:11">
      <c r="B52" s="96">
        <v>44292</v>
      </c>
      <c r="C52" s="94">
        <v>1</v>
      </c>
      <c r="D52" s="103">
        <v>1</v>
      </c>
      <c r="F52" s="96">
        <v>44302</v>
      </c>
      <c r="G52" s="93">
        <v>0</v>
      </c>
      <c r="H52" s="94">
        <v>-0.09</v>
      </c>
      <c r="I52" s="94">
        <v>-0.09</v>
      </c>
      <c r="J52" s="94">
        <v>-0.09</v>
      </c>
      <c r="K52" s="88" t="s">
        <v>105</v>
      </c>
    </row>
    <row r="53" spans="2:11">
      <c r="B53" s="97">
        <v>44302</v>
      </c>
      <c r="C53" s="81">
        <v>1</v>
      </c>
      <c r="D53" s="104">
        <v>1</v>
      </c>
      <c r="F53" s="97">
        <v>44365</v>
      </c>
      <c r="G53" s="95">
        <v>0</v>
      </c>
      <c r="H53" s="81">
        <v>-0.33</v>
      </c>
      <c r="I53" s="81">
        <v>-0.33</v>
      </c>
      <c r="J53" s="81">
        <v>-0.33</v>
      </c>
      <c r="K53" s="89" t="s">
        <v>105</v>
      </c>
    </row>
    <row r="54" spans="2:11">
      <c r="B54" s="96">
        <v>44337</v>
      </c>
      <c r="C54" s="94">
        <v>0.9557000000000001</v>
      </c>
      <c r="D54" s="103">
        <v>1</v>
      </c>
      <c r="F54" s="96">
        <v>44456</v>
      </c>
      <c r="G54" s="93">
        <v>0</v>
      </c>
      <c r="H54" s="94">
        <v>-0.24</v>
      </c>
      <c r="I54" s="94">
        <v>-0.24</v>
      </c>
      <c r="J54" s="94">
        <v>-0.24</v>
      </c>
      <c r="K54" s="88" t="s">
        <v>105</v>
      </c>
    </row>
    <row r="55" spans="2:11">
      <c r="B55" s="97">
        <v>44365</v>
      </c>
      <c r="C55" s="81">
        <v>1.0636000000000001</v>
      </c>
      <c r="D55" s="104">
        <v>1</v>
      </c>
      <c r="F55" s="97">
        <v>44547</v>
      </c>
      <c r="G55" s="95">
        <v>0</v>
      </c>
      <c r="H55" s="81">
        <v>-0.22999999999999998</v>
      </c>
      <c r="I55" s="81">
        <v>-0.22999999999999998</v>
      </c>
      <c r="J55" s="81">
        <v>-0.22999999999999998</v>
      </c>
      <c r="K55" s="89" t="s">
        <v>105</v>
      </c>
    </row>
    <row r="56" spans="2:11">
      <c r="B56" s="96">
        <v>44456</v>
      </c>
      <c r="C56" s="94">
        <v>1.0344</v>
      </c>
      <c r="D56" s="103">
        <v>1</v>
      </c>
      <c r="F56" s="96">
        <v>44638</v>
      </c>
      <c r="G56" s="93">
        <v>0</v>
      </c>
      <c r="H56" s="94">
        <v>-0.22999999999999998</v>
      </c>
      <c r="I56" s="94">
        <v>-0.22999999999999998</v>
      </c>
      <c r="J56" s="94">
        <v>-0.22999999999999998</v>
      </c>
      <c r="K56" s="88" t="s">
        <v>105</v>
      </c>
    </row>
    <row r="57" spans="2:11">
      <c r="B57" s="97">
        <v>44547</v>
      </c>
      <c r="C57" s="81">
        <v>1.0344</v>
      </c>
      <c r="D57" s="104">
        <v>1</v>
      </c>
      <c r="F57" s="97">
        <v>44729</v>
      </c>
      <c r="G57" s="95">
        <v>0</v>
      </c>
      <c r="H57" s="81">
        <v>-0.27</v>
      </c>
      <c r="I57" s="81">
        <v>-0.27</v>
      </c>
      <c r="J57" s="81">
        <v>-0.27</v>
      </c>
      <c r="K57" s="89" t="s">
        <v>105</v>
      </c>
    </row>
    <row r="58" spans="2:11">
      <c r="B58" s="96">
        <v>44638</v>
      </c>
      <c r="C58" s="94">
        <v>1.0763</v>
      </c>
      <c r="D58" s="103">
        <v>1</v>
      </c>
      <c r="F58" s="96">
        <v>44911</v>
      </c>
      <c r="G58" s="93">
        <v>0</v>
      </c>
      <c r="H58" s="94">
        <v>-0.28999999999999998</v>
      </c>
      <c r="I58" s="94">
        <v>-0.28999999999999998</v>
      </c>
      <c r="J58" s="94">
        <v>-0.28999999999999998</v>
      </c>
      <c r="K58" s="88" t="s">
        <v>105</v>
      </c>
    </row>
    <row r="59" spans="2:11">
      <c r="B59" s="97">
        <v>44729</v>
      </c>
      <c r="C59" s="81">
        <v>0.97240000000000015</v>
      </c>
      <c r="D59" s="104">
        <v>1</v>
      </c>
      <c r="F59" s="97">
        <v>45093</v>
      </c>
      <c r="G59" s="95">
        <v>0</v>
      </c>
      <c r="H59" s="81">
        <v>-0.36</v>
      </c>
      <c r="I59" s="81">
        <v>-0.36</v>
      </c>
      <c r="J59" s="81">
        <v>-0.36</v>
      </c>
      <c r="K59" s="89" t="s">
        <v>105</v>
      </c>
    </row>
    <row r="60" spans="2:11">
      <c r="B60" s="96">
        <v>44911</v>
      </c>
      <c r="C60" s="94">
        <v>1.0576000000000001</v>
      </c>
      <c r="D60" s="103">
        <v>1</v>
      </c>
      <c r="F60" s="96">
        <v>45275</v>
      </c>
      <c r="G60" s="93">
        <v>0</v>
      </c>
      <c r="H60" s="94">
        <v>-0.34</v>
      </c>
      <c r="I60" s="94">
        <v>-0.34</v>
      </c>
      <c r="J60" s="94">
        <v>-0.34</v>
      </c>
      <c r="K60" s="88" t="s">
        <v>105</v>
      </c>
    </row>
    <row r="61" spans="2:11">
      <c r="B61" s="97">
        <v>45275</v>
      </c>
      <c r="C61" s="81">
        <v>0.99070000000000014</v>
      </c>
      <c r="D61" s="104">
        <v>1</v>
      </c>
      <c r="F61" s="97">
        <v>45464</v>
      </c>
      <c r="G61" s="95">
        <v>0</v>
      </c>
      <c r="H61" s="81">
        <v>-0.375</v>
      </c>
      <c r="I61" s="81">
        <v>-0.375</v>
      </c>
      <c r="J61" s="81">
        <v>-0.375</v>
      </c>
      <c r="K61" s="89" t="s">
        <v>105</v>
      </c>
    </row>
    <row r="62" spans="2:11">
      <c r="B62" s="96">
        <v>45646</v>
      </c>
      <c r="C62" s="94">
        <v>0.97409999999999997</v>
      </c>
      <c r="D62" s="103">
        <v>1</v>
      </c>
      <c r="F62" s="96">
        <v>45646</v>
      </c>
      <c r="G62" s="93">
        <v>0</v>
      </c>
      <c r="H62" s="94">
        <v>-0.42</v>
      </c>
      <c r="I62" s="94">
        <v>-0.42</v>
      </c>
      <c r="J62" s="94">
        <v>-0.42</v>
      </c>
      <c r="K62" s="88" t="s">
        <v>105</v>
      </c>
    </row>
    <row r="63" spans="2:11">
      <c r="B63" s="97">
        <v>46010</v>
      </c>
      <c r="C63" s="81">
        <v>0.95650000000000013</v>
      </c>
      <c r="D63" s="104">
        <v>1</v>
      </c>
      <c r="F63" s="97">
        <v>46010</v>
      </c>
      <c r="G63" s="95">
        <v>0</v>
      </c>
      <c r="H63" s="81">
        <v>-0.47500000000000009</v>
      </c>
      <c r="I63" s="81">
        <v>-0.47500000000000009</v>
      </c>
      <c r="J63" s="81">
        <v>-0.47500000000000009</v>
      </c>
      <c r="K63" s="89" t="s">
        <v>105</v>
      </c>
    </row>
    <row r="64" spans="2:11">
      <c r="B64" s="96">
        <v>46374</v>
      </c>
      <c r="C64" s="94">
        <v>0.94079999999999997</v>
      </c>
      <c r="D64" s="103">
        <v>1</v>
      </c>
      <c r="F64" s="96">
        <v>46374</v>
      </c>
      <c r="G64" s="93">
        <v>0</v>
      </c>
      <c r="H64" s="94">
        <v>-0.55000000000000004</v>
      </c>
      <c r="I64" s="94">
        <v>-0.55000000000000004</v>
      </c>
      <c r="J64" s="94">
        <v>-0.55000000000000004</v>
      </c>
      <c r="K64" s="88" t="s">
        <v>105</v>
      </c>
    </row>
    <row r="65" spans="2:40">
      <c r="B65" s="97">
        <v>46738</v>
      </c>
      <c r="C65" s="81">
        <v>0.92410000000000003</v>
      </c>
      <c r="D65" s="104">
        <v>1</v>
      </c>
      <c r="F65" s="97">
        <v>46738</v>
      </c>
      <c r="G65" s="95">
        <v>0</v>
      </c>
      <c r="H65" s="81">
        <v>-0.65</v>
      </c>
      <c r="I65" s="81">
        <v>-0.65</v>
      </c>
      <c r="J65" s="81">
        <v>-0.65</v>
      </c>
      <c r="K65" s="89" t="s">
        <v>105</v>
      </c>
    </row>
    <row r="66" spans="2:40">
      <c r="B66" s="96">
        <v>47102</v>
      </c>
      <c r="C66" s="94">
        <v>0.90800000000000003</v>
      </c>
      <c r="D66" s="103">
        <v>1</v>
      </c>
      <c r="F66" s="96">
        <v>47102</v>
      </c>
      <c r="G66" s="93">
        <v>0</v>
      </c>
      <c r="H66" s="94">
        <v>-0.755</v>
      </c>
      <c r="I66" s="94">
        <v>-0.755</v>
      </c>
      <c r="J66" s="94">
        <v>-0.755</v>
      </c>
      <c r="K66" s="88" t="s">
        <v>105</v>
      </c>
    </row>
    <row r="67" spans="2:40">
      <c r="B67" s="97">
        <v>47473</v>
      </c>
      <c r="C67" s="81">
        <v>0.89430000000000009</v>
      </c>
      <c r="D67" s="104">
        <v>1</v>
      </c>
      <c r="F67" s="97">
        <v>47473</v>
      </c>
      <c r="G67" s="95">
        <v>0</v>
      </c>
      <c r="H67" s="81">
        <v>-0.83</v>
      </c>
      <c r="I67" s="81">
        <v>-0.83</v>
      </c>
      <c r="J67" s="81">
        <v>-0.83</v>
      </c>
      <c r="K67" s="89" t="s">
        <v>105</v>
      </c>
    </row>
    <row r="68" spans="2:40">
      <c r="B68" s="96">
        <v>47837</v>
      </c>
      <c r="C68" s="94">
        <v>0.88060000000000005</v>
      </c>
      <c r="D68" s="103">
        <v>1</v>
      </c>
      <c r="F68" s="96">
        <v>47837</v>
      </c>
      <c r="G68" s="93">
        <v>0</v>
      </c>
      <c r="H68" s="94">
        <v>-0.93</v>
      </c>
      <c r="I68" s="94">
        <v>-0.93</v>
      </c>
      <c r="J68" s="94">
        <v>-0.93</v>
      </c>
      <c r="K68" s="88" t="s">
        <v>105</v>
      </c>
    </row>
    <row r="69" spans="2:40">
      <c r="B69" s="97">
        <v>48201</v>
      </c>
      <c r="C69" s="81">
        <v>0.85870000000000002</v>
      </c>
      <c r="D69" s="104">
        <v>1</v>
      </c>
      <c r="F69" s="97">
        <v>48201</v>
      </c>
      <c r="G69" s="95">
        <v>0</v>
      </c>
      <c r="H69" s="81">
        <v>-1.01</v>
      </c>
      <c r="I69" s="81">
        <v>-1.01</v>
      </c>
      <c r="J69" s="81">
        <v>-1.01</v>
      </c>
      <c r="K69" s="89" t="s">
        <v>105</v>
      </c>
    </row>
    <row r="70" spans="2:40">
      <c r="B70" s="96">
        <v>48565</v>
      </c>
      <c r="C70" s="94">
        <v>0.84070000000000011</v>
      </c>
      <c r="D70" s="103">
        <v>1</v>
      </c>
      <c r="F70" s="96">
        <v>48565</v>
      </c>
      <c r="G70" s="93">
        <v>0</v>
      </c>
      <c r="H70" s="94">
        <v>-1.08</v>
      </c>
      <c r="I70" s="94">
        <v>-1.08</v>
      </c>
      <c r="J70" s="94">
        <v>-1.08</v>
      </c>
      <c r="K70" s="88" t="s">
        <v>105</v>
      </c>
    </row>
    <row r="71" spans="2:40">
      <c r="B71" s="97">
        <v>48929</v>
      </c>
      <c r="C71" s="81">
        <v>0.82430000000000003</v>
      </c>
      <c r="D71" s="104">
        <v>1</v>
      </c>
      <c r="F71" s="97">
        <v>48929</v>
      </c>
      <c r="G71" s="95">
        <v>0</v>
      </c>
      <c r="H71" s="81">
        <v>-1.1400000000000001</v>
      </c>
      <c r="I71" s="81">
        <v>-1.1400000000000001</v>
      </c>
      <c r="J71" s="81">
        <v>-1.1400000000000001</v>
      </c>
      <c r="K71" s="89" t="s">
        <v>105</v>
      </c>
    </row>
    <row r="72" spans="2:40">
      <c r="B72" s="102">
        <v>49664</v>
      </c>
      <c r="C72" s="101">
        <v>0.75670000000000004</v>
      </c>
      <c r="D72" s="105">
        <v>1</v>
      </c>
      <c r="F72" s="102">
        <v>49664</v>
      </c>
      <c r="G72" s="161">
        <v>0</v>
      </c>
      <c r="H72" s="101">
        <v>-1.25</v>
      </c>
      <c r="I72" s="101">
        <v>-1.25</v>
      </c>
      <c r="J72" s="101">
        <v>-1.25</v>
      </c>
      <c r="K72" s="162" t="s">
        <v>105</v>
      </c>
    </row>
    <row r="80" spans="2:40" s="108" customFormat="1">
      <c r="B80" s="108" t="s">
        <v>113</v>
      </c>
      <c r="C80" s="108">
        <f t="shared" ref="C80:AN80" ca="1" si="0">C82/S0</f>
        <v>5.3481354710862912E-2</v>
      </c>
      <c r="D80" s="108">
        <f t="shared" ca="1" si="0"/>
        <v>0.10696270942172582</v>
      </c>
      <c r="E80" s="108">
        <f t="shared" ca="1" si="0"/>
        <v>0.21392541884345165</v>
      </c>
      <c r="F80" s="108">
        <f t="shared" ca="1" si="0"/>
        <v>0.32088812826517743</v>
      </c>
      <c r="G80" s="108">
        <f t="shared" ca="1" si="0"/>
        <v>0.4278508376869033</v>
      </c>
      <c r="H80" s="108">
        <f t="shared" ca="1" si="0"/>
        <v>0.53481354710862905</v>
      </c>
      <c r="I80" s="108">
        <f t="shared" ca="1" si="0"/>
        <v>0.64177625653035486</v>
      </c>
      <c r="J80" s="108">
        <f t="shared" ca="1" si="0"/>
        <v>0.74873896595208078</v>
      </c>
      <c r="K80" s="108">
        <f t="shared" ca="1" si="0"/>
        <v>0.80222032066294369</v>
      </c>
      <c r="L80" s="108">
        <f t="shared" ca="1" si="0"/>
        <v>0.85570167537380659</v>
      </c>
      <c r="M80" s="108">
        <f t="shared" ca="1" si="0"/>
        <v>0.9091830300846695</v>
      </c>
      <c r="N80" s="108">
        <f t="shared" ca="1" si="0"/>
        <v>0.9626643847955324</v>
      </c>
      <c r="O80" s="108">
        <f t="shared" ca="1" si="0"/>
        <v>0.9894050621509638</v>
      </c>
      <c r="P80" s="108">
        <f t="shared" ca="1" si="0"/>
        <v>1.0161457395063953</v>
      </c>
      <c r="Q80" s="108">
        <f t="shared" ca="1" si="0"/>
        <v>1.0428864168618268</v>
      </c>
      <c r="R80" s="108">
        <f t="shared" ca="1" si="0"/>
        <v>1.0696270942172581</v>
      </c>
      <c r="S80" s="108">
        <f t="shared" ca="1" si="0"/>
        <v>1.0963677715726896</v>
      </c>
      <c r="T80" s="108">
        <f t="shared" ca="1" si="0"/>
        <v>1.1231084489281211</v>
      </c>
      <c r="U80" s="108">
        <f t="shared" ca="1" si="0"/>
        <v>1.1498491262835526</v>
      </c>
      <c r="V80" s="108">
        <f t="shared" ca="1" si="0"/>
        <v>1.1765898036389839</v>
      </c>
      <c r="W80" s="108">
        <f t="shared" ca="1" si="0"/>
        <v>1.2300711583498469</v>
      </c>
      <c r="X80" s="108">
        <f t="shared" ca="1" si="0"/>
        <v>1.2835525130607097</v>
      </c>
      <c r="Y80" s="108">
        <f t="shared" ca="1" si="0"/>
        <v>1.3370338677715727</v>
      </c>
      <c r="Z80" s="108">
        <f t="shared" ca="1" si="0"/>
        <v>1.3905152224824358</v>
      </c>
      <c r="AA80" s="108">
        <f t="shared" ca="1" si="0"/>
        <v>1.4974779319041616</v>
      </c>
      <c r="AB80" s="108">
        <f t="shared" ca="1" si="0"/>
        <v>1.6044406413258874</v>
      </c>
      <c r="AC80" s="108">
        <f t="shared" ca="1" si="0"/>
        <v>1.7114033507476132</v>
      </c>
      <c r="AD80" s="108">
        <f t="shared" ca="1" si="0"/>
        <v>1.818366060169339</v>
      </c>
      <c r="AE80" s="108">
        <f t="shared" ca="1" si="0"/>
        <v>1.9253287695910648</v>
      </c>
      <c r="AF80" s="108">
        <f t="shared" ca="1" si="0"/>
        <v>2.0322914790127906</v>
      </c>
      <c r="AG80" s="108">
        <f t="shared" ca="1" si="0"/>
        <v>2.1392541884345162</v>
      </c>
      <c r="AH80" s="108">
        <f t="shared" ca="1" si="0"/>
        <v>2.3531796072779678</v>
      </c>
      <c r="AI80" s="108">
        <f t="shared" ca="1" si="0"/>
        <v>2.5671050261214194</v>
      </c>
      <c r="AJ80" s="108">
        <f t="shared" ca="1" si="0"/>
        <v>2.7810304449648715</v>
      </c>
      <c r="AK80" s="108">
        <f t="shared" ca="1" si="0"/>
        <v>2.9949558638083231</v>
      </c>
      <c r="AL80" s="108">
        <f t="shared" ca="1" si="0"/>
        <v>3.2088812826517747</v>
      </c>
      <c r="AM80" s="108">
        <f t="shared" ca="1" si="0"/>
        <v>3.7436948297604036</v>
      </c>
      <c r="AN80" s="108">
        <f t="shared" ca="1" si="0"/>
        <v>4.2785083768690324</v>
      </c>
    </row>
    <row r="81" spans="2:40">
      <c r="B81" s="155" t="str">
        <f ca="1">[1]!DisplayVolatility(C8,,"SOPHIS",,"CallMarket")</f>
        <v>VOLATILITY</v>
      </c>
      <c r="C81" s="160" t="s">
        <v>112</v>
      </c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0"/>
      <c r="W81" s="160"/>
      <c r="X81" s="160"/>
      <c r="Y81" s="160"/>
      <c r="Z81" s="160"/>
      <c r="AA81" s="160"/>
      <c r="AB81" s="160"/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160"/>
      <c r="AN81" s="156"/>
    </row>
    <row r="82" spans="2:40">
      <c r="B82" s="98" t="s">
        <v>80</v>
      </c>
      <c r="C82" s="100">
        <v>195</v>
      </c>
      <c r="D82" s="100">
        <v>390</v>
      </c>
      <c r="E82" s="100">
        <v>780</v>
      </c>
      <c r="F82" s="100">
        <v>1170</v>
      </c>
      <c r="G82" s="100">
        <v>1560</v>
      </c>
      <c r="H82" s="100">
        <v>1950</v>
      </c>
      <c r="I82" s="100">
        <v>2340</v>
      </c>
      <c r="J82" s="100">
        <v>2730</v>
      </c>
      <c r="K82" s="100">
        <v>2925</v>
      </c>
      <c r="L82" s="100">
        <v>3120</v>
      </c>
      <c r="M82" s="100">
        <v>3315</v>
      </c>
      <c r="N82" s="100">
        <v>3510</v>
      </c>
      <c r="O82" s="100">
        <v>3607.5</v>
      </c>
      <c r="P82" s="100">
        <v>3705</v>
      </c>
      <c r="Q82" s="100">
        <v>3802.5</v>
      </c>
      <c r="R82" s="100">
        <v>3900</v>
      </c>
      <c r="S82" s="100">
        <v>3997.5</v>
      </c>
      <c r="T82" s="100">
        <v>4095</v>
      </c>
      <c r="U82" s="100">
        <v>4192.5</v>
      </c>
      <c r="V82" s="100">
        <v>4290</v>
      </c>
      <c r="W82" s="100">
        <v>4485</v>
      </c>
      <c r="X82" s="100">
        <v>4680</v>
      </c>
      <c r="Y82" s="100">
        <v>4875</v>
      </c>
      <c r="Z82" s="100">
        <v>5070</v>
      </c>
      <c r="AA82" s="100">
        <v>5460</v>
      </c>
      <c r="AB82" s="100">
        <v>5850</v>
      </c>
      <c r="AC82" s="100">
        <v>6240</v>
      </c>
      <c r="AD82" s="100">
        <v>6630</v>
      </c>
      <c r="AE82" s="100">
        <v>7020</v>
      </c>
      <c r="AF82" s="100">
        <v>7410</v>
      </c>
      <c r="AG82" s="100">
        <v>7800</v>
      </c>
      <c r="AH82" s="100">
        <v>8580</v>
      </c>
      <c r="AI82" s="100">
        <v>9360</v>
      </c>
      <c r="AJ82" s="100">
        <v>10140</v>
      </c>
      <c r="AK82" s="100">
        <v>10920</v>
      </c>
      <c r="AL82" s="100">
        <v>11700</v>
      </c>
      <c r="AM82" s="100">
        <v>13650</v>
      </c>
      <c r="AN82" s="106">
        <v>15600</v>
      </c>
    </row>
    <row r="83" spans="2:40">
      <c r="B83" s="96">
        <v>44302</v>
      </c>
      <c r="C83" s="74">
        <v>1.48492455956062</v>
      </c>
      <c r="D83" s="74">
        <v>1.48492455956062</v>
      </c>
      <c r="E83" s="74">
        <v>1.4834745882154901</v>
      </c>
      <c r="F83" s="74">
        <v>1.3115578164719699</v>
      </c>
      <c r="G83" s="74">
        <v>1.04439142823019</v>
      </c>
      <c r="H83" s="74">
        <v>0.82655540716229403</v>
      </c>
      <c r="I83" s="74">
        <v>0.64623188532030096</v>
      </c>
      <c r="J83" s="74">
        <v>0.49212975386265601</v>
      </c>
      <c r="K83" s="74">
        <v>0.42267159805388199</v>
      </c>
      <c r="L83" s="74">
        <v>0.35742521458926496</v>
      </c>
      <c r="M83" s="74">
        <v>0.29589562170675698</v>
      </c>
      <c r="N83" s="74">
        <v>0.23767101017672002</v>
      </c>
      <c r="O83" s="74">
        <v>0.209687663632626</v>
      </c>
      <c r="P83" s="74">
        <v>0.18240501718248198</v>
      </c>
      <c r="Q83" s="74">
        <v>0.155787834060127</v>
      </c>
      <c r="R83" s="74">
        <v>0.12980358274696899</v>
      </c>
      <c r="S83" s="74">
        <v>0.105278096647969</v>
      </c>
      <c r="T83" s="74">
        <v>8.2924629069840605E-2</v>
      </c>
      <c r="U83" s="74">
        <v>6.2604185702944889E-2</v>
      </c>
      <c r="V83" s="74">
        <v>0.05</v>
      </c>
      <c r="W83" s="74">
        <v>0.05</v>
      </c>
      <c r="X83" s="74">
        <v>0.05</v>
      </c>
      <c r="Y83" s="74">
        <v>0.05</v>
      </c>
      <c r="Z83" s="74">
        <v>0.05</v>
      </c>
      <c r="AA83" s="74">
        <v>0.05</v>
      </c>
      <c r="AB83" s="74">
        <v>0.05</v>
      </c>
      <c r="AC83" s="74">
        <v>0.05</v>
      </c>
      <c r="AD83" s="74">
        <v>0.05</v>
      </c>
      <c r="AE83" s="74">
        <v>0.05</v>
      </c>
      <c r="AF83" s="74">
        <v>0.05</v>
      </c>
      <c r="AG83" s="74">
        <v>0.05</v>
      </c>
      <c r="AH83" s="74">
        <v>0.05</v>
      </c>
      <c r="AI83" s="74">
        <v>0.05</v>
      </c>
      <c r="AJ83" s="74">
        <v>0.05</v>
      </c>
      <c r="AK83" s="74">
        <v>0.05</v>
      </c>
      <c r="AL83" s="74">
        <v>0.05</v>
      </c>
      <c r="AM83" s="74">
        <v>0.05</v>
      </c>
      <c r="AN83" s="76">
        <v>0.05</v>
      </c>
    </row>
    <row r="84" spans="2:40">
      <c r="B84" s="97">
        <v>44337</v>
      </c>
      <c r="C84" s="75">
        <v>1.00974094699366</v>
      </c>
      <c r="D84" s="75">
        <v>1.00974094699366</v>
      </c>
      <c r="E84" s="75">
        <v>1.0083815940428602</v>
      </c>
      <c r="F84" s="75">
        <v>0.90617552678394886</v>
      </c>
      <c r="G84" s="75">
        <v>0.75023056356308804</v>
      </c>
      <c r="H84" s="75">
        <v>0.61523231733649009</v>
      </c>
      <c r="I84" s="75">
        <v>0.49750429319247902</v>
      </c>
      <c r="J84" s="75">
        <v>0.392756123801559</v>
      </c>
      <c r="K84" s="75">
        <v>0.344327626274954</v>
      </c>
      <c r="L84" s="75">
        <v>0.29816004583552003</v>
      </c>
      <c r="M84" s="75">
        <v>0.25402999142606097</v>
      </c>
      <c r="N84" s="75">
        <v>0.21174675094655801</v>
      </c>
      <c r="O84" s="75">
        <v>0.19124547245134099</v>
      </c>
      <c r="P84" s="75">
        <v>0.17114611095940599</v>
      </c>
      <c r="Q84" s="75">
        <v>0.151431498147507</v>
      </c>
      <c r="R84" s="75">
        <v>0.132252937351719</v>
      </c>
      <c r="S84" s="75">
        <v>0.11467554436914001</v>
      </c>
      <c r="T84" s="75">
        <v>9.87927842338676E-2</v>
      </c>
      <c r="U84" s="75">
        <v>8.4495339077930484E-2</v>
      </c>
      <c r="V84" s="75">
        <v>7.1702329259043796E-2</v>
      </c>
      <c r="W84" s="75">
        <v>5.8931788869452099E-2</v>
      </c>
      <c r="X84" s="75">
        <v>5.8756595810403697E-2</v>
      </c>
      <c r="Y84" s="75">
        <v>5.8756595810403697E-2</v>
      </c>
      <c r="Z84" s="75">
        <v>5.8756595810403697E-2</v>
      </c>
      <c r="AA84" s="75">
        <v>5.8756595810403697E-2</v>
      </c>
      <c r="AB84" s="75">
        <v>5.8756595810403697E-2</v>
      </c>
      <c r="AC84" s="75">
        <v>5.8756595810403697E-2</v>
      </c>
      <c r="AD84" s="75">
        <v>5.8756595810403697E-2</v>
      </c>
      <c r="AE84" s="75">
        <v>5.8756595810403697E-2</v>
      </c>
      <c r="AF84" s="75">
        <v>5.8756595810403697E-2</v>
      </c>
      <c r="AG84" s="75">
        <v>5.8756595810403697E-2</v>
      </c>
      <c r="AH84" s="75">
        <v>5.8756595810403697E-2</v>
      </c>
      <c r="AI84" s="75">
        <v>5.8756595810403697E-2</v>
      </c>
      <c r="AJ84" s="75">
        <v>5.8756595810403697E-2</v>
      </c>
      <c r="AK84" s="75">
        <v>5.8756595810403697E-2</v>
      </c>
      <c r="AL84" s="75">
        <v>5.8756595810403697E-2</v>
      </c>
      <c r="AM84" s="75">
        <v>5.8756595810403697E-2</v>
      </c>
      <c r="AN84" s="77">
        <v>5.8756595810403697E-2</v>
      </c>
    </row>
    <row r="85" spans="2:40">
      <c r="B85" s="96">
        <v>44365</v>
      </c>
      <c r="C85" s="74">
        <v>0.89732241059024997</v>
      </c>
      <c r="D85" s="74">
        <v>0.89732241059024997</v>
      </c>
      <c r="E85" s="74">
        <v>0.89607018947431105</v>
      </c>
      <c r="F85" s="74">
        <v>0.80723500773467305</v>
      </c>
      <c r="G85" s="74">
        <v>0.6725338273202961</v>
      </c>
      <c r="H85" s="74">
        <v>0.55635699625116497</v>
      </c>
      <c r="I85" s="74">
        <v>0.45525683357859598</v>
      </c>
      <c r="J85" s="74">
        <v>0.36544409950388707</v>
      </c>
      <c r="K85" s="74">
        <v>0.323960466920518</v>
      </c>
      <c r="L85" s="74">
        <v>0.284435053034927</v>
      </c>
      <c r="M85" s="74">
        <v>0.24667262377694599</v>
      </c>
      <c r="N85" s="74">
        <v>0.21050674417263801</v>
      </c>
      <c r="O85" s="74">
        <v>0.192976995559591</v>
      </c>
      <c r="P85" s="74">
        <v>0.17579428746599199</v>
      </c>
      <c r="Q85" s="74">
        <v>0.15894367781694199</v>
      </c>
      <c r="R85" s="74">
        <v>0.14259785357523699</v>
      </c>
      <c r="S85" s="74">
        <v>0.12765918390827399</v>
      </c>
      <c r="T85" s="74">
        <v>0.114163356067791</v>
      </c>
      <c r="U85" s="74">
        <v>0.10201727963507499</v>
      </c>
      <c r="V85" s="74">
        <v>9.1135430154316507E-2</v>
      </c>
      <c r="W85" s="74">
        <v>7.2855694432144805E-2</v>
      </c>
      <c r="X85" s="74">
        <v>5.8764671453180595E-2</v>
      </c>
      <c r="Y85" s="74">
        <v>0.05</v>
      </c>
      <c r="Z85" s="74">
        <v>0.05</v>
      </c>
      <c r="AA85" s="74">
        <v>0.05</v>
      </c>
      <c r="AB85" s="74">
        <v>0.05</v>
      </c>
      <c r="AC85" s="74">
        <v>0.05</v>
      </c>
      <c r="AD85" s="74">
        <v>0.05</v>
      </c>
      <c r="AE85" s="74">
        <v>0.05</v>
      </c>
      <c r="AF85" s="74">
        <v>0.05</v>
      </c>
      <c r="AG85" s="74">
        <v>0.05</v>
      </c>
      <c r="AH85" s="74">
        <v>0.05</v>
      </c>
      <c r="AI85" s="74">
        <v>0.05</v>
      </c>
      <c r="AJ85" s="74">
        <v>0.05</v>
      </c>
      <c r="AK85" s="74">
        <v>0.05</v>
      </c>
      <c r="AL85" s="74">
        <v>0.05</v>
      </c>
      <c r="AM85" s="74">
        <v>0.05</v>
      </c>
      <c r="AN85" s="76">
        <v>0.05</v>
      </c>
    </row>
    <row r="86" spans="2:40">
      <c r="B86" s="97">
        <v>44393</v>
      </c>
      <c r="C86" s="75">
        <v>0.82161091934341601</v>
      </c>
      <c r="D86" s="75">
        <v>0.82161091934341601</v>
      </c>
      <c r="E86" s="75">
        <v>0.8203884921679141</v>
      </c>
      <c r="F86" s="75">
        <v>0.73834668553821003</v>
      </c>
      <c r="G86" s="75">
        <v>0.61522599515193399</v>
      </c>
      <c r="H86" s="75">
        <v>0.51078528889303199</v>
      </c>
      <c r="I86" s="75">
        <v>0.42095817675082392</v>
      </c>
      <c r="J86" s="75">
        <v>0.34185815921163903</v>
      </c>
      <c r="K86" s="75">
        <v>0.30551988284997295</v>
      </c>
      <c r="L86" s="75">
        <v>0.27100393584707499</v>
      </c>
      <c r="M86" s="75">
        <v>0.23812002374031299</v>
      </c>
      <c r="N86" s="75">
        <v>0.20670708733018398</v>
      </c>
      <c r="O86" s="75">
        <v>0.19150844346184501</v>
      </c>
      <c r="P86" s="75">
        <v>0.17662751439143301</v>
      </c>
      <c r="Q86" s="75">
        <v>0.16205003955180497</v>
      </c>
      <c r="R86" s="75">
        <v>0.14795798797106899</v>
      </c>
      <c r="S86" s="75">
        <v>0.135082965965554</v>
      </c>
      <c r="T86" s="75">
        <v>0.12342232713316799</v>
      </c>
      <c r="U86" s="75">
        <v>0.11289789003435399</v>
      </c>
      <c r="V86" s="75">
        <v>0.103437821851236</v>
      </c>
      <c r="W86" s="75">
        <v>8.7451472231542288E-2</v>
      </c>
      <c r="X86" s="75">
        <v>7.4993277720167006E-2</v>
      </c>
      <c r="Y86" s="75">
        <v>6.5759515430440604E-2</v>
      </c>
      <c r="Z86" s="75">
        <v>6.0016844711961802E-2</v>
      </c>
      <c r="AA86" s="75">
        <v>5.7309500777970201E-2</v>
      </c>
      <c r="AB86" s="75">
        <v>5.7309500777970201E-2</v>
      </c>
      <c r="AC86" s="75">
        <v>5.7309500777970201E-2</v>
      </c>
      <c r="AD86" s="75">
        <v>5.7309500777970201E-2</v>
      </c>
      <c r="AE86" s="75">
        <v>5.7309500777970201E-2</v>
      </c>
      <c r="AF86" s="75">
        <v>5.7309500777970201E-2</v>
      </c>
      <c r="AG86" s="75">
        <v>5.7309500777970201E-2</v>
      </c>
      <c r="AH86" s="75">
        <v>5.7309500777970201E-2</v>
      </c>
      <c r="AI86" s="75">
        <v>5.7309500777970201E-2</v>
      </c>
      <c r="AJ86" s="75">
        <v>5.7309500777970201E-2</v>
      </c>
      <c r="AK86" s="75">
        <v>5.7309500777970201E-2</v>
      </c>
      <c r="AL86" s="75">
        <v>5.7309500777970201E-2</v>
      </c>
      <c r="AM86" s="75">
        <v>5.7309500777970201E-2</v>
      </c>
      <c r="AN86" s="77">
        <v>5.7309500777970201E-2</v>
      </c>
    </row>
    <row r="87" spans="2:40">
      <c r="B87" s="96">
        <v>44456</v>
      </c>
      <c r="C87" s="74">
        <v>0.710358940704791</v>
      </c>
      <c r="D87" s="74">
        <v>0.710358940704791</v>
      </c>
      <c r="E87" s="74">
        <v>0.70930121002083102</v>
      </c>
      <c r="F87" s="74">
        <v>0.6418694427708449</v>
      </c>
      <c r="G87" s="74">
        <v>0.54108708549561901</v>
      </c>
      <c r="H87" s="74">
        <v>0.45540604859605793</v>
      </c>
      <c r="I87" s="74">
        <v>0.38154823423199502</v>
      </c>
      <c r="J87" s="74">
        <v>0.31640017841399704</v>
      </c>
      <c r="K87" s="74">
        <v>0.286439952750208</v>
      </c>
      <c r="L87" s="74">
        <v>0.25796506123927598</v>
      </c>
      <c r="M87" s="74">
        <v>0.23082169795225102</v>
      </c>
      <c r="N87" s="74">
        <v>0.20487951871201199</v>
      </c>
      <c r="O87" s="74">
        <v>0.192323396158458</v>
      </c>
      <c r="P87" s="74">
        <v>0.18002702552148697</v>
      </c>
      <c r="Q87" s="74">
        <v>0.16797883697190599</v>
      </c>
      <c r="R87" s="74">
        <v>0.15635239365219097</v>
      </c>
      <c r="S87" s="74">
        <v>0.14569520732474003</v>
      </c>
      <c r="T87" s="74">
        <v>0.135985643270923</v>
      </c>
      <c r="U87" s="74">
        <v>0.127163036083836</v>
      </c>
      <c r="V87" s="74">
        <v>0.11917163524303399</v>
      </c>
      <c r="W87" s="74">
        <v>0.10548113962622999</v>
      </c>
      <c r="X87" s="74">
        <v>9.454919947456121E-2</v>
      </c>
      <c r="Y87" s="74">
        <v>8.6063495520345798E-2</v>
      </c>
      <c r="Z87" s="74">
        <v>7.9881383283111701E-2</v>
      </c>
      <c r="AA87" s="74">
        <v>7.4151274224575806E-2</v>
      </c>
      <c r="AB87" s="74">
        <v>7.3936335829527189E-2</v>
      </c>
      <c r="AC87" s="74">
        <v>7.3936335829527189E-2</v>
      </c>
      <c r="AD87" s="74">
        <v>7.3936335829527189E-2</v>
      </c>
      <c r="AE87" s="74">
        <v>7.3936335829527189E-2</v>
      </c>
      <c r="AF87" s="74">
        <v>7.3936335829527189E-2</v>
      </c>
      <c r="AG87" s="74">
        <v>7.3936335829527189E-2</v>
      </c>
      <c r="AH87" s="74">
        <v>7.3936335829527189E-2</v>
      </c>
      <c r="AI87" s="74">
        <v>7.3936335829527189E-2</v>
      </c>
      <c r="AJ87" s="74">
        <v>7.3936335829527189E-2</v>
      </c>
      <c r="AK87" s="74">
        <v>7.3936335829527189E-2</v>
      </c>
      <c r="AL87" s="74">
        <v>7.3936335829527189E-2</v>
      </c>
      <c r="AM87" s="74">
        <v>7.3936335829527189E-2</v>
      </c>
      <c r="AN87" s="76">
        <v>7.3936335829527189E-2</v>
      </c>
    </row>
    <row r="88" spans="2:40">
      <c r="B88" s="97">
        <v>44547</v>
      </c>
      <c r="C88" s="75">
        <v>0.60431248977598506</v>
      </c>
      <c r="D88" s="75">
        <v>0.60431248977598506</v>
      </c>
      <c r="E88" s="75">
        <v>0.60334987732384693</v>
      </c>
      <c r="F88" s="75">
        <v>0.55023822467495898</v>
      </c>
      <c r="G88" s="75">
        <v>0.47163072464601496</v>
      </c>
      <c r="H88" s="75">
        <v>0.40393822648855704</v>
      </c>
      <c r="I88" s="75">
        <v>0.34493979917669193</v>
      </c>
      <c r="J88" s="75">
        <v>0.29246861483985198</v>
      </c>
      <c r="K88" s="75">
        <v>0.26821581884607798</v>
      </c>
      <c r="L88" s="75">
        <v>0.245098719401906</v>
      </c>
      <c r="M88" s="75">
        <v>0.22300482371553199</v>
      </c>
      <c r="N88" s="75">
        <v>0.20183813329318903</v>
      </c>
      <c r="O88" s="75">
        <v>0.19157621571923197</v>
      </c>
      <c r="P88" s="75">
        <v>0.18151601742854501</v>
      </c>
      <c r="Q88" s="75">
        <v>0.17164890293687901</v>
      </c>
      <c r="R88" s="75">
        <v>0.16218410767107297</v>
      </c>
      <c r="S88" s="75">
        <v>0.153447400993829</v>
      </c>
      <c r="T88" s="75">
        <v>0.14539694864275299</v>
      </c>
      <c r="U88" s="75">
        <v>0.13798938865324004</v>
      </c>
      <c r="V88" s="75">
        <v>0.13118485300166002</v>
      </c>
      <c r="W88" s="75">
        <v>0.119240807463271</v>
      </c>
      <c r="X88" s="75">
        <v>0.109303519583135</v>
      </c>
      <c r="Y88" s="75">
        <v>0.101149166682274</v>
      </c>
      <c r="Z88" s="75">
        <v>9.4585095716274603E-2</v>
      </c>
      <c r="AA88" s="75">
        <v>8.6342817006627104E-2</v>
      </c>
      <c r="AB88" s="75">
        <v>8.3986178640121797E-2</v>
      </c>
      <c r="AC88" s="75">
        <v>8.3986178640121797E-2</v>
      </c>
      <c r="AD88" s="75">
        <v>8.3986178640121797E-2</v>
      </c>
      <c r="AE88" s="75">
        <v>8.3986178640121797E-2</v>
      </c>
      <c r="AF88" s="75">
        <v>8.3986178640121797E-2</v>
      </c>
      <c r="AG88" s="75">
        <v>8.3986178640121797E-2</v>
      </c>
      <c r="AH88" s="75">
        <v>8.3986178640121797E-2</v>
      </c>
      <c r="AI88" s="75">
        <v>8.3986178640121797E-2</v>
      </c>
      <c r="AJ88" s="75">
        <v>8.3986178640121797E-2</v>
      </c>
      <c r="AK88" s="75">
        <v>8.3986178640121797E-2</v>
      </c>
      <c r="AL88" s="75">
        <v>8.3986178640121797E-2</v>
      </c>
      <c r="AM88" s="75">
        <v>8.3986178640121797E-2</v>
      </c>
      <c r="AN88" s="77">
        <v>8.3986178640121797E-2</v>
      </c>
    </row>
    <row r="89" spans="2:40">
      <c r="B89" s="96">
        <v>44638</v>
      </c>
      <c r="C89" s="74">
        <v>0.57078683118290396</v>
      </c>
      <c r="D89" s="74">
        <v>0.57078683118290396</v>
      </c>
      <c r="E89" s="74">
        <v>0.56971681293530196</v>
      </c>
      <c r="F89" s="74">
        <v>0.51722951708337195</v>
      </c>
      <c r="G89" s="74">
        <v>0.44150244147010198</v>
      </c>
      <c r="H89" s="74">
        <v>0.37872502289505894</v>
      </c>
      <c r="I89" s="74">
        <v>0.32546277658024397</v>
      </c>
      <c r="J89" s="74">
        <v>0.27904844237090698</v>
      </c>
      <c r="K89" s="74">
        <v>0.25786475296781602</v>
      </c>
      <c r="L89" s="74">
        <v>0.237819153832939</v>
      </c>
      <c r="M89" s="74">
        <v>0.21878706460998498</v>
      </c>
      <c r="N89" s="74">
        <v>0.20066378554755701</v>
      </c>
      <c r="O89" s="74">
        <v>0.19191464456312399</v>
      </c>
      <c r="P89" s="74">
        <v>0.18336043045306599</v>
      </c>
      <c r="Q89" s="74">
        <v>0.174992265995283</v>
      </c>
      <c r="R89" s="74">
        <v>0.16704396238740199</v>
      </c>
      <c r="S89" s="74">
        <v>0.15969693185596598</v>
      </c>
      <c r="T89" s="74">
        <v>0.152912550228438</v>
      </c>
      <c r="U89" s="74">
        <v>0.146655368815862</v>
      </c>
      <c r="V89" s="74">
        <v>0.140892791758123</v>
      </c>
      <c r="W89" s="74">
        <v>0.13073366292425601</v>
      </c>
      <c r="X89" s="74">
        <v>0.122221476569775</v>
      </c>
      <c r="Y89" s="74">
        <v>0.11517314911139799</v>
      </c>
      <c r="Z89" s="74">
        <v>0.10943088606265701</v>
      </c>
      <c r="AA89" s="74">
        <v>0.10151506945928299</v>
      </c>
      <c r="AB89" s="74">
        <v>9.7970278132489E-2</v>
      </c>
      <c r="AC89" s="74">
        <v>9.7585618018068102E-2</v>
      </c>
      <c r="AD89" s="74">
        <v>9.7585618018068102E-2</v>
      </c>
      <c r="AE89" s="74">
        <v>9.7585618018068102E-2</v>
      </c>
      <c r="AF89" s="74">
        <v>9.7585618018068102E-2</v>
      </c>
      <c r="AG89" s="74">
        <v>9.7585618018068102E-2</v>
      </c>
      <c r="AH89" s="74">
        <v>9.7585618018068102E-2</v>
      </c>
      <c r="AI89" s="74">
        <v>9.7585618018068102E-2</v>
      </c>
      <c r="AJ89" s="74">
        <v>9.7585618018068102E-2</v>
      </c>
      <c r="AK89" s="74">
        <v>9.7585618018068102E-2</v>
      </c>
      <c r="AL89" s="74">
        <v>9.7585618018068102E-2</v>
      </c>
      <c r="AM89" s="74">
        <v>9.7585618018068102E-2</v>
      </c>
      <c r="AN89" s="76">
        <v>9.7585618018068102E-2</v>
      </c>
    </row>
    <row r="90" spans="2:40">
      <c r="B90" s="97">
        <v>44729</v>
      </c>
      <c r="C90" s="75">
        <v>0.53580840519204198</v>
      </c>
      <c r="D90" s="75">
        <v>0.53580840519204198</v>
      </c>
      <c r="E90" s="75">
        <v>0.53423839730983502</v>
      </c>
      <c r="F90" s="75">
        <v>0.48336739206583196</v>
      </c>
      <c r="G90" s="75">
        <v>0.41406500778236904</v>
      </c>
      <c r="H90" s="75">
        <v>0.357464946480611</v>
      </c>
      <c r="I90" s="75">
        <v>0.30972923603753499</v>
      </c>
      <c r="J90" s="75">
        <v>0.26832378591134798</v>
      </c>
      <c r="K90" s="75">
        <v>0.24948172165944499</v>
      </c>
      <c r="L90" s="75">
        <v>0.23168243787451398</v>
      </c>
      <c r="M90" s="75">
        <v>0.214809631553569</v>
      </c>
      <c r="N90" s="75">
        <v>0.19876582505686199</v>
      </c>
      <c r="O90" s="75">
        <v>0.19102850254923101</v>
      </c>
      <c r="P90" s="75">
        <v>0.18346846976734799</v>
      </c>
      <c r="Q90" s="75">
        <v>0.17618842352122399</v>
      </c>
      <c r="R90" s="75">
        <v>0.169453429389641</v>
      </c>
      <c r="S90" s="75">
        <v>0.16324189870820099</v>
      </c>
      <c r="T90" s="75">
        <v>0.15752009697161198</v>
      </c>
      <c r="U90" s="75">
        <v>0.15225706694551097</v>
      </c>
      <c r="V90" s="75">
        <v>0.14742434625133699</v>
      </c>
      <c r="W90" s="75">
        <v>0.138946997341549</v>
      </c>
      <c r="X90" s="75">
        <v>0.13190151672313602</v>
      </c>
      <c r="Y90" s="75">
        <v>0.12612812507596702</v>
      </c>
      <c r="Z90" s="75">
        <v>0.12148914736733399</v>
      </c>
      <c r="AA90" s="75">
        <v>0.115117828269164</v>
      </c>
      <c r="AB90" s="75">
        <v>0.111896363903371</v>
      </c>
      <c r="AC90" s="75">
        <v>0.11118814209373598</v>
      </c>
      <c r="AD90" s="75">
        <v>0.11118814209373598</v>
      </c>
      <c r="AE90" s="75">
        <v>0.11118814209373598</v>
      </c>
      <c r="AF90" s="75">
        <v>0.11118814209373598</v>
      </c>
      <c r="AG90" s="75">
        <v>0.11118814209373598</v>
      </c>
      <c r="AH90" s="75">
        <v>0.11118814209373598</v>
      </c>
      <c r="AI90" s="75">
        <v>0.11118814209373598</v>
      </c>
      <c r="AJ90" s="75">
        <v>0.11118814209373598</v>
      </c>
      <c r="AK90" s="75">
        <v>0.11118814209373598</v>
      </c>
      <c r="AL90" s="75">
        <v>0.11118814209373598</v>
      </c>
      <c r="AM90" s="75">
        <v>0.11118814209373598</v>
      </c>
      <c r="AN90" s="77">
        <v>0.11118814209373598</v>
      </c>
    </row>
    <row r="91" spans="2:40">
      <c r="B91" s="96">
        <v>44820</v>
      </c>
      <c r="C91" s="74">
        <v>0.52331500087216598</v>
      </c>
      <c r="D91" s="74">
        <v>0.52331500087216598</v>
      </c>
      <c r="E91" s="74">
        <v>0.52159554370989503</v>
      </c>
      <c r="F91" s="74">
        <v>0.46914433110494197</v>
      </c>
      <c r="G91" s="74">
        <v>0.39920990449436294</v>
      </c>
      <c r="H91" s="74">
        <v>0.34394743264195898</v>
      </c>
      <c r="I91" s="74">
        <v>0.29848747457446001</v>
      </c>
      <c r="J91" s="74">
        <v>0.25983606777027901</v>
      </c>
      <c r="K91" s="74">
        <v>0.24247296235370999</v>
      </c>
      <c r="L91" s="74">
        <v>0.22619504606086199</v>
      </c>
      <c r="M91" s="74">
        <v>0.21087275865558097</v>
      </c>
      <c r="N91" s="74">
        <v>0.19639854256450298</v>
      </c>
      <c r="O91" s="74">
        <v>0.18945067615451397</v>
      </c>
      <c r="P91" s="74">
        <v>0.18268211603055404</v>
      </c>
      <c r="Q91" s="74">
        <v>0.17621050219624004</v>
      </c>
      <c r="R91" s="74">
        <v>0.17023301422898299</v>
      </c>
      <c r="S91" s="74">
        <v>0.16472098748873598</v>
      </c>
      <c r="T91" s="74">
        <v>0.15964441880594299</v>
      </c>
      <c r="U91" s="74">
        <v>0.15497577532102003</v>
      </c>
      <c r="V91" s="74">
        <v>0.15068974327002799</v>
      </c>
      <c r="W91" s="74">
        <v>0.14317405494739002</v>
      </c>
      <c r="X91" s="74">
        <v>0.13693145874764798</v>
      </c>
      <c r="Y91" s="74">
        <v>0.13181985603823301</v>
      </c>
      <c r="Z91" s="74">
        <v>0.12771680855555201</v>
      </c>
      <c r="AA91" s="74">
        <v>0.122076591337357</v>
      </c>
      <c r="AB91" s="74">
        <v>0.11913233433599901</v>
      </c>
      <c r="AC91" s="74">
        <v>0.118361010630172</v>
      </c>
      <c r="AD91" s="74">
        <v>0.118361010630172</v>
      </c>
      <c r="AE91" s="74">
        <v>0.118361010630172</v>
      </c>
      <c r="AF91" s="74">
        <v>0.118361010630172</v>
      </c>
      <c r="AG91" s="74">
        <v>0.118361010630172</v>
      </c>
      <c r="AH91" s="74">
        <v>0.118361010630172</v>
      </c>
      <c r="AI91" s="74">
        <v>0.118361010630172</v>
      </c>
      <c r="AJ91" s="74">
        <v>0.118361010630172</v>
      </c>
      <c r="AK91" s="74">
        <v>0.118361010630172</v>
      </c>
      <c r="AL91" s="74">
        <v>0.118361010630172</v>
      </c>
      <c r="AM91" s="74">
        <v>0.118361010630172</v>
      </c>
      <c r="AN91" s="76">
        <v>0.118361010630172</v>
      </c>
    </row>
    <row r="92" spans="2:40">
      <c r="B92" s="97">
        <v>44911</v>
      </c>
      <c r="C92" s="75">
        <v>0.49721741268486397</v>
      </c>
      <c r="D92" s="75">
        <v>0.49721741268486397</v>
      </c>
      <c r="E92" s="75">
        <v>0.49598408220540102</v>
      </c>
      <c r="F92" s="75">
        <v>0.44860340600326104</v>
      </c>
      <c r="G92" s="75">
        <v>0.3837111095047</v>
      </c>
      <c r="H92" s="75">
        <v>0.33235372752937098</v>
      </c>
      <c r="I92" s="75">
        <v>0.290134921412744</v>
      </c>
      <c r="J92" s="75">
        <v>0.25425927422088501</v>
      </c>
      <c r="K92" s="75">
        <v>0.23814901809837</v>
      </c>
      <c r="L92" s="75">
        <v>0.22304894663984498</v>
      </c>
      <c r="M92" s="75">
        <v>0.20883825393028499</v>
      </c>
      <c r="N92" s="75">
        <v>0.195416672655432</v>
      </c>
      <c r="O92" s="75">
        <v>0.18897496981173004</v>
      </c>
      <c r="P92" s="75">
        <v>0.18270005816245496</v>
      </c>
      <c r="Q92" s="75">
        <v>0.17675233756453398</v>
      </c>
      <c r="R92" s="75">
        <v>0.17127679658225703</v>
      </c>
      <c r="S92" s="75">
        <v>0.16624227075677298</v>
      </c>
      <c r="T92" s="75">
        <v>0.16162022214800201</v>
      </c>
      <c r="U92" s="75">
        <v>0.15738446633113498</v>
      </c>
      <c r="V92" s="75">
        <v>0.153510932834727</v>
      </c>
      <c r="W92" s="75">
        <v>0.14676358211235399</v>
      </c>
      <c r="X92" s="75">
        <v>0.14122047965060999</v>
      </c>
      <c r="Y92" s="75">
        <v>0.13674659472827302</v>
      </c>
      <c r="Z92" s="75">
        <v>0.13322561379030001</v>
      </c>
      <c r="AA92" s="75">
        <v>0.128597599884996</v>
      </c>
      <c r="AB92" s="75">
        <v>0.12601201728841399</v>
      </c>
      <c r="AC92" s="75">
        <v>0.12490104752515499</v>
      </c>
      <c r="AD92" s="75">
        <v>0.12481031463756199</v>
      </c>
      <c r="AE92" s="75">
        <v>0.12481031463756199</v>
      </c>
      <c r="AF92" s="75">
        <v>0.12481031463756199</v>
      </c>
      <c r="AG92" s="75">
        <v>0.12481031463756199</v>
      </c>
      <c r="AH92" s="75">
        <v>0.12481031463756199</v>
      </c>
      <c r="AI92" s="75">
        <v>0.12481031463756199</v>
      </c>
      <c r="AJ92" s="75">
        <v>0.12481031463756199</v>
      </c>
      <c r="AK92" s="75">
        <v>0.12481031463756199</v>
      </c>
      <c r="AL92" s="75">
        <v>0.12481031463756199</v>
      </c>
      <c r="AM92" s="75">
        <v>0.12481031463756199</v>
      </c>
      <c r="AN92" s="77">
        <v>0.12481031463756199</v>
      </c>
    </row>
    <row r="93" spans="2:40">
      <c r="B93" s="96">
        <v>45093</v>
      </c>
      <c r="C93" s="74">
        <v>0.45477503774494898</v>
      </c>
      <c r="D93" s="74">
        <v>0.45477503774494898</v>
      </c>
      <c r="E93" s="74">
        <v>0.45295056301057196</v>
      </c>
      <c r="F93" s="74">
        <v>0.40688937152078097</v>
      </c>
      <c r="G93" s="74">
        <v>0.34850235803618596</v>
      </c>
      <c r="H93" s="74">
        <v>0.30380332391683301</v>
      </c>
      <c r="I93" s="74">
        <v>0.26783124093518096</v>
      </c>
      <c r="J93" s="74">
        <v>0.23780295070764301</v>
      </c>
      <c r="K93" s="74">
        <v>0.22447773221927597</v>
      </c>
      <c r="L93" s="74">
        <v>0.21207690336423601</v>
      </c>
      <c r="M93" s="74">
        <v>0.20048453736848801</v>
      </c>
      <c r="N93" s="74">
        <v>0.18960502354092498</v>
      </c>
      <c r="O93" s="74">
        <v>0.18440713875134301</v>
      </c>
      <c r="P93" s="74">
        <v>0.17945685225415098</v>
      </c>
      <c r="Q93" s="74">
        <v>0.17493082994047196</v>
      </c>
      <c r="R93" s="74">
        <v>0.17080548623519298</v>
      </c>
      <c r="S93" s="74">
        <v>0.16705405378501698</v>
      </c>
      <c r="T93" s="74">
        <v>0.16365203291958</v>
      </c>
      <c r="U93" s="74">
        <v>0.160576954982037</v>
      </c>
      <c r="V93" s="74">
        <v>0.157808174979338</v>
      </c>
      <c r="W93" s="74">
        <v>0.15311497542920499</v>
      </c>
      <c r="X93" s="74">
        <v>0.149437340498565</v>
      </c>
      <c r="Y93" s="74">
        <v>0.14665969880034299</v>
      </c>
      <c r="Z93" s="74">
        <v>0.14468259390820401</v>
      </c>
      <c r="AA93" s="74">
        <v>0.14279470523954302</v>
      </c>
      <c r="AB93" s="74">
        <v>0.14219827340187599</v>
      </c>
      <c r="AC93" s="74">
        <v>0.141866145020632</v>
      </c>
      <c r="AD93" s="74">
        <v>0.14175296918323399</v>
      </c>
      <c r="AE93" s="74">
        <v>0.14175222955365999</v>
      </c>
      <c r="AF93" s="74">
        <v>0.14175222955365999</v>
      </c>
      <c r="AG93" s="74">
        <v>0.14175222955365999</v>
      </c>
      <c r="AH93" s="74">
        <v>0.14175222955365999</v>
      </c>
      <c r="AI93" s="74">
        <v>0.14175222955365999</v>
      </c>
      <c r="AJ93" s="74">
        <v>0.14175222955365999</v>
      </c>
      <c r="AK93" s="74">
        <v>0.14175222955365999</v>
      </c>
      <c r="AL93" s="74">
        <v>0.14175222955365999</v>
      </c>
      <c r="AM93" s="74">
        <v>0.14175222955365999</v>
      </c>
      <c r="AN93" s="76">
        <v>0.14175222955365999</v>
      </c>
    </row>
    <row r="94" spans="2:40">
      <c r="B94" s="97">
        <v>45275</v>
      </c>
      <c r="C94" s="75">
        <v>0.43763315930318397</v>
      </c>
      <c r="D94" s="75">
        <v>0.43763315930318397</v>
      </c>
      <c r="E94" s="75">
        <v>0.43563027602139798</v>
      </c>
      <c r="F94" s="75">
        <v>0.39036829632588599</v>
      </c>
      <c r="G94" s="75">
        <v>0.33456723532265192</v>
      </c>
      <c r="H94" s="75">
        <v>0.29259761841417098</v>
      </c>
      <c r="I94" s="75">
        <v>0.25927344918449896</v>
      </c>
      <c r="J94" s="75">
        <v>0.23177708807415001</v>
      </c>
      <c r="K94" s="75">
        <v>0.21967209228971901</v>
      </c>
      <c r="L94" s="75">
        <v>0.20846141323240003</v>
      </c>
      <c r="M94" s="75">
        <v>0.19802990762720796</v>
      </c>
      <c r="N94" s="75">
        <v>0.18828293238497598</v>
      </c>
      <c r="O94" s="75">
        <v>0.18364148250775203</v>
      </c>
      <c r="P94" s="75">
        <v>0.17928797555800499</v>
      </c>
      <c r="Q94" s="75">
        <v>0.17531599751083402</v>
      </c>
      <c r="R94" s="75">
        <v>0.17169951630253297</v>
      </c>
      <c r="S94" s="75">
        <v>0.16841475597831299</v>
      </c>
      <c r="T94" s="75">
        <v>0.165439955789982</v>
      </c>
      <c r="U94" s="75">
        <v>0.162755159819957</v>
      </c>
      <c r="V94" s="75">
        <v>0.16034203267226699</v>
      </c>
      <c r="W94" s="75">
        <v>0.15626459328644399</v>
      </c>
      <c r="X94" s="75">
        <v>0.153087669978029</v>
      </c>
      <c r="Y94" s="75">
        <v>0.15070864072189799</v>
      </c>
      <c r="Z94" s="75">
        <v>0.14903920073597798</v>
      </c>
      <c r="AA94" s="75">
        <v>0.14753346257672401</v>
      </c>
      <c r="AB94" s="75">
        <v>0.14767212917045799</v>
      </c>
      <c r="AC94" s="75">
        <v>0.14784293750816802</v>
      </c>
      <c r="AD94" s="75">
        <v>0.147933776244627</v>
      </c>
      <c r="AE94" s="75">
        <v>0.14795796926514698</v>
      </c>
      <c r="AF94" s="75">
        <v>0.14795796926514698</v>
      </c>
      <c r="AG94" s="75">
        <v>0.14795796926514698</v>
      </c>
      <c r="AH94" s="75">
        <v>0.14795796926514698</v>
      </c>
      <c r="AI94" s="75">
        <v>0.14795796926514698</v>
      </c>
      <c r="AJ94" s="75">
        <v>0.14795796926514698</v>
      </c>
      <c r="AK94" s="75">
        <v>0.14795796926514698</v>
      </c>
      <c r="AL94" s="75">
        <v>0.14795796926514698</v>
      </c>
      <c r="AM94" s="75">
        <v>0.14795796926514698</v>
      </c>
      <c r="AN94" s="77">
        <v>0.14795796926514698</v>
      </c>
    </row>
    <row r="95" spans="2:40">
      <c r="B95" s="96">
        <v>45646</v>
      </c>
      <c r="C95" s="74">
        <v>0.40516355397065196</v>
      </c>
      <c r="D95" s="74">
        <v>0.40516355397065196</v>
      </c>
      <c r="E95" s="74">
        <v>0.40179019623963796</v>
      </c>
      <c r="F95" s="74">
        <v>0.35667731146623594</v>
      </c>
      <c r="G95" s="74">
        <v>0.307659631821112</v>
      </c>
      <c r="H95" s="74">
        <v>0.27179049430479801</v>
      </c>
      <c r="I95" s="74">
        <v>0.243878879512122</v>
      </c>
      <c r="J95" s="74">
        <v>0.22125913222075499</v>
      </c>
      <c r="K95" s="74">
        <v>0.21142590572932399</v>
      </c>
      <c r="L95" s="74">
        <v>0.20239023128900802</v>
      </c>
      <c r="M95" s="74">
        <v>0.19404577039326198</v>
      </c>
      <c r="N95" s="74">
        <v>0.18630549994308898</v>
      </c>
      <c r="O95" s="74">
        <v>0.18272414727885497</v>
      </c>
      <c r="P95" s="74">
        <v>0.17943731502547899</v>
      </c>
      <c r="Q95" s="74">
        <v>0.176424645647418</v>
      </c>
      <c r="R95" s="74">
        <v>0.17366753566124002</v>
      </c>
      <c r="S95" s="74">
        <v>0.171148990157207</v>
      </c>
      <c r="T95" s="74">
        <v>0.16885345126689502</v>
      </c>
      <c r="U95" s="74">
        <v>0.16676664834770002</v>
      </c>
      <c r="V95" s="74">
        <v>0.16487546671381001</v>
      </c>
      <c r="W95" s="74">
        <v>0.16163260979386698</v>
      </c>
      <c r="X95" s="74">
        <v>0.15903902529655597</v>
      </c>
      <c r="Y95" s="74">
        <v>0.157021238651078</v>
      </c>
      <c r="Z95" s="74">
        <v>0.15551599759138701</v>
      </c>
      <c r="AA95" s="74">
        <v>0.153831278973033</v>
      </c>
      <c r="AB95" s="74">
        <v>0.15362583779804101</v>
      </c>
      <c r="AC95" s="74">
        <v>0.154044199616337</v>
      </c>
      <c r="AD95" s="74">
        <v>0.15432977562524799</v>
      </c>
      <c r="AE95" s="74">
        <v>0.15450266632867199</v>
      </c>
      <c r="AF95" s="74">
        <v>0.154580134954062</v>
      </c>
      <c r="AG95" s="74">
        <v>0.15458771984599698</v>
      </c>
      <c r="AH95" s="74">
        <v>0.15458771984599698</v>
      </c>
      <c r="AI95" s="74">
        <v>0.15458771984599698</v>
      </c>
      <c r="AJ95" s="74">
        <v>0.15458771984599698</v>
      </c>
      <c r="AK95" s="74">
        <v>0.15458771984599698</v>
      </c>
      <c r="AL95" s="74">
        <v>0.15458771984599698</v>
      </c>
      <c r="AM95" s="74">
        <v>0.15458771984599698</v>
      </c>
      <c r="AN95" s="76">
        <v>0.15458771984599698</v>
      </c>
    </row>
    <row r="96" spans="2:40">
      <c r="B96" s="97">
        <v>46010</v>
      </c>
      <c r="C96" s="75">
        <v>0.42832942326609696</v>
      </c>
      <c r="D96" s="75">
        <v>0.42832942326609696</v>
      </c>
      <c r="E96" s="75">
        <v>0.42270260266308707</v>
      </c>
      <c r="F96" s="75">
        <v>0.36320640730595699</v>
      </c>
      <c r="G96" s="75">
        <v>0.30528758096233005</v>
      </c>
      <c r="H96" s="75">
        <v>0.26598666416995398</v>
      </c>
      <c r="I96" s="75">
        <v>0.23752311614216498</v>
      </c>
      <c r="J96" s="75">
        <v>0.21601679287149303</v>
      </c>
      <c r="K96" s="75">
        <v>0.20715089826400801</v>
      </c>
      <c r="L96" s="75">
        <v>0.19928263660120396</v>
      </c>
      <c r="M96" s="75">
        <v>0.19226594951227602</v>
      </c>
      <c r="N96" s="75">
        <v>0.186015541496582</v>
      </c>
      <c r="O96" s="75">
        <v>0.183245971581943</v>
      </c>
      <c r="P96" s="75">
        <v>0.18071417282518401</v>
      </c>
      <c r="Q96" s="75">
        <v>0.17840358857892699</v>
      </c>
      <c r="R96" s="75">
        <v>0.17629913010472698</v>
      </c>
      <c r="S96" s="75">
        <v>0.17438701617444596</v>
      </c>
      <c r="T96" s="75">
        <v>0.17265463346809601</v>
      </c>
      <c r="U96" s="75">
        <v>0.17109041466068003</v>
      </c>
      <c r="V96" s="75">
        <v>0.169683731614092</v>
      </c>
      <c r="W96" s="75">
        <v>0.16730460415426401</v>
      </c>
      <c r="X96" s="75">
        <v>0.16544770944510601</v>
      </c>
      <c r="Y96" s="75">
        <v>0.16405355901149399</v>
      </c>
      <c r="Z96" s="75">
        <v>0.16307096251030698</v>
      </c>
      <c r="AA96" s="75">
        <v>0.16216905106495003</v>
      </c>
      <c r="AB96" s="75">
        <v>0.16245170880826199</v>
      </c>
      <c r="AC96" s="75">
        <v>0.16357947132020598</v>
      </c>
      <c r="AD96" s="75">
        <v>0.164557088710929</v>
      </c>
      <c r="AE96" s="75">
        <v>0.16523947827086002</v>
      </c>
      <c r="AF96" s="75">
        <v>0.16567117806543899</v>
      </c>
      <c r="AG96" s="75">
        <v>0.165888607265158</v>
      </c>
      <c r="AH96" s="75">
        <v>0.16592963738983499</v>
      </c>
      <c r="AI96" s="75">
        <v>0.16592963738983499</v>
      </c>
      <c r="AJ96" s="75">
        <v>0.16592963738983499</v>
      </c>
      <c r="AK96" s="75">
        <v>0.16592963738983499</v>
      </c>
      <c r="AL96" s="75">
        <v>0.16592963738983499</v>
      </c>
      <c r="AM96" s="75">
        <v>0.16592963738983499</v>
      </c>
      <c r="AN96" s="77">
        <v>0.16592963738983499</v>
      </c>
    </row>
    <row r="97" spans="2:40">
      <c r="B97" s="96">
        <v>46374</v>
      </c>
      <c r="C97" s="74">
        <v>0.41320527453890005</v>
      </c>
      <c r="D97" s="74">
        <v>0.41320527453890005</v>
      </c>
      <c r="E97" s="74">
        <v>0.40652851518581801</v>
      </c>
      <c r="F97" s="74">
        <v>0.34708530003270299</v>
      </c>
      <c r="G97" s="74">
        <v>0.29292173083346695</v>
      </c>
      <c r="H97" s="74">
        <v>0.25690988639471601</v>
      </c>
      <c r="I97" s="74">
        <v>0.231377730126889</v>
      </c>
      <c r="J97" s="74">
        <v>0.21252107585120597</v>
      </c>
      <c r="K97" s="74">
        <v>0.204891907010607</v>
      </c>
      <c r="L97" s="74">
        <v>0.198208972493606</v>
      </c>
      <c r="M97" s="74">
        <v>0.19233077672856896</v>
      </c>
      <c r="N97" s="74">
        <v>0.18720559843845003</v>
      </c>
      <c r="O97" s="74">
        <v>0.18494903563930501</v>
      </c>
      <c r="P97" s="74">
        <v>0.18287968454424</v>
      </c>
      <c r="Q97" s="74">
        <v>0.180984561009013</v>
      </c>
      <c r="R97" s="74">
        <v>0.17925183012397303</v>
      </c>
      <c r="S97" s="74">
        <v>0.17767068075849099</v>
      </c>
      <c r="T97" s="74">
        <v>0.17623121636085595</v>
      </c>
      <c r="U97" s="74">
        <v>0.17492435958583399</v>
      </c>
      <c r="V97" s="74">
        <v>0.17374176873095099</v>
      </c>
      <c r="W97" s="74">
        <v>0.171719264244627</v>
      </c>
      <c r="X97" s="74">
        <v>0.170109099706721</v>
      </c>
      <c r="Y97" s="74">
        <v>0.16886454993829003</v>
      </c>
      <c r="Z97" s="74">
        <v>0.16794539399495503</v>
      </c>
      <c r="AA97" s="74">
        <v>0.16694855177770002</v>
      </c>
      <c r="AB97" s="74">
        <v>0.16689031980745403</v>
      </c>
      <c r="AC97" s="74">
        <v>0.16759508613934501</v>
      </c>
      <c r="AD97" s="74">
        <v>0.16861128853172999</v>
      </c>
      <c r="AE97" s="74">
        <v>0.169382730289622</v>
      </c>
      <c r="AF97" s="74">
        <v>0.16993805363002198</v>
      </c>
      <c r="AG97" s="74">
        <v>0.17030816006169097</v>
      </c>
      <c r="AH97" s="74">
        <v>0.17059065457675601</v>
      </c>
      <c r="AI97" s="74">
        <v>0.170590999143614</v>
      </c>
      <c r="AJ97" s="74">
        <v>0.170590999143614</v>
      </c>
      <c r="AK97" s="74">
        <v>0.170590999143614</v>
      </c>
      <c r="AL97" s="74">
        <v>0.170590999143614</v>
      </c>
      <c r="AM97" s="74">
        <v>0.170590999143614</v>
      </c>
      <c r="AN97" s="76">
        <v>0.170590999143614</v>
      </c>
    </row>
    <row r="98" spans="2:40">
      <c r="B98" s="97">
        <v>47102</v>
      </c>
      <c r="C98" s="75">
        <v>0.39328202946274299</v>
      </c>
      <c r="D98" s="75">
        <v>0.39328202946274299</v>
      </c>
      <c r="E98" s="75">
        <v>0.38539401543442603</v>
      </c>
      <c r="F98" s="75">
        <v>0.327757216814136</v>
      </c>
      <c r="G98" s="75">
        <v>0.279105450153176</v>
      </c>
      <c r="H98" s="75">
        <v>0.247410997393783</v>
      </c>
      <c r="I98" s="75">
        <v>0.22543371392914702</v>
      </c>
      <c r="J98" s="75">
        <v>0.20960182093749902</v>
      </c>
      <c r="K98" s="75">
        <v>0.203332124500503</v>
      </c>
      <c r="L98" s="75">
        <v>0.19792407483533603</v>
      </c>
      <c r="M98" s="75">
        <v>0.19324726317266699</v>
      </c>
      <c r="N98" s="75">
        <v>0.18924063057974302</v>
      </c>
      <c r="O98" s="75">
        <v>0.187467648419124</v>
      </c>
      <c r="P98" s="75">
        <v>0.18583381411037297</v>
      </c>
      <c r="Q98" s="75">
        <v>0.18432954248144701</v>
      </c>
      <c r="R98" s="75">
        <v>0.18294609429664596</v>
      </c>
      <c r="S98" s="75">
        <v>0.18167548406452202</v>
      </c>
      <c r="T98" s="75">
        <v>0.18051039977796801</v>
      </c>
      <c r="U98" s="75">
        <v>0.17944413280583102</v>
      </c>
      <c r="V98" s="75">
        <v>0.17847051645504303</v>
      </c>
      <c r="W98" s="75">
        <v>0.17677896090383802</v>
      </c>
      <c r="X98" s="75">
        <v>0.17539533919356601</v>
      </c>
      <c r="Y98" s="75">
        <v>0.174285065597241</v>
      </c>
      <c r="Z98" s="75">
        <v>0.17341835168219599</v>
      </c>
      <c r="AA98" s="75">
        <v>0.17231576181547101</v>
      </c>
      <c r="AB98" s="75">
        <v>0.17191828418951802</v>
      </c>
      <c r="AC98" s="75">
        <v>0.17209551987052002</v>
      </c>
      <c r="AD98" s="75">
        <v>0.17274543980324797</v>
      </c>
      <c r="AE98" s="75">
        <v>0.17366336184807005</v>
      </c>
      <c r="AF98" s="75">
        <v>0.17442100868025398</v>
      </c>
      <c r="AG98" s="75">
        <v>0.17501208382274697</v>
      </c>
      <c r="AH98" s="75">
        <v>0.17578021479501602</v>
      </c>
      <c r="AI98" s="75">
        <v>0.176106604210576</v>
      </c>
      <c r="AJ98" s="75">
        <v>0.17613700364456797</v>
      </c>
      <c r="AK98" s="75">
        <v>0.17613700364456797</v>
      </c>
      <c r="AL98" s="75">
        <v>0.17613700364456797</v>
      </c>
      <c r="AM98" s="75">
        <v>0.17613700364456797</v>
      </c>
      <c r="AN98" s="77">
        <v>0.17613700364456797</v>
      </c>
    </row>
    <row r="99" spans="2:40">
      <c r="B99" s="96">
        <v>47473</v>
      </c>
      <c r="C99" s="74">
        <v>0.38335708300969701</v>
      </c>
      <c r="D99" s="74">
        <v>0.38335708300969701</v>
      </c>
      <c r="E99" s="74">
        <v>0.375236058203745</v>
      </c>
      <c r="F99" s="74">
        <v>0.31962090874959403</v>
      </c>
      <c r="G99" s="74">
        <v>0.27379111607017897</v>
      </c>
      <c r="H99" s="74">
        <v>0.24406896027530101</v>
      </c>
      <c r="I99" s="74">
        <v>0.223562690262083</v>
      </c>
      <c r="J99" s="74">
        <v>0.20887596423126698</v>
      </c>
      <c r="K99" s="74">
        <v>0.20308955378959004</v>
      </c>
      <c r="L99" s="74">
        <v>0.19811721242619298</v>
      </c>
      <c r="M99" s="74">
        <v>0.19383549244430298</v>
      </c>
      <c r="N99" s="74">
        <v>0.19016090148369003</v>
      </c>
      <c r="O99" s="74">
        <v>0.188526235436559</v>
      </c>
      <c r="P99" s="74">
        <v>0.18701405303091698</v>
      </c>
      <c r="Q99" s="74">
        <v>0.18561596761997198</v>
      </c>
      <c r="R99" s="74">
        <v>0.18432433080875499</v>
      </c>
      <c r="S99" s="74">
        <v>0.18313215211800601</v>
      </c>
      <c r="T99" s="74">
        <v>0.18203302903536103</v>
      </c>
      <c r="U99" s="74">
        <v>0.18102108590484897</v>
      </c>
      <c r="V99" s="74">
        <v>0.18009092036626201</v>
      </c>
      <c r="W99" s="74">
        <v>0.17845640214941699</v>
      </c>
      <c r="X99" s="74">
        <v>0.17709406538645003</v>
      </c>
      <c r="Y99" s="74">
        <v>0.175973577179033</v>
      </c>
      <c r="Z99" s="74">
        <v>0.175068798748652</v>
      </c>
      <c r="AA99" s="74">
        <v>0.17381870764062399</v>
      </c>
      <c r="AB99" s="74">
        <v>0.173195063914929</v>
      </c>
      <c r="AC99" s="74">
        <v>0.17308318342307</v>
      </c>
      <c r="AD99" s="74">
        <v>0.17339323697749101</v>
      </c>
      <c r="AE99" s="74">
        <v>0.17405376212778501</v>
      </c>
      <c r="AF99" s="74">
        <v>0.17478162326415497</v>
      </c>
      <c r="AG99" s="74">
        <v>0.17536977442523799</v>
      </c>
      <c r="AH99" s="74">
        <v>0.17619797221307298</v>
      </c>
      <c r="AI99" s="74">
        <v>0.17665356387148901</v>
      </c>
      <c r="AJ99" s="74">
        <v>0.17681938800234101</v>
      </c>
      <c r="AK99" s="74">
        <v>0.17682346136813798</v>
      </c>
      <c r="AL99" s="74">
        <v>0.17682346136813798</v>
      </c>
      <c r="AM99" s="74">
        <v>0.17682346136813798</v>
      </c>
      <c r="AN99" s="76">
        <v>0.17682346136813798</v>
      </c>
    </row>
    <row r="100" spans="2:40">
      <c r="B100" s="97">
        <v>47837</v>
      </c>
      <c r="C100" s="75">
        <v>0.36996656815606399</v>
      </c>
      <c r="D100" s="75">
        <v>0.36996656815606399</v>
      </c>
      <c r="E100" s="75">
        <v>0.362176331169418</v>
      </c>
      <c r="F100" s="75">
        <v>0.31021617275860197</v>
      </c>
      <c r="G100" s="75">
        <v>0.26787412282461104</v>
      </c>
      <c r="H100" s="75">
        <v>0.24052649889923899</v>
      </c>
      <c r="I100" s="75">
        <v>0.22174584521449098</v>
      </c>
      <c r="J100" s="75">
        <v>0.20836759682964101</v>
      </c>
      <c r="K100" s="75">
        <v>0.20312214426846698</v>
      </c>
      <c r="L100" s="75">
        <v>0.19863082751853398</v>
      </c>
      <c r="M100" s="75">
        <v>0.19477849009140399</v>
      </c>
      <c r="N100" s="75">
        <v>0.19147947480817099</v>
      </c>
      <c r="O100" s="75">
        <v>0.19001346637251101</v>
      </c>
      <c r="P100" s="75">
        <v>0.188658364034061</v>
      </c>
      <c r="Q100" s="75">
        <v>0.187406564206477</v>
      </c>
      <c r="R100" s="75">
        <v>0.18625113299174498</v>
      </c>
      <c r="S100" s="75">
        <v>0.18518573328191998</v>
      </c>
      <c r="T100" s="75">
        <v>0.18420456128847698</v>
      </c>
      <c r="U100" s="75">
        <v>0.183302291093174</v>
      </c>
      <c r="V100" s="75">
        <v>0.18247402605086396</v>
      </c>
      <c r="W100" s="75">
        <v>0.18102181993090699</v>
      </c>
      <c r="X100" s="75">
        <v>0.17981585273529396</v>
      </c>
      <c r="Y100" s="75">
        <v>0.178828637540173</v>
      </c>
      <c r="Z100" s="75">
        <v>0.17803649057579002</v>
      </c>
      <c r="AA100" s="75">
        <v>0.17695798184017503</v>
      </c>
      <c r="AB100" s="75">
        <v>0.176445602406579</v>
      </c>
      <c r="AC100" s="75">
        <v>0.17639548964622001</v>
      </c>
      <c r="AD100" s="75">
        <v>0.17672630894963998</v>
      </c>
      <c r="AE100" s="75">
        <v>0.17737349261659899</v>
      </c>
      <c r="AF100" s="75">
        <v>0.17826608379644898</v>
      </c>
      <c r="AG100" s="75">
        <v>0.17909068302749601</v>
      </c>
      <c r="AH100" s="75">
        <v>0.18031367854271299</v>
      </c>
      <c r="AI100" s="75">
        <v>0.181079105369572</v>
      </c>
      <c r="AJ100" s="75">
        <v>0.181487311616784</v>
      </c>
      <c r="AK100" s="75">
        <v>0.18161243639032001</v>
      </c>
      <c r="AL100" s="75">
        <v>0.181612462808947</v>
      </c>
      <c r="AM100" s="75">
        <v>0.181612462808947</v>
      </c>
      <c r="AN100" s="77">
        <v>0.181612462808947</v>
      </c>
    </row>
    <row r="101" spans="2:40">
      <c r="B101" s="96">
        <v>48201</v>
      </c>
      <c r="C101" s="74">
        <v>0.36443255588860007</v>
      </c>
      <c r="D101" s="74">
        <v>0.36443255588860007</v>
      </c>
      <c r="E101" s="74">
        <v>0.35673295200251098</v>
      </c>
      <c r="F101" s="74">
        <v>0.30605849240333</v>
      </c>
      <c r="G101" s="74">
        <v>0.265124731035702</v>
      </c>
      <c r="H101" s="74">
        <v>0.23887757467043499</v>
      </c>
      <c r="I101" s="74">
        <v>0.22100133073209102</v>
      </c>
      <c r="J101" s="74">
        <v>0.20839144202367396</v>
      </c>
      <c r="K101" s="74">
        <v>0.20349097836711902</v>
      </c>
      <c r="L101" s="74">
        <v>0.19932299064325298</v>
      </c>
      <c r="M101" s="74">
        <v>0.19577347251319399</v>
      </c>
      <c r="N101" s="74">
        <v>0.192745734169424</v>
      </c>
      <c r="O101" s="74">
        <v>0.19140361204965101</v>
      </c>
      <c r="P101" s="74">
        <v>0.19016526403349299</v>
      </c>
      <c r="Q101" s="74">
        <v>0.18902355524513698</v>
      </c>
      <c r="R101" s="74">
        <v>0.187971979982687</v>
      </c>
      <c r="S101" s="74">
        <v>0.187004593181616</v>
      </c>
      <c r="T101" s="74">
        <v>0.18611595074593698</v>
      </c>
      <c r="U101" s="74">
        <v>0.18530105742404399</v>
      </c>
      <c r="V101" s="74">
        <v>0.18455532112880899</v>
      </c>
      <c r="W101" s="74">
        <v>0.18325473091596298</v>
      </c>
      <c r="X101" s="74">
        <v>0.18218409455429196</v>
      </c>
      <c r="Y101" s="74">
        <v>0.18131764835035002</v>
      </c>
      <c r="Z101" s="74">
        <v>0.18063319866151201</v>
      </c>
      <c r="AA101" s="74">
        <v>0.17973588825547399</v>
      </c>
      <c r="AB101" s="74">
        <v>0.17936598931810099</v>
      </c>
      <c r="AC101" s="74">
        <v>0.179426278929361</v>
      </c>
      <c r="AD101" s="74">
        <v>0.17984066044614597</v>
      </c>
      <c r="AE101" s="74">
        <v>0.18054875547824398</v>
      </c>
      <c r="AF101" s="74">
        <v>0.181502080564964</v>
      </c>
      <c r="AG101" s="74">
        <v>0.182599183041185</v>
      </c>
      <c r="AH101" s="74">
        <v>0.18433897669225199</v>
      </c>
      <c r="AI101" s="74">
        <v>0.18551188165633101</v>
      </c>
      <c r="AJ101" s="74">
        <v>0.18624071618368901</v>
      </c>
      <c r="AK101" s="74">
        <v>0.186616378023053</v>
      </c>
      <c r="AL101" s="74">
        <v>0.18670982862265501</v>
      </c>
      <c r="AM101" s="74">
        <v>0.18670982862265501</v>
      </c>
      <c r="AN101" s="76">
        <v>0.18670982862265501</v>
      </c>
    </row>
    <row r="102" spans="2:40">
      <c r="B102" s="97">
        <v>48565</v>
      </c>
      <c r="C102" s="75">
        <v>0.35965511199460404</v>
      </c>
      <c r="D102" s="75">
        <v>0.35965511199460404</v>
      </c>
      <c r="E102" s="75">
        <v>0.35215364754267497</v>
      </c>
      <c r="F102" s="75">
        <v>0.30276385278654599</v>
      </c>
      <c r="G102" s="75">
        <v>0.26301829598423099</v>
      </c>
      <c r="H102" s="75">
        <v>0.23769955414812502</v>
      </c>
      <c r="I102" s="75">
        <v>0.220586271657563</v>
      </c>
      <c r="J102" s="75">
        <v>0.20862453886530599</v>
      </c>
      <c r="K102" s="75">
        <v>0.20401508345206901</v>
      </c>
      <c r="L102" s="75">
        <v>0.20011982771053699</v>
      </c>
      <c r="M102" s="75">
        <v>0.19682302781022201</v>
      </c>
      <c r="N102" s="75">
        <v>0.19399662379460603</v>
      </c>
      <c r="O102" s="75">
        <v>0.192735323527923</v>
      </c>
      <c r="P102" s="75">
        <v>0.19156587820774701</v>
      </c>
      <c r="Q102" s="75">
        <v>0.19048202259328101</v>
      </c>
      <c r="R102" s="75">
        <v>0.18947804203573099</v>
      </c>
      <c r="S102" s="75">
        <v>0.18854871262124398</v>
      </c>
      <c r="T102" s="75">
        <v>0.18768924904822298</v>
      </c>
      <c r="U102" s="75">
        <v>0.18689525908620097</v>
      </c>
      <c r="V102" s="75">
        <v>0.18616270365725998</v>
      </c>
      <c r="W102" s="75">
        <v>0.18486729941469701</v>
      </c>
      <c r="X102" s="75">
        <v>0.18377655232813003</v>
      </c>
      <c r="Y102" s="75">
        <v>0.18286776768883001</v>
      </c>
      <c r="Z102" s="75">
        <v>0.18212138240421399</v>
      </c>
      <c r="AA102" s="75">
        <v>0.18105017332559101</v>
      </c>
      <c r="AB102" s="75">
        <v>0.18045152419036201</v>
      </c>
      <c r="AC102" s="75">
        <v>0.18023947621518902</v>
      </c>
      <c r="AD102" s="75">
        <v>0.18034665411471601</v>
      </c>
      <c r="AE102" s="75">
        <v>0.18071952229230298</v>
      </c>
      <c r="AF102" s="75">
        <v>0.18131502858951698</v>
      </c>
      <c r="AG102" s="75">
        <v>0.18209818199554398</v>
      </c>
      <c r="AH102" s="75">
        <v>0.183661790149034</v>
      </c>
      <c r="AI102" s="75">
        <v>0.18477126617180697</v>
      </c>
      <c r="AJ102" s="75">
        <v>0.18552037119752002</v>
      </c>
      <c r="AK102" s="75">
        <v>0.18598196846142098</v>
      </c>
      <c r="AL102" s="75">
        <v>0.186211230456478</v>
      </c>
      <c r="AM102" s="75">
        <v>0.18625671405779201</v>
      </c>
      <c r="AN102" s="77">
        <v>0.18625671405779201</v>
      </c>
    </row>
    <row r="103" spans="2:40">
      <c r="B103" s="102">
        <v>49664</v>
      </c>
      <c r="C103" s="163">
        <v>0.34848328561656194</v>
      </c>
      <c r="D103" s="163">
        <v>0.34848328561656194</v>
      </c>
      <c r="E103" s="163">
        <v>0.34216374506183705</v>
      </c>
      <c r="F103" s="163">
        <v>0.29683407802617201</v>
      </c>
      <c r="G103" s="163">
        <v>0.25962740953652902</v>
      </c>
      <c r="H103" s="163">
        <v>0.23629300282912202</v>
      </c>
      <c r="I103" s="163">
        <v>0.22081078144390898</v>
      </c>
      <c r="J103" s="163">
        <v>0.21023492584307796</v>
      </c>
      <c r="K103" s="163">
        <v>0.20624777302520897</v>
      </c>
      <c r="L103" s="163">
        <v>0.202935778085746</v>
      </c>
      <c r="M103" s="163">
        <v>0.20019057534304702</v>
      </c>
      <c r="N103" s="163">
        <v>0.19787092747405297</v>
      </c>
      <c r="O103" s="163">
        <v>0.19684165984732702</v>
      </c>
      <c r="P103" s="163">
        <v>0.19589128653407198</v>
      </c>
      <c r="Q103" s="163">
        <v>0.19501438934038601</v>
      </c>
      <c r="R103" s="163">
        <v>0.19420602763385197</v>
      </c>
      <c r="S103" s="163">
        <v>0.19346168633680999</v>
      </c>
      <c r="T103" s="163">
        <v>0.19277723064736299</v>
      </c>
      <c r="U103" s="163">
        <v>0.19214886648447502</v>
      </c>
      <c r="V103" s="163">
        <v>0.19157310582239298</v>
      </c>
      <c r="W103" s="163">
        <v>0.190566793939003</v>
      </c>
      <c r="X103" s="163">
        <v>0.18973544020143202</v>
      </c>
      <c r="Y103" s="163">
        <v>0.18905947110938798</v>
      </c>
      <c r="Z103" s="163">
        <v>0.188522023842567</v>
      </c>
      <c r="AA103" s="163">
        <v>0.18780615829755698</v>
      </c>
      <c r="AB103" s="163">
        <v>0.18749195390462003</v>
      </c>
      <c r="AC103" s="163">
        <v>0.18750550874025901</v>
      </c>
      <c r="AD103" s="163">
        <v>0.18778896800068301</v>
      </c>
      <c r="AE103" s="163">
        <v>0.18829641778678199</v>
      </c>
      <c r="AF103" s="163">
        <v>0.18899098181859397</v>
      </c>
      <c r="AG103" s="163">
        <v>0.18984272740368202</v>
      </c>
      <c r="AH103" s="163">
        <v>0.191923917963952</v>
      </c>
      <c r="AI103" s="163">
        <v>0.19424001175856301</v>
      </c>
      <c r="AJ103" s="163">
        <v>0.196083650721462</v>
      </c>
      <c r="AK103" s="163">
        <v>0.19747143166813899</v>
      </c>
      <c r="AL103" s="163">
        <v>0.19848759108341199</v>
      </c>
      <c r="AM103" s="163">
        <v>0.19979697839931798</v>
      </c>
      <c r="AN103" s="164">
        <v>0.19995388666375497</v>
      </c>
    </row>
    <row r="106" spans="2:40"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</row>
    <row r="107" spans="2:40"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</row>
    <row r="108" spans="2:40"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</row>
    <row r="109" spans="2:40">
      <c r="B109" s="155" t="str">
        <f ca="1">[1]!DisplayIndexComposition(C8)</f>
        <v>INDEX</v>
      </c>
      <c r="C109" s="165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</row>
    <row r="110" spans="2:40">
      <c r="B110" s="91" t="s">
        <v>88</v>
      </c>
      <c r="C110" s="106" t="s">
        <v>79</v>
      </c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</row>
    <row r="111" spans="2:40">
      <c r="B111" s="85" t="s">
        <v>115</v>
      </c>
      <c r="C111" s="103" t="b">
        <v>0</v>
      </c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</row>
    <row r="112" spans="2:40">
      <c r="B112" s="86" t="s">
        <v>116</v>
      </c>
      <c r="C112" s="104">
        <v>733850665</v>
      </c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</row>
    <row r="113" spans="2:40">
      <c r="B113" s="85" t="s">
        <v>117</v>
      </c>
      <c r="C113" s="103" t="s">
        <v>118</v>
      </c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</row>
    <row r="114" spans="2:40">
      <c r="B114" s="86" t="s">
        <v>119</v>
      </c>
      <c r="C114" s="104">
        <v>1</v>
      </c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</row>
    <row r="115" spans="2:40">
      <c r="B115" s="155" t="s">
        <v>120</v>
      </c>
      <c r="C115" s="160"/>
      <c r="D115" s="167"/>
      <c r="E115" s="167"/>
      <c r="F115" s="165"/>
      <c r="H115" s="80"/>
      <c r="I115" s="80"/>
      <c r="J115" s="80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</row>
    <row r="116" spans="2:40">
      <c r="B116" s="91" t="s">
        <v>12</v>
      </c>
      <c r="C116" s="168" t="s">
        <v>88</v>
      </c>
      <c r="D116" s="100" t="s">
        <v>121</v>
      </c>
      <c r="E116" s="100" t="s">
        <v>122</v>
      </c>
      <c r="F116" s="92" t="s">
        <v>117</v>
      </c>
      <c r="H116" s="80"/>
      <c r="I116" s="80"/>
      <c r="J116" s="80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</row>
    <row r="117" spans="2:40">
      <c r="B117" s="85" t="s">
        <v>141</v>
      </c>
      <c r="C117" s="153" t="s">
        <v>142</v>
      </c>
      <c r="D117" s="94">
        <v>186707718.87759998</v>
      </c>
      <c r="E117" s="94">
        <v>1</v>
      </c>
      <c r="F117" s="88" t="s">
        <v>118</v>
      </c>
      <c r="G117" s="26">
        <f ca="1">$C$112/D117/100</f>
        <v>3.8913002692267835E-2</v>
      </c>
      <c r="H117" s="80"/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</row>
    <row r="118" spans="2:40">
      <c r="B118" s="86" t="s">
        <v>143</v>
      </c>
      <c r="C118" s="154" t="s">
        <v>144</v>
      </c>
      <c r="D118" s="81">
        <v>27961128.979599997</v>
      </c>
      <c r="E118" s="81">
        <v>1</v>
      </c>
      <c r="F118" s="89" t="s">
        <v>118</v>
      </c>
      <c r="G118" s="26">
        <f ca="1">$C$112/D118/100</f>
        <v>0.26011543713728152</v>
      </c>
      <c r="H118" s="80"/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</row>
    <row r="119" spans="2:40">
      <c r="B119" s="85" t="s">
        <v>145</v>
      </c>
      <c r="C119" s="153" t="s">
        <v>146</v>
      </c>
      <c r="D119" s="94">
        <v>473682166.99999994</v>
      </c>
      <c r="E119" s="94">
        <v>1</v>
      </c>
      <c r="F119" s="88" t="s">
        <v>118</v>
      </c>
      <c r="G119" s="26">
        <f t="shared" ref="G119:G166" ca="1" si="1">$C$112/D119/100</f>
        <v>1.5331037777815432E-2</v>
      </c>
      <c r="H119" s="80"/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</row>
    <row r="120" spans="2:40">
      <c r="B120" s="86" t="s">
        <v>147</v>
      </c>
      <c r="C120" s="154" t="s">
        <v>148</v>
      </c>
      <c r="D120" s="81">
        <v>580035215.01900005</v>
      </c>
      <c r="E120" s="81">
        <v>1</v>
      </c>
      <c r="F120" s="89" t="s">
        <v>118</v>
      </c>
      <c r="G120" s="26">
        <f t="shared" ca="1" si="1"/>
        <v>1.251765151838611E-2</v>
      </c>
    </row>
    <row r="121" spans="2:40">
      <c r="B121" s="85" t="s">
        <v>149</v>
      </c>
      <c r="C121" s="153" t="s">
        <v>150</v>
      </c>
      <c r="D121" s="94">
        <v>412293128</v>
      </c>
      <c r="E121" s="94">
        <v>1</v>
      </c>
      <c r="F121" s="88" t="s">
        <v>118</v>
      </c>
      <c r="G121" s="26">
        <f t="shared" ca="1" si="1"/>
        <v>1.7610477102106829E-2</v>
      </c>
    </row>
    <row r="122" spans="2:40">
      <c r="B122" s="86" t="s">
        <v>151</v>
      </c>
      <c r="C122" s="154" t="s">
        <v>152</v>
      </c>
      <c r="D122" s="81">
        <v>450499205</v>
      </c>
      <c r="E122" s="81">
        <v>1</v>
      </c>
      <c r="F122" s="89" t="s">
        <v>118</v>
      </c>
      <c r="G122" s="26">
        <f t="shared" ca="1" si="1"/>
        <v>1.6116962270776927E-2</v>
      </c>
    </row>
    <row r="123" spans="2:40">
      <c r="B123" s="85" t="s">
        <v>153</v>
      </c>
      <c r="C123" s="153" t="s">
        <v>154</v>
      </c>
      <c r="D123" s="94">
        <v>846959726.43120003</v>
      </c>
      <c r="E123" s="94">
        <v>1</v>
      </c>
      <c r="F123" s="88" t="s">
        <v>118</v>
      </c>
      <c r="G123" s="26">
        <f t="shared" ca="1" si="1"/>
        <v>8.6053246330100846E-3</v>
      </c>
    </row>
    <row r="124" spans="2:40">
      <c r="B124" s="86" t="s">
        <v>155</v>
      </c>
      <c r="C124" s="154" t="s">
        <v>156</v>
      </c>
      <c r="D124" s="81">
        <v>419497488</v>
      </c>
      <c r="E124" s="81">
        <v>1</v>
      </c>
      <c r="F124" s="89" t="s">
        <v>118</v>
      </c>
      <c r="G124" s="26">
        <f t="shared" ca="1" si="1"/>
        <v>1.7057472487459136E-2</v>
      </c>
    </row>
    <row r="125" spans="2:40">
      <c r="B125" s="85" t="s">
        <v>157</v>
      </c>
      <c r="C125" s="153" t="s">
        <v>158</v>
      </c>
      <c r="D125" s="94">
        <v>2068991790.848</v>
      </c>
      <c r="E125" s="94">
        <v>1</v>
      </c>
      <c r="F125" s="88" t="s">
        <v>118</v>
      </c>
      <c r="G125" s="26">
        <f t="shared" ca="1" si="1"/>
        <v>3.5098617337591498E-3</v>
      </c>
    </row>
    <row r="126" spans="2:40">
      <c r="B126" s="86" t="s">
        <v>159</v>
      </c>
      <c r="C126" s="154" t="s">
        <v>160</v>
      </c>
      <c r="D126" s="81">
        <v>17340641302</v>
      </c>
      <c r="E126" s="81">
        <v>1</v>
      </c>
      <c r="F126" s="89" t="s">
        <v>118</v>
      </c>
      <c r="G126" s="26">
        <f t="shared" ca="1" si="1"/>
        <v>4.187087757338353E-4</v>
      </c>
    </row>
    <row r="127" spans="2:40">
      <c r="B127" s="85" t="s">
        <v>161</v>
      </c>
      <c r="C127" s="153" t="s">
        <v>162</v>
      </c>
      <c r="D127" s="94">
        <v>918478694</v>
      </c>
      <c r="E127" s="94">
        <v>1</v>
      </c>
      <c r="F127" s="88" t="s">
        <v>118</v>
      </c>
      <c r="G127" s="26">
        <f t="shared" ca="1" si="1"/>
        <v>7.905113899136347E-3</v>
      </c>
    </row>
    <row r="128" spans="2:40">
      <c r="B128" s="86" t="s">
        <v>163</v>
      </c>
      <c r="C128" s="154" t="s">
        <v>164</v>
      </c>
      <c r="D128" s="81">
        <v>982424082</v>
      </c>
      <c r="E128" s="81">
        <v>1</v>
      </c>
      <c r="F128" s="89" t="s">
        <v>118</v>
      </c>
      <c r="G128" s="26">
        <f t="shared" ca="1" si="1"/>
        <v>7.3905748271345826E-3</v>
      </c>
    </row>
    <row r="129" spans="2:7">
      <c r="B129" s="85" t="s">
        <v>165</v>
      </c>
      <c r="C129" s="153" t="s">
        <v>166</v>
      </c>
      <c r="D129" s="94">
        <v>320442042.8308</v>
      </c>
      <c r="E129" s="94">
        <v>1</v>
      </c>
      <c r="F129" s="88" t="s">
        <v>118</v>
      </c>
      <c r="G129" s="26">
        <f t="shared" ca="1" si="1"/>
        <v>2.2658321067544146E-2</v>
      </c>
    </row>
    <row r="130" spans="2:7">
      <c r="B130" s="86" t="s">
        <v>167</v>
      </c>
      <c r="C130" s="154" t="s">
        <v>168</v>
      </c>
      <c r="D130" s="81">
        <v>1153189132.2347</v>
      </c>
      <c r="E130" s="81">
        <v>1</v>
      </c>
      <c r="F130" s="89" t="s">
        <v>118</v>
      </c>
      <c r="G130" s="26">
        <f t="shared" ca="1" si="1"/>
        <v>6.2961733570363618E-3</v>
      </c>
    </row>
    <row r="131" spans="2:7">
      <c r="B131" s="85" t="s">
        <v>169</v>
      </c>
      <c r="C131" s="153" t="s">
        <v>170</v>
      </c>
      <c r="D131" s="94">
        <v>795140338</v>
      </c>
      <c r="E131" s="94">
        <v>1</v>
      </c>
      <c r="F131" s="88" t="s">
        <v>118</v>
      </c>
      <c r="G131" s="26">
        <f t="shared" ca="1" si="1"/>
        <v>9.0799304949520931E-3</v>
      </c>
    </row>
    <row r="132" spans="2:7">
      <c r="B132" s="86" t="s">
        <v>171</v>
      </c>
      <c r="C132" s="154" t="s">
        <v>172</v>
      </c>
      <c r="D132" s="81">
        <v>839501444.6609</v>
      </c>
      <c r="E132" s="81">
        <v>1</v>
      </c>
      <c r="F132" s="89" t="s">
        <v>118</v>
      </c>
      <c r="G132" s="26">
        <f t="shared" ca="1" si="1"/>
        <v>8.6487983268841266E-3</v>
      </c>
    </row>
    <row r="133" spans="2:7">
      <c r="B133" s="85" t="s">
        <v>173</v>
      </c>
      <c r="C133" s="153" t="s">
        <v>174</v>
      </c>
      <c r="D133" s="94">
        <v>649414275.67999995</v>
      </c>
      <c r="E133" s="94">
        <v>1</v>
      </c>
      <c r="F133" s="88" t="s">
        <v>118</v>
      </c>
      <c r="G133" s="26">
        <f t="shared" ca="1" si="1"/>
        <v>1.1181531911159347E-2</v>
      </c>
    </row>
    <row r="134" spans="2:7">
      <c r="B134" s="86" t="s">
        <v>175</v>
      </c>
      <c r="C134" s="154" t="s">
        <v>176</v>
      </c>
      <c r="D134" s="81">
        <v>189999999.99999997</v>
      </c>
      <c r="E134" s="81">
        <v>1</v>
      </c>
      <c r="F134" s="89" t="s">
        <v>118</v>
      </c>
      <c r="G134" s="26">
        <f t="shared" ca="1" si="1"/>
        <v>3.8214098368421053E-2</v>
      </c>
    </row>
    <row r="135" spans="2:7">
      <c r="B135" s="85" t="s">
        <v>177</v>
      </c>
      <c r="C135" s="153" t="s">
        <v>178</v>
      </c>
      <c r="D135" s="94">
        <v>985176136.09590006</v>
      </c>
      <c r="E135" s="94">
        <v>1</v>
      </c>
      <c r="F135" s="88" t="s">
        <v>118</v>
      </c>
      <c r="G135" s="26">
        <f t="shared" ca="1" si="1"/>
        <v>7.369929522220201E-3</v>
      </c>
    </row>
    <row r="136" spans="2:7">
      <c r="B136" s="86" t="s">
        <v>179</v>
      </c>
      <c r="C136" s="154" t="s">
        <v>180</v>
      </c>
      <c r="D136" s="81">
        <v>3242553303.8759999</v>
      </c>
      <c r="E136" s="81">
        <v>1</v>
      </c>
      <c r="F136" s="89" t="s">
        <v>118</v>
      </c>
      <c r="G136" s="26">
        <f t="shared" ca="1" si="1"/>
        <v>2.2391856076262235E-3</v>
      </c>
    </row>
    <row r="137" spans="2:7">
      <c r="B137" s="85" t="s">
        <v>181</v>
      </c>
      <c r="C137" s="153" t="s">
        <v>182</v>
      </c>
      <c r="D137" s="94">
        <v>7768360146.7385998</v>
      </c>
      <c r="E137" s="94">
        <v>1</v>
      </c>
      <c r="F137" s="88" t="s">
        <v>118</v>
      </c>
      <c r="G137" s="26">
        <f t="shared" ca="1" si="1"/>
        <v>9.3464753858615315E-4</v>
      </c>
    </row>
    <row r="138" spans="2:7">
      <c r="B138" s="86" t="s">
        <v>183</v>
      </c>
      <c r="C138" s="154" t="s">
        <v>184</v>
      </c>
      <c r="D138" s="81">
        <v>1859583634.3996</v>
      </c>
      <c r="E138" s="81">
        <v>1</v>
      </c>
      <c r="F138" s="89" t="s">
        <v>118</v>
      </c>
      <c r="G138" s="26">
        <f t="shared" ca="1" si="1"/>
        <v>3.904464717632472E-3</v>
      </c>
    </row>
    <row r="139" spans="2:7">
      <c r="B139" s="85" t="s">
        <v>185</v>
      </c>
      <c r="C139" s="153" t="s">
        <v>186</v>
      </c>
      <c r="D139" s="94">
        <v>2512017930.6016002</v>
      </c>
      <c r="E139" s="94">
        <v>1</v>
      </c>
      <c r="F139" s="88" t="s">
        <v>118</v>
      </c>
      <c r="G139" s="26">
        <f t="shared" ca="1" si="1"/>
        <v>2.8903769362271826E-3</v>
      </c>
    </row>
    <row r="140" spans="2:7">
      <c r="B140" s="86" t="s">
        <v>187</v>
      </c>
      <c r="C140" s="154" t="s">
        <v>188</v>
      </c>
      <c r="D140" s="81">
        <v>297642439.34399998</v>
      </c>
      <c r="E140" s="81">
        <v>1</v>
      </c>
      <c r="F140" s="89" t="s">
        <v>118</v>
      </c>
      <c r="G140" s="26">
        <f t="shared" ca="1" si="1"/>
        <v>2.4416989313783395E-2</v>
      </c>
    </row>
    <row r="141" spans="2:7">
      <c r="B141" s="85" t="s">
        <v>189</v>
      </c>
      <c r="C141" s="153" t="s">
        <v>190</v>
      </c>
      <c r="D141" s="94">
        <v>165590101.27379999</v>
      </c>
      <c r="E141" s="94">
        <v>1</v>
      </c>
      <c r="F141" s="88" t="s">
        <v>118</v>
      </c>
      <c r="G141" s="26">
        <f t="shared" ca="1" si="1"/>
        <v>4.6225320906641346E-2</v>
      </c>
    </row>
    <row r="142" spans="2:7">
      <c r="B142" s="86" t="s">
        <v>191</v>
      </c>
      <c r="C142" s="154" t="s">
        <v>192</v>
      </c>
      <c r="D142" s="81">
        <v>5860418243.6000004</v>
      </c>
      <c r="E142" s="81">
        <v>1</v>
      </c>
      <c r="F142" s="89" t="s">
        <v>118</v>
      </c>
      <c r="G142" s="26">
        <f t="shared" ca="1" si="1"/>
        <v>1.2524953259480318E-3</v>
      </c>
    </row>
    <row r="143" spans="2:7">
      <c r="B143" s="85" t="s">
        <v>193</v>
      </c>
      <c r="C143" s="153" t="s">
        <v>194</v>
      </c>
      <c r="D143" s="94">
        <v>1111398103.2</v>
      </c>
      <c r="E143" s="94">
        <v>1</v>
      </c>
      <c r="F143" s="88" t="s">
        <v>118</v>
      </c>
      <c r="G143" s="26">
        <f t="shared" ca="1" si="1"/>
        <v>6.5329234133967339E-3</v>
      </c>
    </row>
    <row r="144" spans="2:7">
      <c r="B144" s="86" t="s">
        <v>195</v>
      </c>
      <c r="C144" s="154" t="s">
        <v>196</v>
      </c>
      <c r="D144" s="81">
        <v>1305921137</v>
      </c>
      <c r="E144" s="81">
        <v>1</v>
      </c>
      <c r="F144" s="89" t="s">
        <v>118</v>
      </c>
      <c r="G144" s="26">
        <f t="shared" ca="1" si="1"/>
        <v>1.8614039063259075E-3</v>
      </c>
    </row>
    <row r="145" spans="2:7">
      <c r="B145" s="85" t="s">
        <v>197</v>
      </c>
      <c r="C145" s="153" t="s">
        <v>198</v>
      </c>
      <c r="D145" s="94">
        <v>3900668635</v>
      </c>
      <c r="E145" s="94">
        <v>1</v>
      </c>
      <c r="F145" s="88" t="s">
        <v>118</v>
      </c>
      <c r="G145" s="26">
        <f t="shared" ca="1" si="1"/>
        <v>3.9803474242238617E-4</v>
      </c>
    </row>
    <row r="146" spans="2:7">
      <c r="B146" s="86" t="s">
        <v>199</v>
      </c>
      <c r="C146" s="154" t="s">
        <v>200</v>
      </c>
      <c r="D146" s="166">
        <v>18241318950.734001</v>
      </c>
      <c r="E146" s="81">
        <v>1</v>
      </c>
      <c r="F146" s="89" t="s">
        <v>118</v>
      </c>
      <c r="G146" s="26">
        <f t="shared" ca="1" si="1"/>
        <v>9.7402968636866122E-2</v>
      </c>
    </row>
    <row r="147" spans="2:7">
      <c r="B147" s="85" t="s">
        <v>201</v>
      </c>
      <c r="C147" s="153" t="s">
        <v>202</v>
      </c>
      <c r="D147" s="94">
        <v>73285502.359200001</v>
      </c>
      <c r="E147" s="94">
        <v>1</v>
      </c>
      <c r="F147" s="88" t="s">
        <v>118</v>
      </c>
      <c r="G147" s="26">
        <f t="shared" ca="1" si="1"/>
        <v>1.7906973696131832E-2</v>
      </c>
    </row>
    <row r="148" spans="2:7">
      <c r="B148" s="86" t="s">
        <v>203</v>
      </c>
      <c r="C148" s="154" t="s">
        <v>204</v>
      </c>
      <c r="D148" s="81">
        <v>405466541.31559992</v>
      </c>
      <c r="E148" s="81">
        <v>1</v>
      </c>
      <c r="F148" s="89" t="s">
        <v>118</v>
      </c>
      <c r="G148" s="26">
        <f t="shared" ca="1" si="1"/>
        <v>7.0654131270136214E-3</v>
      </c>
    </row>
    <row r="149" spans="2:7">
      <c r="B149" s="85" t="s">
        <v>205</v>
      </c>
      <c r="C149" s="153" t="s">
        <v>206</v>
      </c>
      <c r="D149" s="94">
        <v>1039084361.2960001</v>
      </c>
      <c r="E149" s="94">
        <v>1</v>
      </c>
      <c r="F149" s="88" t="s">
        <v>118</v>
      </c>
      <c r="G149" s="26">
        <f t="shared" ca="1" si="1"/>
        <v>7.9695458793620725E-3</v>
      </c>
    </row>
    <row r="150" spans="2:7">
      <c r="B150" s="86" t="s">
        <v>207</v>
      </c>
      <c r="C150" s="154" t="s">
        <v>208</v>
      </c>
      <c r="D150" s="81">
        <v>911053001</v>
      </c>
      <c r="E150" s="81">
        <v>1</v>
      </c>
      <c r="F150" s="89" t="s">
        <v>118</v>
      </c>
      <c r="G150" s="26">
        <f t="shared" ca="1" si="1"/>
        <v>2.9765478908813755E-2</v>
      </c>
    </row>
    <row r="151" spans="2:7">
      <c r="B151" s="85" t="s">
        <v>209</v>
      </c>
      <c r="C151" s="153" t="s">
        <v>210</v>
      </c>
      <c r="D151" s="94">
        <v>244265424.10879999</v>
      </c>
      <c r="E151" s="94">
        <v>1</v>
      </c>
      <c r="F151" s="88" t="s">
        <v>118</v>
      </c>
      <c r="G151" s="26">
        <f t="shared" ca="1" si="1"/>
        <v>1.3855574578345038E-2</v>
      </c>
    </row>
    <row r="152" spans="2:7">
      <c r="B152" s="86" t="s">
        <v>211</v>
      </c>
      <c r="C152" s="154" t="s">
        <v>212</v>
      </c>
      <c r="D152" s="81">
        <v>522148966.16580003</v>
      </c>
      <c r="E152" s="81">
        <v>1</v>
      </c>
      <c r="F152" s="89" t="s">
        <v>118</v>
      </c>
      <c r="G152" s="26">
        <f t="shared" ca="1" si="1"/>
        <v>2.7383387693937083E-2</v>
      </c>
    </row>
    <row r="153" spans="2:7">
      <c r="B153" s="85" t="s">
        <v>213</v>
      </c>
      <c r="C153" s="153" t="s">
        <v>214</v>
      </c>
      <c r="D153" s="94">
        <v>265098554.44279999</v>
      </c>
      <c r="E153" s="94">
        <v>1</v>
      </c>
      <c r="F153" s="88" t="s">
        <v>118</v>
      </c>
      <c r="G153" s="26">
        <f t="shared" ca="1" si="1"/>
        <v>5.1825368246385832E-2</v>
      </c>
    </row>
    <row r="154" spans="2:7">
      <c r="B154" s="86" t="s">
        <v>215</v>
      </c>
      <c r="C154" s="154" t="s">
        <v>216</v>
      </c>
      <c r="D154" s="81">
        <v>140098931</v>
      </c>
      <c r="E154" s="81">
        <v>1</v>
      </c>
      <c r="F154" s="89" t="s">
        <v>118</v>
      </c>
      <c r="G154" s="26">
        <f t="shared" ca="1" si="1"/>
        <v>1.3533487052865961E-3</v>
      </c>
    </row>
    <row r="155" spans="2:7">
      <c r="B155" s="85" t="s">
        <v>217</v>
      </c>
      <c r="C155" s="153" t="s">
        <v>218</v>
      </c>
      <c r="D155" s="94">
        <v>205206472.41600001</v>
      </c>
      <c r="E155" s="94">
        <v>1</v>
      </c>
      <c r="F155" s="88" t="s">
        <v>118</v>
      </c>
      <c r="G155" s="26">
        <f t="shared" ca="1" si="1"/>
        <v>3.6271031988400829E-2</v>
      </c>
    </row>
    <row r="156" spans="2:7">
      <c r="B156" s="86" t="s">
        <v>219</v>
      </c>
      <c r="C156" s="154" t="s">
        <v>220</v>
      </c>
      <c r="D156" s="81">
        <v>444667271.55900002</v>
      </c>
      <c r="E156" s="81">
        <v>1</v>
      </c>
      <c r="F156" s="89" t="s">
        <v>118</v>
      </c>
      <c r="G156" s="26">
        <f t="shared" ca="1" si="1"/>
        <v>1.6328340659172231E-2</v>
      </c>
    </row>
    <row r="157" spans="2:7">
      <c r="B157" s="85" t="s">
        <v>221</v>
      </c>
      <c r="C157" s="153" t="s">
        <v>222</v>
      </c>
      <c r="D157" s="94">
        <v>379257343.0503</v>
      </c>
      <c r="E157" s="94">
        <v>1</v>
      </c>
      <c r="F157" s="88" t="s">
        <v>118</v>
      </c>
      <c r="G157" s="26">
        <f t="shared" ca="1" si="1"/>
        <v>2.0593717020593205E-2</v>
      </c>
    </row>
    <row r="158" spans="2:7">
      <c r="B158" s="86" t="s">
        <v>223</v>
      </c>
      <c r="C158" s="154" t="s">
        <v>224</v>
      </c>
      <c r="D158" s="81">
        <v>1140754291.8018</v>
      </c>
      <c r="E158" s="81">
        <v>1</v>
      </c>
      <c r="F158" s="89" t="s">
        <v>118</v>
      </c>
      <c r="G158" s="26">
        <f t="shared" ca="1" si="1"/>
        <v>6.3648406423783797E-3</v>
      </c>
    </row>
    <row r="159" spans="2:7">
      <c r="B159" s="85" t="s">
        <v>225</v>
      </c>
      <c r="C159" s="153" t="s">
        <v>226</v>
      </c>
      <c r="D159" s="94">
        <v>1092263112.6712</v>
      </c>
      <c r="E159" s="94">
        <v>1</v>
      </c>
      <c r="F159" s="88" t="s">
        <v>118</v>
      </c>
      <c r="G159" s="26">
        <f t="shared" ca="1" si="1"/>
        <v>6.6436353464176335E-3</v>
      </c>
    </row>
    <row r="160" spans="2:7">
      <c r="B160" s="86" t="s">
        <v>227</v>
      </c>
      <c r="C160" s="154" t="s">
        <v>228</v>
      </c>
      <c r="D160" s="81">
        <v>567068555</v>
      </c>
      <c r="E160" s="81">
        <v>1</v>
      </c>
      <c r="F160" s="89" t="s">
        <v>118</v>
      </c>
      <c r="G160" s="26">
        <f t="shared" ca="1" si="1"/>
        <v>1.2803881692928645E-2</v>
      </c>
    </row>
    <row r="161" spans="2:7">
      <c r="B161" s="85" t="s">
        <v>229</v>
      </c>
      <c r="C161" s="153" t="s">
        <v>230</v>
      </c>
      <c r="D161" s="94">
        <v>748170000</v>
      </c>
      <c r="E161" s="94">
        <v>1</v>
      </c>
      <c r="F161" s="88" t="s">
        <v>118</v>
      </c>
      <c r="G161" s="26">
        <f t="shared" ca="1" si="1"/>
        <v>9.703481687392667E-3</v>
      </c>
    </row>
    <row r="162" spans="2:7">
      <c r="B162" s="86" t="s">
        <v>231</v>
      </c>
      <c r="C162" s="154" t="s">
        <v>232</v>
      </c>
      <c r="D162" s="81">
        <v>2629839616</v>
      </c>
      <c r="E162" s="81">
        <v>1</v>
      </c>
      <c r="F162" s="89" t="s">
        <v>118</v>
      </c>
      <c r="G162" s="26">
        <f t="shared" ca="1" si="1"/>
        <v>2.7366525731868114E-3</v>
      </c>
    </row>
    <row r="163" spans="2:7">
      <c r="B163" s="85" t="s">
        <v>233</v>
      </c>
      <c r="C163" s="153" t="s">
        <v>234</v>
      </c>
      <c r="D163" s="94">
        <v>591520241</v>
      </c>
      <c r="E163" s="94">
        <v>1</v>
      </c>
      <c r="F163" s="88" t="s">
        <v>118</v>
      </c>
      <c r="G163" s="26">
        <f t="shared" ca="1" si="1"/>
        <v>1.2918323734659991E-2</v>
      </c>
    </row>
    <row r="164" spans="2:7">
      <c r="B164" s="86" t="s">
        <v>235</v>
      </c>
      <c r="C164" s="154" t="s">
        <v>236</v>
      </c>
      <c r="D164" s="81">
        <v>865812483.46080005</v>
      </c>
      <c r="E164" s="81">
        <v>1</v>
      </c>
      <c r="F164" s="89" t="s">
        <v>118</v>
      </c>
      <c r="G164" s="26">
        <f t="shared" ca="1" si="1"/>
        <v>8.3931966628078888E-3</v>
      </c>
    </row>
    <row r="165" spans="2:7">
      <c r="B165" s="85" t="s">
        <v>237</v>
      </c>
      <c r="C165" s="153" t="s">
        <v>238</v>
      </c>
      <c r="D165" s="94">
        <v>183069194.07100001</v>
      </c>
      <c r="E165" s="94">
        <v>1</v>
      </c>
      <c r="F165" s="88" t="s">
        <v>118</v>
      </c>
      <c r="G165" s="26">
        <f t="shared" ca="1" si="1"/>
        <v>3.9660843687245817E-2</v>
      </c>
    </row>
    <row r="166" spans="2:7">
      <c r="B166" s="87" t="s">
        <v>239</v>
      </c>
      <c r="C166" s="157" t="s">
        <v>240</v>
      </c>
      <c r="D166" s="82">
        <v>530292987.89289999</v>
      </c>
      <c r="E166" s="82">
        <v>1</v>
      </c>
      <c r="F166" s="90" t="s">
        <v>118</v>
      </c>
      <c r="G166" s="26">
        <f t="shared" ca="1" si="1"/>
        <v>1.3691824813392395E-2</v>
      </c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9383"/>
  <sheetViews>
    <sheetView workbookViewId="0">
      <selection activeCell="AC17" sqref="AC17"/>
    </sheetView>
  </sheetViews>
  <sheetFormatPr defaultRowHeight="12.75"/>
  <cols>
    <col min="1" max="1" width="9.140625" style="67"/>
  </cols>
  <sheetData>
    <row r="1" spans="2:14">
      <c r="B1" t="s">
        <v>62</v>
      </c>
      <c r="C1" t="s">
        <v>60</v>
      </c>
      <c r="D1" t="s">
        <v>61</v>
      </c>
      <c r="E1" t="s">
        <v>63</v>
      </c>
      <c r="F1" t="s">
        <v>64</v>
      </c>
      <c r="G1" t="s">
        <v>65</v>
      </c>
      <c r="H1" t="s">
        <v>66</v>
      </c>
      <c r="L1" t="s">
        <v>58</v>
      </c>
      <c r="M1" t="s">
        <v>52</v>
      </c>
      <c r="N1" t="s">
        <v>59</v>
      </c>
    </row>
    <row r="2" spans="2:14">
      <c r="B2">
        <v>1</v>
      </c>
      <c r="C2">
        <v>102</v>
      </c>
      <c r="D2">
        <v>1</v>
      </c>
      <c r="E2">
        <v>0</v>
      </c>
      <c r="F2">
        <v>0.12481721591275541</v>
      </c>
      <c r="G2">
        <v>-0.17557590789292921</v>
      </c>
      <c r="H2">
        <v>-0.37196169855436478</v>
      </c>
      <c r="L2">
        <f t="shared" ref="L2" si="0">IF(AND(H2&lt;-0.3,B2=3),MAX(100+H2*100,0),D2*0.02*100+100)</f>
        <v>102</v>
      </c>
      <c r="M2">
        <v>0.98</v>
      </c>
      <c r="N2">
        <f t="shared" ref="N2" si="1">L2*M2^B2</f>
        <v>99.96</v>
      </c>
    </row>
    <row r="3" spans="2:14">
      <c r="B3">
        <v>3</v>
      </c>
      <c r="C3">
        <v>104</v>
      </c>
      <c r="D3">
        <v>2</v>
      </c>
      <c r="E3">
        <v>0</v>
      </c>
      <c r="F3">
        <v>-0.23649809392538346</v>
      </c>
      <c r="G3">
        <v>-0.56952843296548394</v>
      </c>
      <c r="H3">
        <v>-0.3519209241480683</v>
      </c>
      <c r="L3">
        <f t="shared" ref="L3" si="2">IF(AND(H3&lt;-0.3,B3=3),MAX(100+H3*100,0),D3*0.02*100+100)</f>
        <v>64.807907585193163</v>
      </c>
      <c r="M3">
        <v>0.98</v>
      </c>
      <c r="N3">
        <f t="shared" ref="N3" si="3">L3*M3^B3</f>
        <v>60.99668415592312</v>
      </c>
    </row>
    <row r="4" spans="2:14">
      <c r="B4">
        <v>1</v>
      </c>
      <c r="C4">
        <v>102</v>
      </c>
      <c r="D4">
        <v>1</v>
      </c>
      <c r="E4">
        <v>0</v>
      </c>
      <c r="F4">
        <v>0.13502731540915169</v>
      </c>
      <c r="G4">
        <v>-0.28531830706176914</v>
      </c>
      <c r="H4">
        <v>-0.43410196931412076</v>
      </c>
      <c r="L4">
        <f t="shared" ref="L4:L67" si="4">IF(AND(H4&lt;-0.3,B4=3),MAX(100+H4*100,0),D4*0.02*100+100)</f>
        <v>102</v>
      </c>
      <c r="M4">
        <v>0.98</v>
      </c>
      <c r="N4">
        <f t="shared" ref="N4:N67" si="5">L4*M4^B4</f>
        <v>99.96</v>
      </c>
    </row>
    <row r="5" spans="2:14">
      <c r="B5">
        <v>3</v>
      </c>
      <c r="C5">
        <v>106</v>
      </c>
      <c r="D5">
        <v>3</v>
      </c>
      <c r="E5">
        <v>0</v>
      </c>
      <c r="F5">
        <v>-5.2191946258942964E-3</v>
      </c>
      <c r="G5">
        <v>0.10628370303580631</v>
      </c>
      <c r="H5">
        <v>0.19581409356713184</v>
      </c>
      <c r="L5">
        <f t="shared" si="4"/>
        <v>106</v>
      </c>
      <c r="M5">
        <v>0.98</v>
      </c>
      <c r="N5">
        <f t="shared" si="5"/>
        <v>99.766351999999998</v>
      </c>
    </row>
    <row r="6" spans="2:14">
      <c r="B6">
        <v>3</v>
      </c>
      <c r="C6">
        <v>106</v>
      </c>
      <c r="D6">
        <v>3</v>
      </c>
      <c r="E6">
        <v>0</v>
      </c>
      <c r="F6">
        <v>-0.22550907787173513</v>
      </c>
      <c r="G6">
        <v>-0.18835331183188272</v>
      </c>
      <c r="H6">
        <v>-0.33168154100933067</v>
      </c>
      <c r="L6">
        <f t="shared" si="4"/>
        <v>66.831845899066934</v>
      </c>
      <c r="M6">
        <v>0.98</v>
      </c>
      <c r="N6">
        <f t="shared" si="5"/>
        <v>62.901598705434601</v>
      </c>
    </row>
    <row r="7" spans="2:14">
      <c r="B7">
        <v>3</v>
      </c>
      <c r="C7">
        <v>106</v>
      </c>
      <c r="D7">
        <v>3</v>
      </c>
      <c r="E7">
        <v>0</v>
      </c>
      <c r="F7">
        <v>-2.4519736029177942E-2</v>
      </c>
      <c r="G7">
        <v>8.9754717439729972E-2</v>
      </c>
      <c r="H7">
        <v>-3.894482660435958E-3</v>
      </c>
      <c r="L7">
        <f t="shared" si="4"/>
        <v>106</v>
      </c>
      <c r="M7">
        <v>0.98</v>
      </c>
      <c r="N7">
        <f t="shared" si="5"/>
        <v>99.766351999999998</v>
      </c>
    </row>
    <row r="8" spans="2:14">
      <c r="B8">
        <v>3</v>
      </c>
      <c r="C8">
        <v>106</v>
      </c>
      <c r="D8">
        <v>3</v>
      </c>
      <c r="E8">
        <v>0</v>
      </c>
      <c r="F8">
        <v>-3.4230718536748549E-2</v>
      </c>
      <c r="G8">
        <v>-0.1130792504691768</v>
      </c>
      <c r="H8">
        <v>-0.23872270924658423</v>
      </c>
      <c r="L8">
        <f t="shared" si="4"/>
        <v>106</v>
      </c>
      <c r="M8">
        <v>0.98</v>
      </c>
      <c r="N8">
        <f t="shared" si="5"/>
        <v>99.766351999999998</v>
      </c>
    </row>
    <row r="9" spans="2:14">
      <c r="B9">
        <v>3</v>
      </c>
      <c r="C9">
        <v>106</v>
      </c>
      <c r="D9">
        <v>3</v>
      </c>
      <c r="E9">
        <v>0</v>
      </c>
      <c r="F9">
        <v>-0.27056641396240988</v>
      </c>
      <c r="G9">
        <v>-0.24627732852193515</v>
      </c>
      <c r="H9">
        <v>-0.27946152080515424</v>
      </c>
      <c r="L9">
        <f t="shared" si="4"/>
        <v>106</v>
      </c>
      <c r="M9">
        <v>0.98</v>
      </c>
      <c r="N9">
        <f t="shared" si="5"/>
        <v>99.766351999999998</v>
      </c>
    </row>
    <row r="10" spans="2:14">
      <c r="B10">
        <v>1</v>
      </c>
      <c r="C10">
        <v>102</v>
      </c>
      <c r="D10">
        <v>1</v>
      </c>
      <c r="E10">
        <v>0</v>
      </c>
      <c r="F10">
        <v>4.5409481879611788E-2</v>
      </c>
      <c r="G10">
        <v>-0.25941214119311412</v>
      </c>
      <c r="H10">
        <v>-0.34624801985506881</v>
      </c>
      <c r="L10">
        <f t="shared" si="4"/>
        <v>102</v>
      </c>
      <c r="M10">
        <v>0.98</v>
      </c>
      <c r="N10">
        <f t="shared" si="5"/>
        <v>99.96</v>
      </c>
    </row>
    <row r="11" spans="2:14">
      <c r="B11">
        <v>3</v>
      </c>
      <c r="C11">
        <v>106</v>
      </c>
      <c r="D11">
        <v>3</v>
      </c>
      <c r="E11">
        <v>0</v>
      </c>
      <c r="F11">
        <v>-0.29459206805085092</v>
      </c>
      <c r="G11">
        <v>-1.9224139221684707E-2</v>
      </c>
      <c r="H11">
        <v>0.12810881554209494</v>
      </c>
      <c r="L11">
        <f t="shared" si="4"/>
        <v>106</v>
      </c>
      <c r="M11">
        <v>0.98</v>
      </c>
      <c r="N11">
        <f t="shared" si="5"/>
        <v>99.766351999999998</v>
      </c>
    </row>
    <row r="12" spans="2:14">
      <c r="B12">
        <v>1</v>
      </c>
      <c r="C12">
        <v>102</v>
      </c>
      <c r="D12">
        <v>1</v>
      </c>
      <c r="E12">
        <v>0</v>
      </c>
      <c r="F12">
        <v>7.8679026650108314E-2</v>
      </c>
      <c r="G12">
        <v>0.15071242182995737</v>
      </c>
      <c r="H12">
        <v>0.24533753899115143</v>
      </c>
      <c r="L12">
        <f t="shared" si="4"/>
        <v>102</v>
      </c>
      <c r="M12">
        <v>0.98</v>
      </c>
      <c r="N12">
        <f t="shared" si="5"/>
        <v>99.96</v>
      </c>
    </row>
    <row r="13" spans="2:14">
      <c r="B13">
        <v>1</v>
      </c>
      <c r="C13">
        <v>102</v>
      </c>
      <c r="D13">
        <v>1</v>
      </c>
      <c r="E13">
        <v>0</v>
      </c>
      <c r="F13">
        <v>0.12982935249064692</v>
      </c>
      <c r="G13">
        <v>-4.4570865747110382E-2</v>
      </c>
      <c r="H13">
        <v>4.5569074180487861E-4</v>
      </c>
      <c r="L13">
        <f t="shared" si="4"/>
        <v>102</v>
      </c>
      <c r="M13">
        <v>0.98</v>
      </c>
      <c r="N13">
        <f t="shared" si="5"/>
        <v>99.96</v>
      </c>
    </row>
    <row r="14" spans="2:14">
      <c r="B14">
        <v>3</v>
      </c>
      <c r="C14">
        <v>106</v>
      </c>
      <c r="D14">
        <v>3</v>
      </c>
      <c r="E14">
        <v>0</v>
      </c>
      <c r="F14">
        <v>-0.10537185052968177</v>
      </c>
      <c r="G14">
        <v>9.5856189880816178E-2</v>
      </c>
      <c r="H14">
        <v>4.9774019611213756E-2</v>
      </c>
      <c r="L14">
        <f t="shared" si="4"/>
        <v>106</v>
      </c>
      <c r="M14">
        <v>0.98</v>
      </c>
      <c r="N14">
        <f t="shared" si="5"/>
        <v>99.766351999999998</v>
      </c>
    </row>
    <row r="15" spans="2:14">
      <c r="B15">
        <v>1</v>
      </c>
      <c r="C15">
        <v>102</v>
      </c>
      <c r="D15">
        <v>1</v>
      </c>
      <c r="E15">
        <v>0</v>
      </c>
      <c r="F15">
        <v>0.13297445946379799</v>
      </c>
      <c r="G15">
        <v>-0.24163847435762412</v>
      </c>
      <c r="H15">
        <v>-0.27760050256002655</v>
      </c>
      <c r="L15">
        <f t="shared" si="4"/>
        <v>102</v>
      </c>
      <c r="M15">
        <v>0.98</v>
      </c>
      <c r="N15">
        <f t="shared" si="5"/>
        <v>99.96</v>
      </c>
    </row>
    <row r="16" spans="2:14">
      <c r="B16">
        <v>3</v>
      </c>
      <c r="C16">
        <v>106</v>
      </c>
      <c r="D16">
        <v>3</v>
      </c>
      <c r="E16">
        <v>0</v>
      </c>
      <c r="F16">
        <v>-0.26402418666047933</v>
      </c>
      <c r="G16">
        <v>-0.22496256044024479</v>
      </c>
      <c r="H16">
        <v>-0.23464054872697115</v>
      </c>
      <c r="L16">
        <f t="shared" si="4"/>
        <v>106</v>
      </c>
      <c r="M16">
        <v>0.98</v>
      </c>
      <c r="N16">
        <f t="shared" si="5"/>
        <v>99.766351999999998</v>
      </c>
    </row>
    <row r="17" spans="2:14">
      <c r="B17">
        <v>1</v>
      </c>
      <c r="C17">
        <v>102</v>
      </c>
      <c r="D17">
        <v>1</v>
      </c>
      <c r="E17">
        <v>0</v>
      </c>
      <c r="F17">
        <v>0.26309564027627291</v>
      </c>
      <c r="G17">
        <v>-0.12055856280951401</v>
      </c>
      <c r="H17">
        <v>-0.16695852300712821</v>
      </c>
      <c r="L17">
        <f t="shared" si="4"/>
        <v>102</v>
      </c>
      <c r="M17">
        <v>0.98</v>
      </c>
      <c r="N17">
        <f t="shared" si="5"/>
        <v>99.96</v>
      </c>
    </row>
    <row r="18" spans="2:14">
      <c r="B18">
        <v>3</v>
      </c>
      <c r="C18">
        <v>106</v>
      </c>
      <c r="D18">
        <v>3</v>
      </c>
      <c r="E18">
        <v>0</v>
      </c>
      <c r="F18">
        <v>-0.1238480130220479</v>
      </c>
      <c r="G18">
        <v>-0.27545385843750519</v>
      </c>
      <c r="H18">
        <v>-0.33868094640546886</v>
      </c>
      <c r="L18">
        <f t="shared" si="4"/>
        <v>66.131905359453114</v>
      </c>
      <c r="M18">
        <v>0.98</v>
      </c>
      <c r="N18">
        <f t="shared" si="5"/>
        <v>62.242820269074393</v>
      </c>
    </row>
    <row r="19" spans="2:14">
      <c r="B19">
        <v>3</v>
      </c>
      <c r="C19">
        <v>106</v>
      </c>
      <c r="D19">
        <v>3</v>
      </c>
      <c r="E19">
        <v>0</v>
      </c>
      <c r="F19">
        <v>-0.15035091984884813</v>
      </c>
      <c r="G19">
        <v>2.154079399003091E-2</v>
      </c>
      <c r="H19">
        <v>0.12427736062297993</v>
      </c>
      <c r="L19">
        <f t="shared" si="4"/>
        <v>106</v>
      </c>
      <c r="M19">
        <v>0.98</v>
      </c>
      <c r="N19">
        <f t="shared" si="5"/>
        <v>99.766351999999998</v>
      </c>
    </row>
    <row r="20" spans="2:14">
      <c r="B20">
        <v>1</v>
      </c>
      <c r="C20">
        <v>102</v>
      </c>
      <c r="D20">
        <v>1</v>
      </c>
      <c r="E20">
        <v>0</v>
      </c>
      <c r="F20">
        <v>3.5262570979106428E-2</v>
      </c>
      <c r="G20">
        <v>0.16897316335310081</v>
      </c>
      <c r="H20">
        <v>0.16439439319662799</v>
      </c>
      <c r="L20">
        <f t="shared" si="4"/>
        <v>102</v>
      </c>
      <c r="M20">
        <v>0.98</v>
      </c>
      <c r="N20">
        <f t="shared" si="5"/>
        <v>99.96</v>
      </c>
    </row>
    <row r="21" spans="2:14">
      <c r="B21">
        <v>3</v>
      </c>
      <c r="C21">
        <v>106</v>
      </c>
      <c r="D21">
        <v>3</v>
      </c>
      <c r="E21">
        <v>0</v>
      </c>
      <c r="F21">
        <v>-0.23339446819561188</v>
      </c>
      <c r="G21">
        <v>-0.34331049205866343</v>
      </c>
      <c r="H21">
        <v>-0.35908227351024752</v>
      </c>
      <c r="L21">
        <f t="shared" si="4"/>
        <v>64.091772648975251</v>
      </c>
      <c r="M21">
        <v>0.98</v>
      </c>
      <c r="N21">
        <f t="shared" si="5"/>
        <v>60.322663683034307</v>
      </c>
    </row>
    <row r="22" spans="2:14">
      <c r="B22">
        <v>3</v>
      </c>
      <c r="C22">
        <v>106</v>
      </c>
      <c r="D22">
        <v>3</v>
      </c>
      <c r="E22">
        <v>0</v>
      </c>
      <c r="F22">
        <v>-1.1357708693694148E-2</v>
      </c>
      <c r="G22">
        <v>0.14959360766922039</v>
      </c>
      <c r="H22">
        <v>8.96162844875035E-2</v>
      </c>
      <c r="L22">
        <f t="shared" si="4"/>
        <v>106</v>
      </c>
      <c r="M22">
        <v>0.98</v>
      </c>
      <c r="N22">
        <f t="shared" si="5"/>
        <v>99.766351999999998</v>
      </c>
    </row>
    <row r="23" spans="2:14">
      <c r="B23">
        <v>3</v>
      </c>
      <c r="C23">
        <v>106</v>
      </c>
      <c r="D23">
        <v>3</v>
      </c>
      <c r="E23">
        <v>0</v>
      </c>
      <c r="F23">
        <v>-7.2879768661084296E-2</v>
      </c>
      <c r="G23">
        <v>0.31685992392104995</v>
      </c>
      <c r="H23">
        <v>0.17038945021871554</v>
      </c>
      <c r="L23">
        <f t="shared" si="4"/>
        <v>106</v>
      </c>
      <c r="M23">
        <v>0.98</v>
      </c>
      <c r="N23">
        <f t="shared" si="5"/>
        <v>99.766351999999998</v>
      </c>
    </row>
    <row r="24" spans="2:14">
      <c r="B24">
        <v>3</v>
      </c>
      <c r="C24">
        <v>106</v>
      </c>
      <c r="D24">
        <v>3</v>
      </c>
      <c r="E24">
        <v>0</v>
      </c>
      <c r="F24">
        <v>-0.10366215352462642</v>
      </c>
      <c r="G24">
        <v>-0.25723943744343958</v>
      </c>
      <c r="H24">
        <v>-0.11559422645748667</v>
      </c>
      <c r="L24">
        <f t="shared" si="4"/>
        <v>106</v>
      </c>
      <c r="M24">
        <v>0.98</v>
      </c>
      <c r="N24">
        <f t="shared" si="5"/>
        <v>99.766351999999998</v>
      </c>
    </row>
    <row r="25" spans="2:14">
      <c r="B25">
        <v>3</v>
      </c>
      <c r="C25">
        <v>106</v>
      </c>
      <c r="D25">
        <v>3</v>
      </c>
      <c r="E25">
        <v>0</v>
      </c>
      <c r="F25">
        <v>-1.2431238823558694E-2</v>
      </c>
      <c r="G25">
        <v>-7.9955780187409745E-2</v>
      </c>
      <c r="H25">
        <v>-0.37976205240287669</v>
      </c>
      <c r="L25">
        <f t="shared" si="4"/>
        <v>62.023794759712331</v>
      </c>
      <c r="M25">
        <v>0.98</v>
      </c>
      <c r="N25">
        <f t="shared" si="5"/>
        <v>58.376299437483162</v>
      </c>
    </row>
    <row r="26" spans="2:14">
      <c r="B26">
        <v>1</v>
      </c>
      <c r="C26">
        <v>102</v>
      </c>
      <c r="D26">
        <v>1</v>
      </c>
      <c r="E26">
        <v>0</v>
      </c>
      <c r="F26">
        <v>0.17925536379068169</v>
      </c>
      <c r="G26">
        <v>-0.45142514111583454</v>
      </c>
      <c r="H26">
        <v>-0.71746960057670162</v>
      </c>
      <c r="L26">
        <f t="shared" si="4"/>
        <v>102</v>
      </c>
      <c r="M26">
        <v>0.98</v>
      </c>
      <c r="N26">
        <f t="shared" si="5"/>
        <v>99.96</v>
      </c>
    </row>
    <row r="27" spans="2:14">
      <c r="B27">
        <v>3</v>
      </c>
      <c r="C27">
        <v>24.91781932646775</v>
      </c>
      <c r="D27">
        <v>1</v>
      </c>
      <c r="E27">
        <v>0</v>
      </c>
      <c r="F27">
        <v>-0.18129337376983845</v>
      </c>
      <c r="G27">
        <v>-0.41779146769522202</v>
      </c>
      <c r="H27">
        <v>-0.75082180673532251</v>
      </c>
      <c r="L27">
        <f t="shared" si="4"/>
        <v>24.91781932646775</v>
      </c>
      <c r="M27">
        <v>0.98</v>
      </c>
      <c r="N27">
        <f t="shared" si="5"/>
        <v>23.452452207516831</v>
      </c>
    </row>
    <row r="28" spans="2:14">
      <c r="B28">
        <v>3</v>
      </c>
      <c r="C28">
        <v>106</v>
      </c>
      <c r="D28">
        <v>3</v>
      </c>
      <c r="E28">
        <v>0</v>
      </c>
      <c r="F28">
        <v>-2.4305260937372425E-3</v>
      </c>
      <c r="G28">
        <v>0.13259678931541447</v>
      </c>
      <c r="H28">
        <v>-9.5848385322333599E-2</v>
      </c>
      <c r="L28">
        <f t="shared" si="4"/>
        <v>106</v>
      </c>
      <c r="M28">
        <v>0.98</v>
      </c>
      <c r="N28">
        <f t="shared" si="5"/>
        <v>99.766351999999998</v>
      </c>
    </row>
    <row r="29" spans="2:14">
      <c r="B29">
        <v>3</v>
      </c>
      <c r="C29">
        <v>106</v>
      </c>
      <c r="D29">
        <v>3</v>
      </c>
      <c r="E29">
        <v>0</v>
      </c>
      <c r="F29">
        <v>-9.9174896590575976E-2</v>
      </c>
      <c r="G29">
        <v>-0.10439409121647025</v>
      </c>
      <c r="H29">
        <v>7.1088064452303331E-3</v>
      </c>
      <c r="L29">
        <f t="shared" si="4"/>
        <v>106</v>
      </c>
      <c r="M29">
        <v>0.98</v>
      </c>
      <c r="N29">
        <f t="shared" si="5"/>
        <v>99.766351999999998</v>
      </c>
    </row>
    <row r="30" spans="2:14">
      <c r="B30">
        <v>3</v>
      </c>
      <c r="C30">
        <v>106</v>
      </c>
      <c r="D30">
        <v>3</v>
      </c>
      <c r="E30">
        <v>0</v>
      </c>
      <c r="F30">
        <v>-2.5574551945579917E-2</v>
      </c>
      <c r="G30">
        <v>-0.25108362981731502</v>
      </c>
      <c r="H30">
        <v>-0.21392786377746248</v>
      </c>
      <c r="L30">
        <f t="shared" si="4"/>
        <v>106</v>
      </c>
      <c r="M30">
        <v>0.98</v>
      </c>
      <c r="N30">
        <f t="shared" si="5"/>
        <v>99.766351999999998</v>
      </c>
    </row>
    <row r="31" spans="2:14">
      <c r="B31">
        <v>3</v>
      </c>
      <c r="C31">
        <v>106</v>
      </c>
      <c r="D31">
        <v>3</v>
      </c>
      <c r="E31">
        <v>0</v>
      </c>
      <c r="F31">
        <v>-0.37325405754005747</v>
      </c>
      <c r="G31">
        <v>-0.39777379356923531</v>
      </c>
      <c r="H31">
        <v>-0.28349934010032729</v>
      </c>
      <c r="L31">
        <f t="shared" si="4"/>
        <v>106</v>
      </c>
      <c r="M31">
        <v>0.98</v>
      </c>
      <c r="N31">
        <f t="shared" si="5"/>
        <v>99.766351999999998</v>
      </c>
    </row>
    <row r="32" spans="2:14">
      <c r="B32">
        <v>1</v>
      </c>
      <c r="C32">
        <v>102</v>
      </c>
      <c r="D32">
        <v>1</v>
      </c>
      <c r="E32">
        <v>0</v>
      </c>
      <c r="F32">
        <v>0.17470963820789681</v>
      </c>
      <c r="G32">
        <v>-0.32220051434012098</v>
      </c>
      <c r="H32">
        <v>-0.3204464182592458</v>
      </c>
      <c r="L32">
        <f t="shared" si="4"/>
        <v>102</v>
      </c>
      <c r="M32">
        <v>0.98</v>
      </c>
      <c r="N32">
        <f t="shared" si="5"/>
        <v>99.96</v>
      </c>
    </row>
    <row r="33" spans="2:14">
      <c r="B33">
        <v>3</v>
      </c>
      <c r="C33">
        <v>106</v>
      </c>
      <c r="D33">
        <v>3</v>
      </c>
      <c r="E33">
        <v>0</v>
      </c>
      <c r="F33">
        <v>-5.7313935435902921E-2</v>
      </c>
      <c r="G33">
        <v>-0.32788034939831284</v>
      </c>
      <c r="H33">
        <v>-0.30359126395783803</v>
      </c>
      <c r="L33">
        <f t="shared" si="4"/>
        <v>69.640873604216196</v>
      </c>
      <c r="M33">
        <v>0.98</v>
      </c>
      <c r="N33">
        <f t="shared" si="5"/>
        <v>65.545433109299438</v>
      </c>
    </row>
    <row r="34" spans="2:14">
      <c r="B34">
        <v>3</v>
      </c>
      <c r="C34">
        <v>106</v>
      </c>
      <c r="D34">
        <v>3</v>
      </c>
      <c r="E34">
        <v>0</v>
      </c>
      <c r="F34">
        <v>-4.2833123454651977E-2</v>
      </c>
      <c r="G34">
        <v>2.5763584249598264E-3</v>
      </c>
      <c r="H34">
        <v>2.0297761278739963E-2</v>
      </c>
      <c r="L34">
        <f t="shared" si="4"/>
        <v>106</v>
      </c>
      <c r="M34">
        <v>0.98</v>
      </c>
      <c r="N34">
        <f t="shared" si="5"/>
        <v>99.766351999999998</v>
      </c>
    </row>
    <row r="35" spans="2:14">
      <c r="B35">
        <v>3</v>
      </c>
      <c r="C35">
        <v>104</v>
      </c>
      <c r="D35">
        <v>2</v>
      </c>
      <c r="E35">
        <v>0</v>
      </c>
      <c r="F35">
        <v>-0.21802251069371753</v>
      </c>
      <c r="G35">
        <v>-0.51261457874456851</v>
      </c>
      <c r="H35">
        <v>-0.23724664991540226</v>
      </c>
      <c r="L35">
        <f t="shared" si="4"/>
        <v>104</v>
      </c>
      <c r="M35">
        <v>0.98</v>
      </c>
      <c r="N35">
        <f t="shared" si="5"/>
        <v>97.883967999999996</v>
      </c>
    </row>
    <row r="36" spans="2:14">
      <c r="B36">
        <v>3</v>
      </c>
      <c r="C36">
        <v>106</v>
      </c>
      <c r="D36">
        <v>3</v>
      </c>
      <c r="E36">
        <v>0</v>
      </c>
      <c r="F36">
        <v>-3.7493474364981114E-2</v>
      </c>
      <c r="G36">
        <v>4.1185552285127131E-2</v>
      </c>
      <c r="H36">
        <v>-0.2738220010884585</v>
      </c>
      <c r="L36">
        <f t="shared" si="4"/>
        <v>106</v>
      </c>
      <c r="M36">
        <v>0.98</v>
      </c>
      <c r="N36">
        <f t="shared" si="5"/>
        <v>99.766351999999998</v>
      </c>
    </row>
    <row r="37" spans="2:14">
      <c r="B37">
        <v>1</v>
      </c>
      <c r="C37">
        <v>102</v>
      </c>
      <c r="D37">
        <v>1</v>
      </c>
      <c r="E37">
        <v>0</v>
      </c>
      <c r="F37">
        <v>5.5442968694535367E-3</v>
      </c>
      <c r="G37">
        <v>-4.0814365047374471E-3</v>
      </c>
      <c r="H37">
        <v>-0.23611697556642769</v>
      </c>
      <c r="L37">
        <f t="shared" si="4"/>
        <v>102</v>
      </c>
      <c r="M37">
        <v>0.98</v>
      </c>
      <c r="N37">
        <f t="shared" si="5"/>
        <v>99.96</v>
      </c>
    </row>
    <row r="38" spans="2:14">
      <c r="B38">
        <v>1</v>
      </c>
      <c r="C38">
        <v>102</v>
      </c>
      <c r="D38">
        <v>1</v>
      </c>
      <c r="E38">
        <v>0</v>
      </c>
      <c r="F38">
        <v>8.0965208544321349E-2</v>
      </c>
      <c r="G38">
        <v>-3.3095760302235454E-2</v>
      </c>
      <c r="H38">
        <v>4.8895190162791868E-2</v>
      </c>
      <c r="L38">
        <f t="shared" si="4"/>
        <v>102</v>
      </c>
      <c r="M38">
        <v>0.98</v>
      </c>
      <c r="N38">
        <f t="shared" si="5"/>
        <v>99.96</v>
      </c>
    </row>
    <row r="39" spans="2:14">
      <c r="B39">
        <v>3</v>
      </c>
      <c r="C39">
        <v>106</v>
      </c>
      <c r="D39">
        <v>3</v>
      </c>
      <c r="E39">
        <v>0</v>
      </c>
      <c r="F39">
        <v>-1.4103613248143042E-2</v>
      </c>
      <c r="G39">
        <v>0.11887084621565494</v>
      </c>
      <c r="H39">
        <v>3.5670670270205339E-2</v>
      </c>
      <c r="L39">
        <f t="shared" si="4"/>
        <v>106</v>
      </c>
      <c r="M39">
        <v>0.98</v>
      </c>
      <c r="N39">
        <f t="shared" si="5"/>
        <v>99.766351999999998</v>
      </c>
    </row>
    <row r="40" spans="2:14">
      <c r="B40">
        <v>3</v>
      </c>
      <c r="C40">
        <v>59.00331985535999</v>
      </c>
      <c r="D40">
        <v>1</v>
      </c>
      <c r="E40">
        <v>0</v>
      </c>
      <c r="F40">
        <v>-0.1850042410061552</v>
      </c>
      <c r="G40">
        <v>-0.44902842766663448</v>
      </c>
      <c r="H40">
        <v>-0.40996680144640008</v>
      </c>
      <c r="L40">
        <f t="shared" si="4"/>
        <v>59.00331985535999</v>
      </c>
      <c r="M40">
        <v>0.98</v>
      </c>
      <c r="N40">
        <f t="shared" si="5"/>
        <v>55.533452621305976</v>
      </c>
    </row>
    <row r="41" spans="2:14">
      <c r="B41">
        <v>3</v>
      </c>
      <c r="C41">
        <v>106</v>
      </c>
      <c r="D41">
        <v>3</v>
      </c>
      <c r="E41">
        <v>0</v>
      </c>
      <c r="F41">
        <v>-0.10257008314057088</v>
      </c>
      <c r="G41">
        <v>0.16052555713570202</v>
      </c>
      <c r="H41">
        <v>0.13765504705324935</v>
      </c>
      <c r="L41">
        <f t="shared" si="4"/>
        <v>106</v>
      </c>
      <c r="M41">
        <v>0.98</v>
      </c>
      <c r="N41">
        <f t="shared" si="5"/>
        <v>99.766351999999998</v>
      </c>
    </row>
    <row r="42" spans="2:14">
      <c r="B42">
        <v>3</v>
      </c>
      <c r="C42">
        <v>106</v>
      </c>
      <c r="D42">
        <v>3</v>
      </c>
      <c r="E42">
        <v>0</v>
      </c>
      <c r="F42">
        <v>-9.8091999738622274E-2</v>
      </c>
      <c r="G42">
        <v>-0.22194001276067021</v>
      </c>
      <c r="H42">
        <v>-0.3735458581761274</v>
      </c>
      <c r="L42">
        <f t="shared" si="4"/>
        <v>62.645414182387263</v>
      </c>
      <c r="M42">
        <v>0.98</v>
      </c>
      <c r="N42">
        <f t="shared" si="5"/>
        <v>58.96136266514943</v>
      </c>
    </row>
    <row r="43" spans="2:14">
      <c r="B43">
        <v>3</v>
      </c>
      <c r="C43">
        <v>106</v>
      </c>
      <c r="D43">
        <v>3</v>
      </c>
      <c r="E43">
        <v>0</v>
      </c>
      <c r="F43">
        <v>-0.11164886919961509</v>
      </c>
      <c r="G43">
        <v>-0.26199978904846316</v>
      </c>
      <c r="H43">
        <v>-9.0108075209584151E-2</v>
      </c>
      <c r="L43">
        <f t="shared" si="4"/>
        <v>106</v>
      </c>
      <c r="M43">
        <v>0.98</v>
      </c>
      <c r="N43">
        <f t="shared" si="5"/>
        <v>99.766351999999998</v>
      </c>
    </row>
    <row r="44" spans="2:14">
      <c r="B44">
        <v>3</v>
      </c>
      <c r="C44">
        <v>106</v>
      </c>
      <c r="D44">
        <v>3</v>
      </c>
      <c r="E44">
        <v>0</v>
      </c>
      <c r="F44">
        <v>-7.1832717967565157E-2</v>
      </c>
      <c r="G44">
        <v>-3.6570146988458792E-2</v>
      </c>
      <c r="H44">
        <v>0.20086784304846719</v>
      </c>
      <c r="L44">
        <f t="shared" si="4"/>
        <v>106</v>
      </c>
      <c r="M44">
        <v>0.98</v>
      </c>
      <c r="N44">
        <f t="shared" si="5"/>
        <v>99.766351999999998</v>
      </c>
    </row>
    <row r="45" spans="2:14">
      <c r="B45">
        <v>1</v>
      </c>
      <c r="C45">
        <v>102</v>
      </c>
      <c r="D45">
        <v>1</v>
      </c>
      <c r="E45">
        <v>0</v>
      </c>
      <c r="F45">
        <v>0.1509276991768683</v>
      </c>
      <c r="G45">
        <v>0.12632748751967907</v>
      </c>
      <c r="H45">
        <v>0.18394400019285059</v>
      </c>
      <c r="L45">
        <f t="shared" si="4"/>
        <v>102</v>
      </c>
      <c r="M45">
        <v>0.98</v>
      </c>
      <c r="N45">
        <f t="shared" si="5"/>
        <v>99.96</v>
      </c>
    </row>
    <row r="46" spans="2:14">
      <c r="B46">
        <v>3</v>
      </c>
      <c r="C46">
        <v>106</v>
      </c>
      <c r="D46">
        <v>3</v>
      </c>
      <c r="E46">
        <v>0</v>
      </c>
      <c r="F46">
        <v>-0.35552928431404512</v>
      </c>
      <c r="G46">
        <v>-0.36688699300773925</v>
      </c>
      <c r="H46">
        <v>-0.20593567664482473</v>
      </c>
      <c r="L46">
        <f t="shared" si="4"/>
        <v>106</v>
      </c>
      <c r="M46">
        <v>0.98</v>
      </c>
      <c r="N46">
        <f t="shared" si="5"/>
        <v>99.766351999999998</v>
      </c>
    </row>
    <row r="47" spans="2:14">
      <c r="B47">
        <v>3</v>
      </c>
      <c r="C47">
        <v>106</v>
      </c>
      <c r="D47">
        <v>3</v>
      </c>
      <c r="E47">
        <v>0</v>
      </c>
      <c r="F47">
        <v>-0.2065992843694901</v>
      </c>
      <c r="G47">
        <v>-0.27947905303057441</v>
      </c>
      <c r="H47">
        <v>0.11026063955155987</v>
      </c>
      <c r="L47">
        <f t="shared" si="4"/>
        <v>106</v>
      </c>
      <c r="M47">
        <v>0.98</v>
      </c>
      <c r="N47">
        <f t="shared" si="5"/>
        <v>99.766351999999998</v>
      </c>
    </row>
    <row r="48" spans="2:14">
      <c r="B48">
        <v>1</v>
      </c>
      <c r="C48">
        <v>102</v>
      </c>
      <c r="D48">
        <v>1</v>
      </c>
      <c r="E48">
        <v>0</v>
      </c>
      <c r="F48">
        <v>5.5967444495569722E-2</v>
      </c>
      <c r="G48">
        <v>-0.12134246682909712</v>
      </c>
      <c r="H48">
        <v>-0.18733727910475767</v>
      </c>
      <c r="L48">
        <f t="shared" si="4"/>
        <v>102</v>
      </c>
      <c r="M48">
        <v>0.98</v>
      </c>
      <c r="N48">
        <f t="shared" si="5"/>
        <v>99.96</v>
      </c>
    </row>
    <row r="49" spans="2:14">
      <c r="B49">
        <v>3</v>
      </c>
      <c r="C49">
        <v>38.168297005384666</v>
      </c>
      <c r="D49">
        <v>0</v>
      </c>
      <c r="E49">
        <v>0</v>
      </c>
      <c r="F49">
        <v>-0.53836124975874344</v>
      </c>
      <c r="G49">
        <v>-0.55079248858230223</v>
      </c>
      <c r="H49">
        <v>-0.61831702994615334</v>
      </c>
      <c r="L49">
        <f t="shared" si="4"/>
        <v>38.168297005384666</v>
      </c>
      <c r="M49">
        <v>0.98</v>
      </c>
      <c r="N49">
        <f t="shared" si="5"/>
        <v>35.923695795092002</v>
      </c>
    </row>
    <row r="50" spans="2:14">
      <c r="B50">
        <v>1</v>
      </c>
      <c r="C50">
        <v>102</v>
      </c>
      <c r="D50">
        <v>1</v>
      </c>
      <c r="E50">
        <v>0</v>
      </c>
      <c r="F50">
        <v>0.30102586488525018</v>
      </c>
      <c r="G50">
        <v>-0.32063727885303234</v>
      </c>
      <c r="H50">
        <v>-0.6551532239484773</v>
      </c>
      <c r="L50">
        <f t="shared" si="4"/>
        <v>102</v>
      </c>
      <c r="M50">
        <v>0.98</v>
      </c>
      <c r="N50">
        <f t="shared" si="5"/>
        <v>99.96</v>
      </c>
    </row>
    <row r="51" spans="2:14">
      <c r="B51">
        <v>3</v>
      </c>
      <c r="C51">
        <v>44.386612486800928</v>
      </c>
      <c r="D51">
        <v>2</v>
      </c>
      <c r="E51">
        <v>0</v>
      </c>
      <c r="F51">
        <v>-0.13834240743676873</v>
      </c>
      <c r="G51">
        <v>-0.31963578120660724</v>
      </c>
      <c r="H51">
        <v>-0.55613387513199075</v>
      </c>
      <c r="L51">
        <f t="shared" si="4"/>
        <v>44.386612486800928</v>
      </c>
      <c r="M51">
        <v>0.98</v>
      </c>
      <c r="N51">
        <f t="shared" si="5"/>
        <v>41.776324579677137</v>
      </c>
    </row>
    <row r="52" spans="2:14">
      <c r="B52">
        <v>3</v>
      </c>
      <c r="C52">
        <v>106</v>
      </c>
      <c r="D52">
        <v>3</v>
      </c>
      <c r="E52">
        <v>0</v>
      </c>
      <c r="F52">
        <v>-0.10708758313205159</v>
      </c>
      <c r="G52">
        <v>-0.10951810922578897</v>
      </c>
      <c r="H52">
        <v>2.5509206183362845E-2</v>
      </c>
      <c r="L52">
        <f t="shared" si="4"/>
        <v>106</v>
      </c>
      <c r="M52">
        <v>0.98</v>
      </c>
      <c r="N52">
        <f t="shared" si="5"/>
        <v>99.766351999999998</v>
      </c>
    </row>
    <row r="53" spans="2:14">
      <c r="B53">
        <v>3</v>
      </c>
      <c r="C53">
        <v>106</v>
      </c>
      <c r="D53">
        <v>3</v>
      </c>
      <c r="E53">
        <v>0</v>
      </c>
      <c r="F53">
        <v>-8.485392092879962E-2</v>
      </c>
      <c r="G53">
        <v>-0.18402881751937561</v>
      </c>
      <c r="H53">
        <v>-0.18924801214526976</v>
      </c>
      <c r="L53">
        <f t="shared" si="4"/>
        <v>106</v>
      </c>
      <c r="M53">
        <v>0.98</v>
      </c>
      <c r="N53">
        <f t="shared" si="5"/>
        <v>99.766351999999998</v>
      </c>
    </row>
    <row r="54" spans="2:14">
      <c r="B54">
        <v>3</v>
      </c>
      <c r="C54">
        <v>59.335221207823011</v>
      </c>
      <c r="D54">
        <v>2</v>
      </c>
      <c r="E54">
        <v>0</v>
      </c>
      <c r="F54">
        <v>-0.1555641581044549</v>
      </c>
      <c r="G54">
        <v>-0.18113871005003473</v>
      </c>
      <c r="H54">
        <v>-0.40664778792176992</v>
      </c>
      <c r="L54">
        <f t="shared" si="4"/>
        <v>59.335221207823011</v>
      </c>
      <c r="M54">
        <v>0.98</v>
      </c>
      <c r="N54">
        <f t="shared" si="5"/>
        <v>55.845835519033351</v>
      </c>
    </row>
    <row r="55" spans="2:14">
      <c r="B55">
        <v>1</v>
      </c>
      <c r="C55">
        <v>102</v>
      </c>
      <c r="D55">
        <v>1</v>
      </c>
      <c r="E55">
        <v>0</v>
      </c>
      <c r="F55">
        <v>5.0632209460083913E-2</v>
      </c>
      <c r="G55">
        <v>-0.381404556307604</v>
      </c>
      <c r="H55">
        <v>-0.18679119283383888</v>
      </c>
      <c r="L55">
        <f t="shared" si="4"/>
        <v>102</v>
      </c>
      <c r="M55">
        <v>0.98</v>
      </c>
      <c r="N55">
        <f t="shared" si="5"/>
        <v>99.96</v>
      </c>
    </row>
    <row r="56" spans="2:14">
      <c r="B56">
        <v>3</v>
      </c>
      <c r="C56">
        <v>106</v>
      </c>
      <c r="D56">
        <v>3</v>
      </c>
      <c r="E56">
        <v>0</v>
      </c>
      <c r="F56">
        <v>-0.34631662794031071</v>
      </c>
      <c r="G56">
        <v>-0.17160698973241395</v>
      </c>
      <c r="H56">
        <v>-0.20583770826916245</v>
      </c>
      <c r="L56">
        <f t="shared" si="4"/>
        <v>106</v>
      </c>
      <c r="M56">
        <v>0.98</v>
      </c>
      <c r="N56">
        <f t="shared" si="5"/>
        <v>99.766351999999998</v>
      </c>
    </row>
    <row r="57" spans="2:14">
      <c r="B57">
        <v>1</v>
      </c>
      <c r="C57">
        <v>102</v>
      </c>
      <c r="D57">
        <v>1</v>
      </c>
      <c r="E57">
        <v>0</v>
      </c>
      <c r="F57">
        <v>0.14383644076174831</v>
      </c>
      <c r="G57">
        <v>-0.36325160202370493</v>
      </c>
      <c r="H57">
        <v>-0.18881213292051252</v>
      </c>
      <c r="L57">
        <f t="shared" si="4"/>
        <v>102</v>
      </c>
      <c r="M57">
        <v>0.98</v>
      </c>
      <c r="N57">
        <f t="shared" si="5"/>
        <v>99.96</v>
      </c>
    </row>
    <row r="58" spans="2:14">
      <c r="B58">
        <v>3</v>
      </c>
      <c r="C58">
        <v>106</v>
      </c>
      <c r="D58">
        <v>3</v>
      </c>
      <c r="E58">
        <v>0</v>
      </c>
      <c r="F58">
        <v>-1.849989880423367E-2</v>
      </c>
      <c r="G58">
        <v>-6.1333022258885685E-2</v>
      </c>
      <c r="H58">
        <v>-1.592354037927388E-2</v>
      </c>
      <c r="L58">
        <f t="shared" si="4"/>
        <v>106</v>
      </c>
      <c r="M58">
        <v>0.98</v>
      </c>
      <c r="N58">
        <f t="shared" si="5"/>
        <v>99.766351999999998</v>
      </c>
    </row>
    <row r="59" spans="2:14">
      <c r="B59">
        <v>3</v>
      </c>
      <c r="C59">
        <v>31.970772425512209</v>
      </c>
      <c r="D59">
        <v>2</v>
      </c>
      <c r="E59">
        <v>0</v>
      </c>
      <c r="F59">
        <v>-0.16767769700030946</v>
      </c>
      <c r="G59">
        <v>-0.38570020769402702</v>
      </c>
      <c r="H59">
        <v>-0.68029227574487794</v>
      </c>
      <c r="L59">
        <f t="shared" si="4"/>
        <v>31.970772425512209</v>
      </c>
      <c r="M59">
        <v>0.98</v>
      </c>
      <c r="N59">
        <f t="shared" si="5"/>
        <v>30.090635240712682</v>
      </c>
    </row>
    <row r="60" spans="2:14">
      <c r="B60">
        <v>3</v>
      </c>
      <c r="C60">
        <v>106</v>
      </c>
      <c r="D60">
        <v>3</v>
      </c>
      <c r="E60">
        <v>0</v>
      </c>
      <c r="F60">
        <v>-0.14523935901874083</v>
      </c>
      <c r="G60">
        <v>-0.1827328333837219</v>
      </c>
      <c r="H60">
        <v>-0.1040538067336136</v>
      </c>
      <c r="L60">
        <f t="shared" si="4"/>
        <v>106</v>
      </c>
      <c r="M60">
        <v>0.98</v>
      </c>
      <c r="N60">
        <f t="shared" si="5"/>
        <v>99.766351999999998</v>
      </c>
    </row>
    <row r="61" spans="2:14">
      <c r="B61">
        <v>1</v>
      </c>
      <c r="C61">
        <v>102</v>
      </c>
      <c r="D61">
        <v>1</v>
      </c>
      <c r="E61">
        <v>0</v>
      </c>
      <c r="F61">
        <v>2.066566717829784E-2</v>
      </c>
      <c r="G61">
        <v>-0.32745941467772177</v>
      </c>
      <c r="H61">
        <v>-0.2686603457254324</v>
      </c>
      <c r="L61">
        <f t="shared" si="4"/>
        <v>102</v>
      </c>
      <c r="M61">
        <v>0.98</v>
      </c>
      <c r="N61">
        <f t="shared" si="5"/>
        <v>99.96</v>
      </c>
    </row>
    <row r="62" spans="2:14">
      <c r="B62">
        <v>3</v>
      </c>
      <c r="C62">
        <v>106</v>
      </c>
      <c r="D62">
        <v>3</v>
      </c>
      <c r="E62">
        <v>0</v>
      </c>
      <c r="F62">
        <v>-0.17329497508359915</v>
      </c>
      <c r="G62">
        <v>-9.2329766539277908E-2</v>
      </c>
      <c r="H62">
        <v>-0.19770161706895958</v>
      </c>
      <c r="L62">
        <f t="shared" si="4"/>
        <v>106</v>
      </c>
      <c r="M62">
        <v>0.98</v>
      </c>
      <c r="N62">
        <f t="shared" si="5"/>
        <v>99.766351999999998</v>
      </c>
    </row>
    <row r="63" spans="2:14">
      <c r="B63">
        <v>3</v>
      </c>
      <c r="C63">
        <v>106</v>
      </c>
      <c r="D63">
        <v>3</v>
      </c>
      <c r="E63">
        <v>0</v>
      </c>
      <c r="F63">
        <v>-0.1304296504968234</v>
      </c>
      <c r="G63">
        <v>-0.14453326374496636</v>
      </c>
      <c r="H63">
        <v>-1.1558804281168341E-2</v>
      </c>
      <c r="L63">
        <f t="shared" si="4"/>
        <v>106</v>
      </c>
      <c r="M63">
        <v>0.98</v>
      </c>
      <c r="N63">
        <f t="shared" si="5"/>
        <v>99.766351999999998</v>
      </c>
    </row>
    <row r="64" spans="2:14">
      <c r="B64">
        <v>3</v>
      </c>
      <c r="C64">
        <v>53.081365152888907</v>
      </c>
      <c r="D64">
        <v>2</v>
      </c>
      <c r="E64">
        <v>0</v>
      </c>
      <c r="F64">
        <v>-2.0157920804476388E-2</v>
      </c>
      <c r="G64">
        <v>-0.20516216181063154</v>
      </c>
      <c r="H64">
        <v>-0.46918634847111096</v>
      </c>
      <c r="L64">
        <f t="shared" si="4"/>
        <v>53.081365152888907</v>
      </c>
      <c r="M64">
        <v>0.98</v>
      </c>
      <c r="N64">
        <f t="shared" si="5"/>
        <v>49.95975623097781</v>
      </c>
    </row>
    <row r="65" spans="2:14">
      <c r="B65">
        <v>3</v>
      </c>
      <c r="C65">
        <v>106</v>
      </c>
      <c r="D65">
        <v>3</v>
      </c>
      <c r="E65">
        <v>0</v>
      </c>
      <c r="F65">
        <v>-4.7122104373327207E-2</v>
      </c>
      <c r="G65">
        <v>-0.14969218751389826</v>
      </c>
      <c r="H65">
        <v>0.11340345276237478</v>
      </c>
      <c r="L65">
        <f t="shared" si="4"/>
        <v>106</v>
      </c>
      <c r="M65">
        <v>0.98</v>
      </c>
      <c r="N65">
        <f t="shared" si="5"/>
        <v>99.766351999999998</v>
      </c>
    </row>
    <row r="66" spans="2:14">
      <c r="B66">
        <v>3</v>
      </c>
      <c r="C66">
        <v>58.059084379690077</v>
      </c>
      <c r="D66">
        <v>2</v>
      </c>
      <c r="E66">
        <v>0</v>
      </c>
      <c r="F66">
        <v>-0.19746914344242894</v>
      </c>
      <c r="G66">
        <v>-0.29556114318105148</v>
      </c>
      <c r="H66">
        <v>-0.41940915620309926</v>
      </c>
      <c r="L66">
        <f t="shared" si="4"/>
        <v>58.059084379690077</v>
      </c>
      <c r="M66">
        <v>0.98</v>
      </c>
      <c r="N66">
        <f t="shared" si="5"/>
        <v>54.64474574548926</v>
      </c>
    </row>
    <row r="67" spans="2:14">
      <c r="B67">
        <v>3</v>
      </c>
      <c r="C67">
        <v>106</v>
      </c>
      <c r="D67">
        <v>3</v>
      </c>
      <c r="E67">
        <v>0</v>
      </c>
      <c r="F67">
        <v>-7.6154813439043623E-2</v>
      </c>
      <c r="G67">
        <v>-0.18780368263865874</v>
      </c>
      <c r="H67">
        <v>-0.33815460248750695</v>
      </c>
      <c r="L67">
        <f t="shared" si="4"/>
        <v>66.184539751249304</v>
      </c>
      <c r="M67">
        <v>0.98</v>
      </c>
      <c r="N67">
        <f t="shared" si="5"/>
        <v>62.292359337557826</v>
      </c>
    </row>
    <row r="68" spans="2:14">
      <c r="B68">
        <v>1</v>
      </c>
      <c r="C68">
        <v>102</v>
      </c>
      <c r="D68">
        <v>1</v>
      </c>
      <c r="E68">
        <v>0</v>
      </c>
      <c r="F68">
        <v>0.18399643308471925</v>
      </c>
      <c r="G68">
        <v>-0.23921930324683754</v>
      </c>
      <c r="H68">
        <v>-0.25531711025278886</v>
      </c>
      <c r="L68">
        <f t="shared" ref="L68:L101" si="6">IF(AND(H68&lt;-0.3,B68=3),MAX(100+H68*100,0),D68*0.02*100+100)</f>
        <v>102</v>
      </c>
      <c r="M68">
        <v>0.98</v>
      </c>
      <c r="N68">
        <f t="shared" ref="N68:N101" si="7">L68*M68^B68</f>
        <v>99.96</v>
      </c>
    </row>
    <row r="69" spans="2:14">
      <c r="B69">
        <v>1</v>
      </c>
      <c r="C69">
        <v>102</v>
      </c>
      <c r="D69">
        <v>1</v>
      </c>
      <c r="E69">
        <v>0</v>
      </c>
      <c r="F69">
        <v>0.18714598643225983</v>
      </c>
      <c r="G69">
        <v>1.7959542316797878E-2</v>
      </c>
      <c r="H69">
        <v>-0.1961157845889607</v>
      </c>
      <c r="L69">
        <f t="shared" si="6"/>
        <v>102</v>
      </c>
      <c r="M69">
        <v>0.98</v>
      </c>
      <c r="N69">
        <f t="shared" si="7"/>
        <v>99.96</v>
      </c>
    </row>
    <row r="70" spans="2:14">
      <c r="B70">
        <v>3</v>
      </c>
      <c r="C70">
        <v>56.291330266055489</v>
      </c>
      <c r="D70">
        <v>1</v>
      </c>
      <c r="E70">
        <v>0</v>
      </c>
      <c r="F70">
        <v>-7.0199704331705831E-2</v>
      </c>
      <c r="G70">
        <v>-0.42572898864575104</v>
      </c>
      <c r="H70">
        <v>-0.43708669733944511</v>
      </c>
      <c r="L70">
        <f t="shared" si="6"/>
        <v>56.291330266055489</v>
      </c>
      <c r="M70">
        <v>0.98</v>
      </c>
      <c r="N70">
        <f t="shared" si="7"/>
        <v>52.980949715769292</v>
      </c>
    </row>
    <row r="71" spans="2:14">
      <c r="B71">
        <v>3</v>
      </c>
      <c r="C71">
        <v>106</v>
      </c>
      <c r="D71">
        <v>3</v>
      </c>
      <c r="E71">
        <v>0</v>
      </c>
      <c r="F71">
        <v>-3.5211195315550171E-3</v>
      </c>
      <c r="G71">
        <v>-0.21012040390104508</v>
      </c>
      <c r="H71">
        <v>-0.28300017256212934</v>
      </c>
      <c r="L71">
        <f t="shared" si="6"/>
        <v>106</v>
      </c>
      <c r="M71">
        <v>0.98</v>
      </c>
      <c r="N71">
        <f t="shared" si="7"/>
        <v>99.766351999999998</v>
      </c>
    </row>
    <row r="72" spans="2:14">
      <c r="B72">
        <v>1</v>
      </c>
      <c r="C72">
        <v>102</v>
      </c>
      <c r="D72">
        <v>1</v>
      </c>
      <c r="E72">
        <v>0</v>
      </c>
      <c r="F72">
        <v>0.12184566615983833</v>
      </c>
      <c r="G72">
        <v>-1.4480221206477616E-2</v>
      </c>
      <c r="H72">
        <v>-0.19847132630814543</v>
      </c>
      <c r="L72">
        <f t="shared" si="6"/>
        <v>102</v>
      </c>
      <c r="M72">
        <v>0.98</v>
      </c>
      <c r="N72">
        <f t="shared" si="7"/>
        <v>99.96</v>
      </c>
    </row>
    <row r="73" spans="2:14">
      <c r="B73">
        <v>3</v>
      </c>
      <c r="C73">
        <v>35.723245230409276</v>
      </c>
      <c r="D73">
        <v>1</v>
      </c>
      <c r="E73">
        <v>0</v>
      </c>
      <c r="F73">
        <v>-9.1975059113605026E-2</v>
      </c>
      <c r="G73">
        <v>-0.63033630887234848</v>
      </c>
      <c r="H73">
        <v>-0.64276754769590727</v>
      </c>
      <c r="L73">
        <f t="shared" si="6"/>
        <v>35.723245230409276</v>
      </c>
      <c r="M73">
        <v>0.98</v>
      </c>
      <c r="N73">
        <f t="shared" si="7"/>
        <v>33.622432624899368</v>
      </c>
    </row>
    <row r="74" spans="2:14">
      <c r="B74">
        <v>1</v>
      </c>
      <c r="C74">
        <v>102</v>
      </c>
      <c r="D74">
        <v>1</v>
      </c>
      <c r="E74">
        <v>0</v>
      </c>
      <c r="F74">
        <v>7.1358580174261957E-2</v>
      </c>
      <c r="G74">
        <v>-9.1123967296591168E-2</v>
      </c>
      <c r="H74">
        <v>-0.1573385678351846</v>
      </c>
      <c r="L74">
        <f t="shared" si="6"/>
        <v>102</v>
      </c>
      <c r="M74">
        <v>0.98</v>
      </c>
      <c r="N74">
        <f t="shared" si="7"/>
        <v>99.96</v>
      </c>
    </row>
    <row r="75" spans="2:14">
      <c r="B75">
        <v>3</v>
      </c>
      <c r="C75">
        <v>57.949444026459354</v>
      </c>
      <c r="D75">
        <v>2</v>
      </c>
      <c r="E75">
        <v>0</v>
      </c>
      <c r="F75">
        <v>-0.10086977852879922</v>
      </c>
      <c r="G75">
        <v>-0.23921218596556787</v>
      </c>
      <c r="H75">
        <v>-0.42050555973540643</v>
      </c>
      <c r="L75">
        <f t="shared" si="6"/>
        <v>57.949444026459354</v>
      </c>
      <c r="M75">
        <v>0.98</v>
      </c>
      <c r="N75">
        <f t="shared" si="7"/>
        <v>54.541553122151328</v>
      </c>
    </row>
    <row r="76" spans="2:14">
      <c r="B76">
        <v>1</v>
      </c>
      <c r="C76">
        <v>102</v>
      </c>
      <c r="D76">
        <v>1</v>
      </c>
      <c r="E76">
        <v>0</v>
      </c>
      <c r="F76">
        <v>0.10975319520296889</v>
      </c>
      <c r="G76">
        <v>-4.5480382771842742E-2</v>
      </c>
      <c r="H76">
        <v>5.1981394702563126E-2</v>
      </c>
      <c r="L76">
        <f t="shared" si="6"/>
        <v>102</v>
      </c>
      <c r="M76">
        <v>0.98</v>
      </c>
      <c r="N76">
        <f t="shared" si="7"/>
        <v>99.96</v>
      </c>
    </row>
    <row r="77" spans="2:14">
      <c r="B77">
        <v>3</v>
      </c>
      <c r="C77">
        <v>106</v>
      </c>
      <c r="D77">
        <v>3</v>
      </c>
      <c r="E77">
        <v>0</v>
      </c>
      <c r="F77">
        <v>-0.19350571215790466</v>
      </c>
      <c r="G77">
        <v>-0.27835963308670425</v>
      </c>
      <c r="H77">
        <v>-0.37753452967728018</v>
      </c>
      <c r="L77">
        <f t="shared" si="6"/>
        <v>62.246547032271984</v>
      </c>
      <c r="M77">
        <v>0.98</v>
      </c>
      <c r="N77">
        <f t="shared" si="7"/>
        <v>58.585952094398131</v>
      </c>
    </row>
    <row r="78" spans="2:14">
      <c r="B78">
        <v>1</v>
      </c>
      <c r="C78">
        <v>102</v>
      </c>
      <c r="D78">
        <v>1</v>
      </c>
      <c r="E78">
        <v>0</v>
      </c>
      <c r="F78">
        <v>2.5457868584539051E-2</v>
      </c>
      <c r="G78">
        <v>9.8754968054263897E-3</v>
      </c>
      <c r="H78">
        <v>-0.29653161910011777</v>
      </c>
      <c r="L78">
        <f t="shared" si="6"/>
        <v>102</v>
      </c>
      <c r="M78">
        <v>0.98</v>
      </c>
      <c r="N78">
        <f t="shared" si="7"/>
        <v>99.96</v>
      </c>
    </row>
    <row r="79" spans="2:14">
      <c r="B79">
        <v>3</v>
      </c>
      <c r="C79">
        <v>48.624650234102305</v>
      </c>
      <c r="D79">
        <v>2</v>
      </c>
      <c r="E79">
        <v>0</v>
      </c>
      <c r="F79">
        <v>-0.19113164957900328</v>
      </c>
      <c r="G79">
        <v>-0.14049944011891946</v>
      </c>
      <c r="H79">
        <v>-0.51375349765897693</v>
      </c>
      <c r="L79">
        <f t="shared" si="6"/>
        <v>48.624650234102305</v>
      </c>
      <c r="M79">
        <v>0.98</v>
      </c>
      <c r="N79">
        <f t="shared" si="7"/>
        <v>45.765131803135212</v>
      </c>
    </row>
    <row r="80" spans="2:14">
      <c r="B80">
        <v>3</v>
      </c>
      <c r="C80">
        <v>104</v>
      </c>
      <c r="D80">
        <v>2</v>
      </c>
      <c r="E80">
        <v>0</v>
      </c>
      <c r="F80">
        <v>-8.9237756978288632E-2</v>
      </c>
      <c r="G80">
        <v>-0.43555438491859921</v>
      </c>
      <c r="H80">
        <v>-0.26084474671070235</v>
      </c>
      <c r="L80">
        <f t="shared" si="6"/>
        <v>104</v>
      </c>
      <c r="M80">
        <v>0.98</v>
      </c>
      <c r="N80">
        <f t="shared" si="7"/>
        <v>97.883967999999996</v>
      </c>
    </row>
    <row r="81" spans="2:14">
      <c r="B81">
        <v>3</v>
      </c>
      <c r="C81">
        <v>106</v>
      </c>
      <c r="D81">
        <v>3</v>
      </c>
      <c r="E81">
        <v>0</v>
      </c>
      <c r="F81">
        <v>-0.14022055823478963</v>
      </c>
      <c r="G81">
        <v>3.6158825269585475E-3</v>
      </c>
      <c r="H81">
        <v>-5.3698052908944249E-2</v>
      </c>
      <c r="L81">
        <f t="shared" si="6"/>
        <v>106</v>
      </c>
      <c r="M81">
        <v>0.98</v>
      </c>
      <c r="N81">
        <f t="shared" si="7"/>
        <v>99.766351999999998</v>
      </c>
    </row>
    <row r="82" spans="2:14">
      <c r="B82">
        <v>1</v>
      </c>
      <c r="C82">
        <v>102</v>
      </c>
      <c r="D82">
        <v>1</v>
      </c>
      <c r="E82">
        <v>0</v>
      </c>
      <c r="F82">
        <v>6.6560738670033313E-3</v>
      </c>
      <c r="G82">
        <v>-0.374747032770536</v>
      </c>
      <c r="H82">
        <v>-3.5381869398477178E-2</v>
      </c>
      <c r="L82">
        <f t="shared" si="6"/>
        <v>102</v>
      </c>
      <c r="M82">
        <v>0.98</v>
      </c>
      <c r="N82">
        <f t="shared" si="7"/>
        <v>99.96</v>
      </c>
    </row>
    <row r="83" spans="2:14">
      <c r="B83">
        <v>3</v>
      </c>
      <c r="C83">
        <v>48.750144506159309</v>
      </c>
      <c r="D83">
        <v>2</v>
      </c>
      <c r="E83">
        <v>0</v>
      </c>
      <c r="F83">
        <v>-0.12679834724437997</v>
      </c>
      <c r="G83">
        <v>-0.29447604424468943</v>
      </c>
      <c r="H83">
        <v>-0.5124985549384069</v>
      </c>
      <c r="L83">
        <f t="shared" si="6"/>
        <v>48.750144506159309</v>
      </c>
      <c r="M83">
        <v>0.98</v>
      </c>
      <c r="N83">
        <f t="shared" si="7"/>
        <v>45.883246008041091</v>
      </c>
    </row>
    <row r="84" spans="2:14">
      <c r="B84">
        <v>1</v>
      </c>
      <c r="C84">
        <v>102</v>
      </c>
      <c r="D84">
        <v>1</v>
      </c>
      <c r="E84">
        <v>0</v>
      </c>
      <c r="F84">
        <v>6.0090118750110451E-2</v>
      </c>
      <c r="G84">
        <v>-0.41534093653724591</v>
      </c>
      <c r="H84">
        <v>-0.50051893171612238</v>
      </c>
      <c r="L84">
        <f t="shared" si="6"/>
        <v>102</v>
      </c>
      <c r="M84">
        <v>0.98</v>
      </c>
      <c r="N84">
        <f t="shared" si="7"/>
        <v>99.96</v>
      </c>
    </row>
    <row r="85" spans="2:14">
      <c r="B85">
        <v>3</v>
      </c>
      <c r="C85">
        <v>106</v>
      </c>
      <c r="D85">
        <v>3</v>
      </c>
      <c r="E85">
        <v>0</v>
      </c>
      <c r="F85">
        <v>-7.4516148451052283E-2</v>
      </c>
      <c r="G85">
        <v>-5.3850481272754505E-2</v>
      </c>
      <c r="H85">
        <v>-4.830618440330111E-2</v>
      </c>
      <c r="L85">
        <f t="shared" si="6"/>
        <v>106</v>
      </c>
      <c r="M85">
        <v>0.98</v>
      </c>
      <c r="N85">
        <f t="shared" si="7"/>
        <v>99.766351999999998</v>
      </c>
    </row>
    <row r="86" spans="2:14">
      <c r="B86">
        <v>1</v>
      </c>
      <c r="C86">
        <v>102</v>
      </c>
      <c r="D86">
        <v>1</v>
      </c>
      <c r="E86">
        <v>0</v>
      </c>
      <c r="F86">
        <v>1.0146247933618603E-2</v>
      </c>
      <c r="G86">
        <v>-6.2772094809749712E-2</v>
      </c>
      <c r="H86">
        <v>-5.1845578253771063E-2</v>
      </c>
      <c r="L86">
        <f t="shared" si="6"/>
        <v>102</v>
      </c>
      <c r="M86">
        <v>0.98</v>
      </c>
      <c r="N86">
        <f t="shared" si="7"/>
        <v>99.96</v>
      </c>
    </row>
    <row r="87" spans="2:14">
      <c r="B87">
        <v>1</v>
      </c>
      <c r="C87">
        <v>102</v>
      </c>
      <c r="D87">
        <v>1</v>
      </c>
      <c r="E87">
        <v>0</v>
      </c>
      <c r="F87">
        <v>6.3528523334513226E-2</v>
      </c>
      <c r="G87">
        <v>-0.17333264578062035</v>
      </c>
      <c r="H87">
        <v>6.2476719240247364E-2</v>
      </c>
      <c r="L87">
        <f t="shared" si="6"/>
        <v>102</v>
      </c>
      <c r="M87">
        <v>0.98</v>
      </c>
      <c r="N87">
        <f t="shared" si="7"/>
        <v>99.96</v>
      </c>
    </row>
    <row r="88" spans="2:14">
      <c r="B88">
        <v>1</v>
      </c>
      <c r="C88">
        <v>102</v>
      </c>
      <c r="D88">
        <v>1</v>
      </c>
      <c r="E88">
        <v>0</v>
      </c>
      <c r="F88">
        <v>2.7290950877668928E-2</v>
      </c>
      <c r="G88">
        <v>-0.15295414331755783</v>
      </c>
      <c r="H88">
        <v>-0.49546777268847986</v>
      </c>
      <c r="L88">
        <f t="shared" si="6"/>
        <v>102</v>
      </c>
      <c r="M88">
        <v>0.98</v>
      </c>
      <c r="N88">
        <f t="shared" si="7"/>
        <v>99.96</v>
      </c>
    </row>
    <row r="89" spans="2:14">
      <c r="B89">
        <v>1</v>
      </c>
      <c r="C89">
        <v>102</v>
      </c>
      <c r="D89">
        <v>1</v>
      </c>
      <c r="E89">
        <v>0</v>
      </c>
      <c r="F89">
        <v>0.16762685976170838</v>
      </c>
      <c r="G89">
        <v>-0.60926687274249314</v>
      </c>
      <c r="H89">
        <v>-0.62524101761184991</v>
      </c>
      <c r="L89">
        <f t="shared" si="6"/>
        <v>102</v>
      </c>
      <c r="M89">
        <v>0.98</v>
      </c>
      <c r="N89">
        <f t="shared" si="7"/>
        <v>99.96</v>
      </c>
    </row>
    <row r="90" spans="2:14">
      <c r="B90">
        <v>3</v>
      </c>
      <c r="C90">
        <v>54.018062843344111</v>
      </c>
      <c r="D90">
        <v>2</v>
      </c>
      <c r="E90">
        <v>0</v>
      </c>
      <c r="F90">
        <v>-0.16425822838550758</v>
      </c>
      <c r="G90">
        <v>-0.36172737182793652</v>
      </c>
      <c r="H90">
        <v>-0.45981937156655889</v>
      </c>
      <c r="L90">
        <f t="shared" si="6"/>
        <v>54.018062843344111</v>
      </c>
      <c r="M90">
        <v>0.98</v>
      </c>
      <c r="N90">
        <f t="shared" si="7"/>
        <v>50.841368603652725</v>
      </c>
    </row>
    <row r="91" spans="2:14">
      <c r="B91">
        <v>3</v>
      </c>
      <c r="C91">
        <v>106</v>
      </c>
      <c r="D91">
        <v>3</v>
      </c>
      <c r="E91">
        <v>0</v>
      </c>
      <c r="F91">
        <v>-4.1791751999910899E-2</v>
      </c>
      <c r="G91">
        <v>-0.11794656543895447</v>
      </c>
      <c r="H91">
        <v>-0.2295954346385696</v>
      </c>
      <c r="L91">
        <f t="shared" si="6"/>
        <v>106</v>
      </c>
      <c r="M91">
        <v>0.98</v>
      </c>
      <c r="N91">
        <f t="shared" si="7"/>
        <v>99.766351999999998</v>
      </c>
    </row>
    <row r="92" spans="2:14">
      <c r="B92">
        <v>1</v>
      </c>
      <c r="C92">
        <v>102</v>
      </c>
      <c r="D92">
        <v>1</v>
      </c>
      <c r="E92">
        <v>0</v>
      </c>
      <c r="F92">
        <v>1.9513190226190594E-2</v>
      </c>
      <c r="G92">
        <v>-0.27543152870823145</v>
      </c>
      <c r="H92">
        <v>-0.26426790335590827</v>
      </c>
      <c r="L92">
        <f t="shared" si="6"/>
        <v>102</v>
      </c>
      <c r="M92">
        <v>0.98</v>
      </c>
      <c r="N92">
        <f t="shared" si="7"/>
        <v>99.96</v>
      </c>
    </row>
    <row r="93" spans="2:14">
      <c r="B93">
        <v>1</v>
      </c>
      <c r="C93">
        <v>102</v>
      </c>
      <c r="D93">
        <v>1</v>
      </c>
      <c r="E93">
        <v>0</v>
      </c>
      <c r="F93">
        <v>3.2183016909887487E-2</v>
      </c>
      <c r="G93">
        <v>-7.3337485271004199E-2</v>
      </c>
      <c r="H93">
        <v>-1.149995186490524E-3</v>
      </c>
      <c r="L93">
        <f t="shared" si="6"/>
        <v>102</v>
      </c>
      <c r="M93">
        <v>0.98</v>
      </c>
      <c r="N93">
        <f t="shared" si="7"/>
        <v>99.96</v>
      </c>
    </row>
    <row r="94" spans="2:14">
      <c r="B94">
        <v>1</v>
      </c>
      <c r="C94">
        <v>102</v>
      </c>
      <c r="D94">
        <v>1</v>
      </c>
      <c r="E94">
        <v>0</v>
      </c>
      <c r="F94">
        <v>0.13829541855223387</v>
      </c>
      <c r="G94">
        <v>-0.13404150910986742</v>
      </c>
      <c r="H94">
        <v>-0.30395831520388294</v>
      </c>
      <c r="L94">
        <f t="shared" si="6"/>
        <v>102</v>
      </c>
      <c r="M94">
        <v>0.98</v>
      </c>
      <c r="N94">
        <f t="shared" si="7"/>
        <v>99.96</v>
      </c>
    </row>
    <row r="95" spans="2:14">
      <c r="B95">
        <v>3</v>
      </c>
      <c r="C95">
        <v>106</v>
      </c>
      <c r="D95">
        <v>3</v>
      </c>
      <c r="E95">
        <v>0</v>
      </c>
      <c r="F95">
        <v>-0.11914910589136249</v>
      </c>
      <c r="G95">
        <v>-0.12267022542291756</v>
      </c>
      <c r="H95">
        <v>-0.32926950979240766</v>
      </c>
      <c r="L95">
        <f t="shared" si="6"/>
        <v>67.073049020759242</v>
      </c>
      <c r="M95">
        <v>0.98</v>
      </c>
      <c r="N95">
        <f t="shared" si="7"/>
        <v>63.128617153946429</v>
      </c>
    </row>
    <row r="96" spans="2:14">
      <c r="B96">
        <v>3</v>
      </c>
      <c r="C96">
        <v>106</v>
      </c>
      <c r="D96">
        <v>3</v>
      </c>
      <c r="E96">
        <v>0</v>
      </c>
      <c r="F96">
        <v>-0.16633641201961621</v>
      </c>
      <c r="G96">
        <v>-4.4490745859777914E-2</v>
      </c>
      <c r="H96">
        <v>1.1476698635791859E-2</v>
      </c>
      <c r="L96">
        <f t="shared" si="6"/>
        <v>106</v>
      </c>
      <c r="M96">
        <v>0.98</v>
      </c>
      <c r="N96">
        <f t="shared" si="7"/>
        <v>99.766351999999998</v>
      </c>
    </row>
    <row r="97" spans="2:14">
      <c r="B97">
        <v>1</v>
      </c>
      <c r="C97">
        <v>102</v>
      </c>
      <c r="D97">
        <v>1</v>
      </c>
      <c r="E97">
        <v>0</v>
      </c>
      <c r="F97">
        <v>8.4776150666000236E-2</v>
      </c>
      <c r="G97">
        <v>-0.26931338117573228</v>
      </c>
      <c r="H97">
        <v>-0.38591570981350676</v>
      </c>
      <c r="L97">
        <f t="shared" si="6"/>
        <v>102</v>
      </c>
      <c r="M97">
        <v>0.98</v>
      </c>
      <c r="N97">
        <f t="shared" si="7"/>
        <v>99.96</v>
      </c>
    </row>
    <row r="98" spans="2:14">
      <c r="B98">
        <v>1</v>
      </c>
      <c r="C98">
        <v>102</v>
      </c>
      <c r="D98">
        <v>1</v>
      </c>
      <c r="E98">
        <v>0</v>
      </c>
      <c r="F98">
        <v>0.10705978058133717</v>
      </c>
      <c r="G98">
        <v>-0.19847699259166257</v>
      </c>
      <c r="H98">
        <v>-5.1835896676827635E-2</v>
      </c>
      <c r="L98">
        <f t="shared" si="6"/>
        <v>102</v>
      </c>
      <c r="M98">
        <v>0.98</v>
      </c>
      <c r="N98">
        <f t="shared" si="7"/>
        <v>99.96</v>
      </c>
    </row>
    <row r="99" spans="2:14">
      <c r="B99">
        <v>3</v>
      </c>
      <c r="C99">
        <v>106</v>
      </c>
      <c r="D99">
        <v>3</v>
      </c>
      <c r="E99">
        <v>0</v>
      </c>
      <c r="F99">
        <v>-6.5895961340603867E-2</v>
      </c>
      <c r="G99">
        <v>-0.16676573986940316</v>
      </c>
      <c r="H99">
        <v>-0.30510814730617181</v>
      </c>
      <c r="L99">
        <f t="shared" si="6"/>
        <v>69.489185269382816</v>
      </c>
      <c r="M99">
        <v>0.98</v>
      </c>
      <c r="N99">
        <f t="shared" si="7"/>
        <v>65.40266526206095</v>
      </c>
    </row>
    <row r="100" spans="2:14">
      <c r="B100">
        <v>3</v>
      </c>
      <c r="C100">
        <v>106</v>
      </c>
      <c r="D100">
        <v>3</v>
      </c>
      <c r="E100">
        <v>0</v>
      </c>
      <c r="F100">
        <v>-1.6838195997967421E-2</v>
      </c>
      <c r="G100">
        <v>9.2914999205001431E-2</v>
      </c>
      <c r="H100">
        <v>-1.4172583927050092E-2</v>
      </c>
      <c r="L100">
        <f t="shared" si="6"/>
        <v>106</v>
      </c>
      <c r="M100">
        <v>0.98</v>
      </c>
      <c r="N100">
        <f t="shared" si="7"/>
        <v>99.766351999999998</v>
      </c>
    </row>
    <row r="101" spans="2:14">
      <c r="B101">
        <v>1</v>
      </c>
      <c r="C101">
        <v>102</v>
      </c>
      <c r="D101">
        <v>1</v>
      </c>
      <c r="E101">
        <v>0</v>
      </c>
      <c r="F101">
        <v>0.22462261160777125</v>
      </c>
      <c r="G101">
        <v>-0.37013630943294928</v>
      </c>
      <c r="H101">
        <v>-4.8954560015256707E-2</v>
      </c>
      <c r="L101">
        <f t="shared" si="6"/>
        <v>102</v>
      </c>
      <c r="M101">
        <v>0.98</v>
      </c>
      <c r="N101">
        <f t="shared" si="7"/>
        <v>99.96</v>
      </c>
    </row>
    <row r="102" spans="2:14">
      <c r="B102">
        <v>3</v>
      </c>
      <c r="C102">
        <v>106</v>
      </c>
      <c r="D102">
        <v>3</v>
      </c>
      <c r="E102">
        <v>0</v>
      </c>
      <c r="F102">
        <v>-0.24504568680752861</v>
      </c>
      <c r="G102">
        <v>-0.21958781822298948</v>
      </c>
      <c r="H102">
        <v>-0.37515197632744435</v>
      </c>
    </row>
    <row r="103" spans="2:14">
      <c r="B103">
        <v>1</v>
      </c>
      <c r="C103">
        <v>102</v>
      </c>
      <c r="D103">
        <v>1</v>
      </c>
      <c r="E103">
        <v>0</v>
      </c>
      <c r="F103">
        <v>0.16351304762938013</v>
      </c>
      <c r="G103">
        <v>-0.29749961757931187</v>
      </c>
      <c r="H103">
        <v>-0.49057395901804246</v>
      </c>
    </row>
    <row r="104" spans="2:14">
      <c r="B104">
        <v>3</v>
      </c>
      <c r="C104">
        <v>51.998754338260831</v>
      </c>
      <c r="D104">
        <v>2</v>
      </c>
      <c r="E104">
        <v>0</v>
      </c>
      <c r="F104">
        <v>-4.4458071698792297E-2</v>
      </c>
      <c r="G104">
        <v>-0.13369582867708099</v>
      </c>
      <c r="H104">
        <v>-0.48001245661739167</v>
      </c>
    </row>
    <row r="105" spans="2:14">
      <c r="B105">
        <v>3</v>
      </c>
      <c r="C105">
        <v>106</v>
      </c>
      <c r="D105">
        <v>3</v>
      </c>
      <c r="E105">
        <v>0</v>
      </c>
      <c r="F105">
        <v>-8.1549683005303394E-2</v>
      </c>
      <c r="G105">
        <v>-0.22177024124009301</v>
      </c>
      <c r="H105">
        <v>-7.793380047834475E-2</v>
      </c>
    </row>
    <row r="106" spans="2:14">
      <c r="B106">
        <v>3</v>
      </c>
      <c r="C106">
        <v>106</v>
      </c>
      <c r="D106">
        <v>3</v>
      </c>
      <c r="E106">
        <v>0</v>
      </c>
      <c r="F106">
        <v>-7.7205729909595622E-2</v>
      </c>
      <c r="G106">
        <v>-7.0549656042592321E-2</v>
      </c>
      <c r="H106">
        <v>-8.9049554846826168E-2</v>
      </c>
    </row>
    <row r="107" spans="2:14">
      <c r="B107">
        <v>3</v>
      </c>
      <c r="C107">
        <v>106</v>
      </c>
      <c r="D107">
        <v>3</v>
      </c>
      <c r="E107">
        <v>0</v>
      </c>
      <c r="F107">
        <v>-9.0305207155975148E-2</v>
      </c>
      <c r="G107">
        <v>-0.21710355440035517</v>
      </c>
      <c r="H107">
        <v>-0.3847812514006646</v>
      </c>
    </row>
    <row r="108" spans="2:14">
      <c r="B108">
        <v>3</v>
      </c>
      <c r="C108">
        <v>106</v>
      </c>
      <c r="D108">
        <v>3</v>
      </c>
      <c r="E108">
        <v>0</v>
      </c>
      <c r="F108">
        <v>-5.1407080214830723E-2</v>
      </c>
      <c r="G108">
        <v>8.6830385352797985E-3</v>
      </c>
      <c r="H108">
        <v>-0.13655632048346103</v>
      </c>
    </row>
    <row r="109" spans="2:14">
      <c r="B109">
        <v>3</v>
      </c>
      <c r="C109">
        <v>106</v>
      </c>
      <c r="D109">
        <v>3</v>
      </c>
      <c r="E109">
        <v>0</v>
      </c>
      <c r="F109">
        <v>-0.17906499427738548</v>
      </c>
      <c r="G109">
        <v>-0.25358114272843785</v>
      </c>
      <c r="H109">
        <v>-0.23291547555013986</v>
      </c>
    </row>
    <row r="110" spans="2:14">
      <c r="B110">
        <v>3</v>
      </c>
      <c r="C110">
        <v>106</v>
      </c>
      <c r="D110">
        <v>3</v>
      </c>
      <c r="E110">
        <v>0</v>
      </c>
      <c r="F110">
        <v>-0.11625858253383797</v>
      </c>
      <c r="G110">
        <v>-0.10611233460021947</v>
      </c>
      <c r="H110">
        <v>-0.27940730968381866</v>
      </c>
    </row>
    <row r="111" spans="2:14">
      <c r="B111">
        <v>3</v>
      </c>
      <c r="C111">
        <v>106</v>
      </c>
      <c r="D111">
        <v>3</v>
      </c>
      <c r="E111">
        <v>0</v>
      </c>
      <c r="F111">
        <v>-5.8937216890277561E-2</v>
      </c>
      <c r="G111">
        <v>4.5913064442358702E-3</v>
      </c>
      <c r="H111">
        <v>-0.12583834405258765</v>
      </c>
    </row>
    <row r="112" spans="2:14">
      <c r="B112">
        <v>1</v>
      </c>
      <c r="C112">
        <v>102</v>
      </c>
      <c r="D112">
        <v>1</v>
      </c>
      <c r="E112">
        <v>0</v>
      </c>
      <c r="F112">
        <v>8.3279011683944457E-2</v>
      </c>
      <c r="G112">
        <v>-0.26255772603138783</v>
      </c>
      <c r="H112">
        <v>-0.36762012856402221</v>
      </c>
    </row>
    <row r="113" spans="2:8">
      <c r="B113">
        <v>3</v>
      </c>
      <c r="C113">
        <v>106</v>
      </c>
      <c r="D113">
        <v>3</v>
      </c>
      <c r="E113">
        <v>0</v>
      </c>
      <c r="F113">
        <v>-0.12860911121187169</v>
      </c>
      <c r="G113">
        <v>3.9017748549836632E-2</v>
      </c>
      <c r="H113">
        <v>-8.1043558234905038E-3</v>
      </c>
    </row>
    <row r="114" spans="2:8">
      <c r="B114">
        <v>3</v>
      </c>
      <c r="C114">
        <v>50.298618794033345</v>
      </c>
      <c r="D114">
        <v>2</v>
      </c>
      <c r="E114">
        <v>0</v>
      </c>
      <c r="F114">
        <v>-0.13528644023173</v>
      </c>
      <c r="G114">
        <v>-0.29954466861723761</v>
      </c>
      <c r="H114">
        <v>-0.49701381205966655</v>
      </c>
    </row>
    <row r="115" spans="2:8">
      <c r="B115">
        <v>3</v>
      </c>
      <c r="C115">
        <v>106</v>
      </c>
      <c r="D115">
        <v>3</v>
      </c>
      <c r="E115">
        <v>0</v>
      </c>
      <c r="F115">
        <v>-6.9119383509543648E-3</v>
      </c>
      <c r="G115">
        <v>-4.8703690350865199E-2</v>
      </c>
      <c r="H115">
        <v>-0.12485850378990875</v>
      </c>
    </row>
    <row r="116" spans="2:8">
      <c r="B116">
        <v>3</v>
      </c>
      <c r="C116">
        <v>106</v>
      </c>
      <c r="D116">
        <v>3</v>
      </c>
      <c r="E116">
        <v>0</v>
      </c>
      <c r="F116">
        <v>-8.591501002643108E-2</v>
      </c>
      <c r="G116">
        <v>-6.6401819800240458E-2</v>
      </c>
      <c r="H116">
        <v>0.11759461328447875</v>
      </c>
    </row>
    <row r="117" spans="2:8">
      <c r="B117">
        <v>3</v>
      </c>
      <c r="C117">
        <v>106</v>
      </c>
      <c r="D117">
        <v>3</v>
      </c>
      <c r="E117">
        <v>0</v>
      </c>
      <c r="F117">
        <v>-6.426874736580597E-2</v>
      </c>
      <c r="G117">
        <v>-3.208573045591856E-2</v>
      </c>
      <c r="H117">
        <v>0.15506025597634127</v>
      </c>
    </row>
    <row r="118" spans="2:8">
      <c r="B118">
        <v>3</v>
      </c>
      <c r="C118">
        <v>106</v>
      </c>
      <c r="D118">
        <v>3</v>
      </c>
      <c r="E118">
        <v>0</v>
      </c>
      <c r="F118">
        <v>-0.13160107669864785</v>
      </c>
      <c r="G118">
        <v>6.6943418535860442E-3</v>
      </c>
      <c r="H118">
        <v>-6.3505362478119762E-2</v>
      </c>
    </row>
    <row r="119" spans="2:8">
      <c r="B119">
        <v>1</v>
      </c>
      <c r="C119">
        <v>102</v>
      </c>
      <c r="D119">
        <v>1</v>
      </c>
      <c r="E119">
        <v>0</v>
      </c>
      <c r="F119">
        <v>7.7228629841801788E-2</v>
      </c>
      <c r="G119">
        <v>-0.14327410145586866</v>
      </c>
      <c r="H119">
        <v>-0.26387479144254239</v>
      </c>
    </row>
    <row r="120" spans="2:8">
      <c r="B120">
        <v>3</v>
      </c>
      <c r="C120">
        <v>106</v>
      </c>
      <c r="D120">
        <v>3</v>
      </c>
      <c r="E120">
        <v>0</v>
      </c>
      <c r="F120">
        <v>-0.11450683241663</v>
      </c>
      <c r="G120">
        <v>-0.28084324443624614</v>
      </c>
      <c r="H120">
        <v>-0.15899757827640787</v>
      </c>
    </row>
    <row r="121" spans="2:8">
      <c r="B121">
        <v>1</v>
      </c>
      <c r="C121">
        <v>102</v>
      </c>
      <c r="D121">
        <v>1</v>
      </c>
      <c r="E121">
        <v>0</v>
      </c>
      <c r="F121">
        <v>0.19763144350695613</v>
      </c>
      <c r="G121">
        <v>-0.32678340036047426</v>
      </c>
      <c r="H121">
        <v>-0.532917645167716</v>
      </c>
    </row>
    <row r="122" spans="2:8">
      <c r="B122">
        <v>1</v>
      </c>
      <c r="C122">
        <v>102</v>
      </c>
      <c r="D122">
        <v>1</v>
      </c>
      <c r="E122">
        <v>0</v>
      </c>
      <c r="F122">
        <v>0.15328537393123731</v>
      </c>
      <c r="G122">
        <v>-0.17483634787306412</v>
      </c>
      <c r="H122">
        <v>-0.39060298165636065</v>
      </c>
    </row>
    <row r="123" spans="2:8">
      <c r="B123">
        <v>3</v>
      </c>
      <c r="C123">
        <v>106</v>
      </c>
      <c r="D123">
        <v>3</v>
      </c>
      <c r="E123">
        <v>0</v>
      </c>
      <c r="F123">
        <v>-3.1548689914953194E-2</v>
      </c>
      <c r="G123">
        <v>-9.7444651255557166E-2</v>
      </c>
      <c r="H123">
        <v>-0.19831442978435632</v>
      </c>
    </row>
    <row r="124" spans="2:8">
      <c r="B124">
        <v>3</v>
      </c>
      <c r="C124">
        <v>106</v>
      </c>
      <c r="D124">
        <v>3</v>
      </c>
      <c r="E124">
        <v>0</v>
      </c>
      <c r="F124">
        <v>-0.12206148224114632</v>
      </c>
      <c r="G124">
        <v>-0.13889967823911378</v>
      </c>
      <c r="H124">
        <v>-2.91464830361449E-2</v>
      </c>
    </row>
    <row r="125" spans="2:8">
      <c r="B125">
        <v>1</v>
      </c>
      <c r="C125">
        <v>102</v>
      </c>
      <c r="D125">
        <v>1</v>
      </c>
      <c r="E125">
        <v>0</v>
      </c>
      <c r="F125">
        <v>4.4158362490926154E-2</v>
      </c>
      <c r="G125">
        <v>0.12323104259132887</v>
      </c>
      <c r="H125">
        <v>0.10609558850434571</v>
      </c>
    </row>
    <row r="126" spans="2:8">
      <c r="B126">
        <v>3</v>
      </c>
      <c r="C126">
        <v>106</v>
      </c>
      <c r="D126">
        <v>3</v>
      </c>
      <c r="E126">
        <v>0</v>
      </c>
      <c r="F126">
        <v>-3.5862971668062398E-2</v>
      </c>
      <c r="G126">
        <v>-0.28090865847559093</v>
      </c>
      <c r="H126">
        <v>-0.25545078989105197</v>
      </c>
    </row>
    <row r="127" spans="2:8">
      <c r="B127">
        <v>3</v>
      </c>
      <c r="C127">
        <v>106</v>
      </c>
      <c r="D127">
        <v>3</v>
      </c>
      <c r="E127">
        <v>0</v>
      </c>
      <c r="F127">
        <v>-0.10818986399354458</v>
      </c>
      <c r="G127">
        <v>5.5323183635835556E-2</v>
      </c>
      <c r="H127">
        <v>-0.13580846594316762</v>
      </c>
    </row>
    <row r="128" spans="2:8">
      <c r="B128">
        <v>1</v>
      </c>
      <c r="C128">
        <v>102</v>
      </c>
      <c r="D128">
        <v>1</v>
      </c>
      <c r="E128">
        <v>0</v>
      </c>
      <c r="F128">
        <v>9.9004002806563876E-4</v>
      </c>
      <c r="G128">
        <v>-0.45189090190561454</v>
      </c>
      <c r="H128">
        <v>-0.6387751558270941</v>
      </c>
    </row>
    <row r="129" spans="2:8">
      <c r="B129">
        <v>1</v>
      </c>
      <c r="C129">
        <v>102</v>
      </c>
      <c r="D129">
        <v>1</v>
      </c>
      <c r="E129">
        <v>0</v>
      </c>
      <c r="F129">
        <v>0.10015613885172871</v>
      </c>
      <c r="G129">
        <v>9.4367035417520229E-3</v>
      </c>
      <c r="H129">
        <v>-2.3167909042964435E-2</v>
      </c>
    </row>
    <row r="130" spans="2:8">
      <c r="B130">
        <v>3</v>
      </c>
      <c r="C130">
        <v>106</v>
      </c>
      <c r="D130">
        <v>3</v>
      </c>
      <c r="E130">
        <v>0</v>
      </c>
      <c r="F130">
        <v>-5.3029436003304481E-2</v>
      </c>
      <c r="G130">
        <v>-0.13023516591289991</v>
      </c>
      <c r="H130">
        <v>-0.12357909204589654</v>
      </c>
    </row>
    <row r="131" spans="2:8">
      <c r="B131">
        <v>3</v>
      </c>
      <c r="C131">
        <v>106</v>
      </c>
      <c r="D131">
        <v>3</v>
      </c>
      <c r="E131">
        <v>0</v>
      </c>
      <c r="F131">
        <v>-5.5691128773462391E-2</v>
      </c>
      <c r="G131">
        <v>-0.14599633592943764</v>
      </c>
      <c r="H131">
        <v>-0.27279468317381778</v>
      </c>
    </row>
    <row r="132" spans="2:8">
      <c r="B132">
        <v>3</v>
      </c>
      <c r="C132">
        <v>106</v>
      </c>
      <c r="D132">
        <v>3</v>
      </c>
      <c r="E132">
        <v>0</v>
      </c>
      <c r="F132">
        <v>-0.1621986971650469</v>
      </c>
      <c r="G132">
        <v>-0.21360577737987743</v>
      </c>
      <c r="H132">
        <v>-0.1535156586297671</v>
      </c>
    </row>
    <row r="133" spans="2:8">
      <c r="B133">
        <v>3</v>
      </c>
      <c r="C133">
        <v>58.552988508868594</v>
      </c>
      <c r="D133">
        <v>2</v>
      </c>
      <c r="E133">
        <v>0</v>
      </c>
      <c r="F133">
        <v>-0.16088897218287629</v>
      </c>
      <c r="G133">
        <v>-0.33995396646026149</v>
      </c>
      <c r="H133">
        <v>-0.41447011491131402</v>
      </c>
    </row>
    <row r="134" spans="2:8">
      <c r="B134">
        <v>1</v>
      </c>
      <c r="C134">
        <v>102</v>
      </c>
      <c r="D134">
        <v>1</v>
      </c>
      <c r="E134">
        <v>0</v>
      </c>
      <c r="F134">
        <v>6.7021463606221146E-2</v>
      </c>
      <c r="G134">
        <v>-0.24342850418160722</v>
      </c>
      <c r="H134">
        <v>-0.3395297492665037</v>
      </c>
    </row>
    <row r="135" spans="2:8">
      <c r="B135">
        <v>1</v>
      </c>
      <c r="C135">
        <v>102</v>
      </c>
      <c r="D135">
        <v>1</v>
      </c>
      <c r="E135">
        <v>0</v>
      </c>
      <c r="F135">
        <v>0.19225723203996023</v>
      </c>
      <c r="G135">
        <v>-4.1482803950920761E-3</v>
      </c>
      <c r="H135">
        <v>-6.4415860368606678E-2</v>
      </c>
    </row>
    <row r="136" spans="2:8">
      <c r="B136">
        <v>3</v>
      </c>
      <c r="C136">
        <v>106</v>
      </c>
      <c r="D136">
        <v>3</v>
      </c>
      <c r="E136">
        <v>0</v>
      </c>
      <c r="F136">
        <v>-0.19992922768784666</v>
      </c>
      <c r="G136">
        <v>-0.11665021600390217</v>
      </c>
      <c r="H136">
        <v>-8.9359265126233281E-2</v>
      </c>
    </row>
    <row r="137" spans="2:8">
      <c r="B137">
        <v>1</v>
      </c>
      <c r="C137">
        <v>102</v>
      </c>
      <c r="D137">
        <v>1</v>
      </c>
      <c r="E137">
        <v>0</v>
      </c>
      <c r="F137">
        <v>4.028926851394863E-2</v>
      </c>
      <c r="G137">
        <v>-0.25426376445029053</v>
      </c>
      <c r="H137">
        <v>-0.16865379303099509</v>
      </c>
    </row>
    <row r="138" spans="2:8">
      <c r="B138">
        <v>3</v>
      </c>
      <c r="C138">
        <v>44.02516428646571</v>
      </c>
      <c r="D138">
        <v>2</v>
      </c>
      <c r="E138">
        <v>0</v>
      </c>
      <c r="F138">
        <v>-0.26020368851810521</v>
      </c>
      <c r="G138">
        <v>-0.39549012874983536</v>
      </c>
      <c r="H138">
        <v>-0.55974835713534288</v>
      </c>
    </row>
    <row r="139" spans="2:8">
      <c r="B139">
        <v>1</v>
      </c>
      <c r="C139">
        <v>102</v>
      </c>
      <c r="D139">
        <v>1</v>
      </c>
      <c r="E139">
        <v>0</v>
      </c>
      <c r="F139">
        <v>3.0321242483787012E-2</v>
      </c>
      <c r="G139">
        <v>0.15857119520959043</v>
      </c>
      <c r="H139">
        <v>0.15027627480334385</v>
      </c>
    </row>
    <row r="140" spans="2:8">
      <c r="B140">
        <v>3</v>
      </c>
      <c r="C140">
        <v>106</v>
      </c>
      <c r="D140">
        <v>3</v>
      </c>
      <c r="E140">
        <v>0</v>
      </c>
      <c r="F140">
        <v>-0.21088144149850199</v>
      </c>
      <c r="G140">
        <v>-0.29679645152493306</v>
      </c>
      <c r="H140">
        <v>-0.27728326129874237</v>
      </c>
    </row>
    <row r="141" spans="2:8">
      <c r="B141">
        <v>3</v>
      </c>
      <c r="C141">
        <v>106</v>
      </c>
      <c r="D141">
        <v>3</v>
      </c>
      <c r="E141">
        <v>0</v>
      </c>
      <c r="F141">
        <v>-5.0367834405279414E-2</v>
      </c>
      <c r="G141">
        <v>-0.11463658177108539</v>
      </c>
      <c r="H141">
        <v>-8.2453564861197856E-2</v>
      </c>
    </row>
    <row r="142" spans="2:8">
      <c r="B142">
        <v>1</v>
      </c>
      <c r="C142">
        <v>102</v>
      </c>
      <c r="D142">
        <v>1</v>
      </c>
      <c r="E142">
        <v>0</v>
      </c>
      <c r="F142">
        <v>4.9355344661206203E-2</v>
      </c>
      <c r="G142">
        <v>-5.3303616162740805E-2</v>
      </c>
      <c r="H142">
        <v>-5.5425994070578487E-2</v>
      </c>
    </row>
    <row r="143" spans="2:8">
      <c r="B143">
        <v>3</v>
      </c>
      <c r="C143">
        <v>106</v>
      </c>
      <c r="D143">
        <v>3</v>
      </c>
      <c r="E143">
        <v>0</v>
      </c>
      <c r="F143">
        <v>-4.8745172827974394E-2</v>
      </c>
      <c r="G143">
        <v>2.8483457013827478E-2</v>
      </c>
      <c r="H143">
        <v>-9.0665648877535171E-2</v>
      </c>
    </row>
    <row r="144" spans="2:8">
      <c r="B144">
        <v>3</v>
      </c>
      <c r="C144">
        <v>106</v>
      </c>
      <c r="D144">
        <v>3</v>
      </c>
      <c r="E144">
        <v>0</v>
      </c>
      <c r="F144">
        <v>-6.8568511642260868E-2</v>
      </c>
      <c r="G144">
        <v>-0.18307534405889075</v>
      </c>
      <c r="H144">
        <v>-0.34941175607850705</v>
      </c>
    </row>
    <row r="145" spans="2:8">
      <c r="B145">
        <v>3</v>
      </c>
      <c r="C145">
        <v>106</v>
      </c>
      <c r="D145">
        <v>3</v>
      </c>
      <c r="E145">
        <v>0</v>
      </c>
      <c r="F145">
        <v>-0.11738465446602601</v>
      </c>
      <c r="G145">
        <v>8.0246789040930119E-2</v>
      </c>
      <c r="H145">
        <v>0.16502293970693041</v>
      </c>
    </row>
    <row r="146" spans="2:8">
      <c r="B146">
        <v>1</v>
      </c>
      <c r="C146">
        <v>102</v>
      </c>
      <c r="D146">
        <v>1</v>
      </c>
      <c r="E146">
        <v>0</v>
      </c>
      <c r="F146">
        <v>2.9134593442941448E-2</v>
      </c>
      <c r="G146">
        <v>-6.6747032444743906E-2</v>
      </c>
      <c r="H146">
        <v>0.1414686447998566</v>
      </c>
    </row>
    <row r="147" spans="2:8">
      <c r="B147">
        <v>1</v>
      </c>
      <c r="C147">
        <v>102</v>
      </c>
      <c r="D147">
        <v>1</v>
      </c>
      <c r="E147">
        <v>0</v>
      </c>
      <c r="F147">
        <v>3.8141972856746364E-3</v>
      </c>
      <c r="G147">
        <v>7.105498418406489E-2</v>
      </c>
      <c r="H147">
        <v>3.8166234262213675E-2</v>
      </c>
    </row>
    <row r="148" spans="2:8">
      <c r="B148">
        <v>3</v>
      </c>
      <c r="C148">
        <v>57.916684001442015</v>
      </c>
      <c r="D148">
        <v>1</v>
      </c>
      <c r="E148">
        <v>0</v>
      </c>
      <c r="F148">
        <v>-0.28193348174646593</v>
      </c>
      <c r="G148">
        <v>-0.40399496398761225</v>
      </c>
      <c r="H148">
        <v>-0.42083315998557985</v>
      </c>
    </row>
    <row r="149" spans="2:8">
      <c r="B149">
        <v>1</v>
      </c>
      <c r="C149">
        <v>102</v>
      </c>
      <c r="D149">
        <v>1</v>
      </c>
      <c r="E149">
        <v>0</v>
      </c>
      <c r="F149">
        <v>6.1426348584854656E-2</v>
      </c>
      <c r="G149">
        <v>-0.123137528340659</v>
      </c>
      <c r="H149">
        <v>-0.2344726992339983</v>
      </c>
    </row>
    <row r="150" spans="2:8">
      <c r="B150">
        <v>1</v>
      </c>
      <c r="C150">
        <v>102</v>
      </c>
      <c r="D150">
        <v>1</v>
      </c>
      <c r="E150">
        <v>0</v>
      </c>
      <c r="F150">
        <v>0.24626773144616942</v>
      </c>
      <c r="G150">
        <v>-8.6894438153762979E-2</v>
      </c>
      <c r="H150">
        <v>-0.12217894918075904</v>
      </c>
    </row>
    <row r="151" spans="2:8">
      <c r="B151">
        <v>3</v>
      </c>
      <c r="C151">
        <v>106</v>
      </c>
      <c r="D151">
        <v>3</v>
      </c>
      <c r="E151">
        <v>0</v>
      </c>
      <c r="F151">
        <v>-0.27473991513256196</v>
      </c>
      <c r="G151">
        <v>-0.38292977912610626</v>
      </c>
      <c r="H151">
        <v>-0.21941673149672616</v>
      </c>
    </row>
    <row r="152" spans="2:8">
      <c r="B152">
        <v>3</v>
      </c>
      <c r="C152">
        <v>51.720751903194781</v>
      </c>
      <c r="D152">
        <v>0</v>
      </c>
      <c r="E152">
        <v>0</v>
      </c>
      <c r="F152">
        <v>-0.43932444929732545</v>
      </c>
      <c r="G152">
        <v>-0.43833440926925982</v>
      </c>
      <c r="H152">
        <v>-0.48279248096805222</v>
      </c>
    </row>
    <row r="153" spans="2:8">
      <c r="B153">
        <v>3</v>
      </c>
      <c r="C153">
        <v>106</v>
      </c>
      <c r="D153">
        <v>3</v>
      </c>
      <c r="E153">
        <v>0</v>
      </c>
      <c r="F153">
        <v>-0.16978800790921739</v>
      </c>
      <c r="G153">
        <v>-6.9631869057488693E-2</v>
      </c>
      <c r="H153">
        <v>-0.15118155206279216</v>
      </c>
    </row>
    <row r="154" spans="2:8">
      <c r="B154">
        <v>3</v>
      </c>
      <c r="C154">
        <v>106</v>
      </c>
      <c r="D154">
        <v>3</v>
      </c>
      <c r="E154">
        <v>0</v>
      </c>
      <c r="F154">
        <v>-2.8860704419486183E-2</v>
      </c>
      <c r="G154">
        <v>-8.1890140422790761E-2</v>
      </c>
      <c r="H154">
        <v>-0.15909587033238626</v>
      </c>
    </row>
    <row r="155" spans="2:8">
      <c r="B155">
        <v>3</v>
      </c>
      <c r="C155">
        <v>106</v>
      </c>
      <c r="D155">
        <v>3</v>
      </c>
      <c r="E155">
        <v>0</v>
      </c>
      <c r="F155">
        <v>-2.12181086272158E-2</v>
      </c>
      <c r="G155">
        <v>-7.6909237400678149E-2</v>
      </c>
      <c r="H155">
        <v>-0.1672144445566533</v>
      </c>
    </row>
    <row r="156" spans="2:8">
      <c r="B156">
        <v>1</v>
      </c>
      <c r="C156">
        <v>102</v>
      </c>
      <c r="D156">
        <v>1</v>
      </c>
      <c r="E156">
        <v>0</v>
      </c>
      <c r="F156">
        <v>0.32270951716587276</v>
      </c>
      <c r="G156">
        <v>-0.10466642205002015</v>
      </c>
      <c r="H156">
        <v>7.543077613402864E-2</v>
      </c>
    </row>
    <row r="157" spans="2:8">
      <c r="B157">
        <v>3</v>
      </c>
      <c r="C157">
        <v>27.368973487429443</v>
      </c>
      <c r="D157">
        <v>1</v>
      </c>
      <c r="E157">
        <v>0</v>
      </c>
      <c r="F157">
        <v>-0.38635629866544385</v>
      </c>
      <c r="G157">
        <v>-0.5472452708483202</v>
      </c>
      <c r="H157">
        <v>-0.72631026512570551</v>
      </c>
    </row>
    <row r="158" spans="2:8">
      <c r="B158">
        <v>3</v>
      </c>
      <c r="C158">
        <v>106</v>
      </c>
      <c r="D158">
        <v>3</v>
      </c>
      <c r="E158">
        <v>0</v>
      </c>
      <c r="F158">
        <v>-0.18730150346885091</v>
      </c>
      <c r="G158">
        <v>-0.12028003986262971</v>
      </c>
      <c r="H158">
        <v>-0.23653862239646761</v>
      </c>
    </row>
    <row r="159" spans="2:8">
      <c r="B159">
        <v>1</v>
      </c>
      <c r="C159">
        <v>102</v>
      </c>
      <c r="D159">
        <v>1</v>
      </c>
      <c r="E159">
        <v>0</v>
      </c>
      <c r="F159">
        <v>1.1270320855011054E-2</v>
      </c>
      <c r="G159">
        <v>-0.35783276861163305</v>
      </c>
      <c r="H159">
        <v>-0.31878058191830139</v>
      </c>
    </row>
    <row r="160" spans="2:8">
      <c r="B160">
        <v>3</v>
      </c>
      <c r="C160">
        <v>106</v>
      </c>
      <c r="D160">
        <v>3</v>
      </c>
      <c r="E160">
        <v>0</v>
      </c>
      <c r="F160">
        <v>-0.14142994310310245</v>
      </c>
      <c r="G160">
        <v>-0.34135917079094924</v>
      </c>
      <c r="H160">
        <v>-0.25808015910700477</v>
      </c>
    </row>
    <row r="161" spans="2:8">
      <c r="B161">
        <v>1</v>
      </c>
      <c r="C161">
        <v>102</v>
      </c>
      <c r="D161">
        <v>1</v>
      </c>
      <c r="E161">
        <v>0</v>
      </c>
      <c r="F161">
        <v>0.1170970393363318</v>
      </c>
      <c r="G161">
        <v>0.16851533841340902</v>
      </c>
      <c r="H161">
        <v>0.14623026818557902</v>
      </c>
    </row>
    <row r="162" spans="2:8">
      <c r="B162">
        <v>3</v>
      </c>
      <c r="C162">
        <v>39.096172752230338</v>
      </c>
      <c r="D162">
        <v>1</v>
      </c>
      <c r="E162">
        <v>0</v>
      </c>
      <c r="F162">
        <v>-0.21354814372786149</v>
      </c>
      <c r="G162">
        <v>-0.47375183224596656</v>
      </c>
      <c r="H162">
        <v>-0.6090382724776966</v>
      </c>
    </row>
    <row r="163" spans="2:8">
      <c r="B163">
        <v>1</v>
      </c>
      <c r="C163">
        <v>102</v>
      </c>
      <c r="D163">
        <v>1</v>
      </c>
      <c r="E163">
        <v>0</v>
      </c>
      <c r="F163">
        <v>7.2766972939340577E-2</v>
      </c>
      <c r="G163">
        <v>-0.3626246631270178</v>
      </c>
      <c r="H163">
        <v>-0.33382035651110381</v>
      </c>
    </row>
    <row r="164" spans="2:8">
      <c r="B164">
        <v>1</v>
      </c>
      <c r="C164">
        <v>102</v>
      </c>
      <c r="D164">
        <v>1</v>
      </c>
      <c r="E164">
        <v>0</v>
      </c>
      <c r="F164">
        <v>0.1570581570093888</v>
      </c>
      <c r="G164">
        <v>-0.29301962908245077</v>
      </c>
      <c r="H164">
        <v>-0.18547640659018874</v>
      </c>
    </row>
    <row r="165" spans="2:8">
      <c r="B165">
        <v>3</v>
      </c>
      <c r="C165">
        <v>106</v>
      </c>
      <c r="D165">
        <v>3</v>
      </c>
      <c r="E165">
        <v>0</v>
      </c>
      <c r="F165">
        <v>-0.1484036599939782</v>
      </c>
      <c r="G165">
        <v>-0.19877149439925759</v>
      </c>
      <c r="H165">
        <v>-0.26304024176506358</v>
      </c>
    </row>
    <row r="166" spans="2:8">
      <c r="B166">
        <v>3</v>
      </c>
      <c r="C166">
        <v>106</v>
      </c>
      <c r="D166">
        <v>3</v>
      </c>
      <c r="E166">
        <v>0</v>
      </c>
      <c r="F166">
        <v>-8.0494095288049378E-2</v>
      </c>
      <c r="G166">
        <v>-3.1138750626843192E-2</v>
      </c>
      <c r="H166">
        <v>-0.16273982732549094</v>
      </c>
    </row>
    <row r="167" spans="2:8">
      <c r="B167">
        <v>3</v>
      </c>
      <c r="C167">
        <v>106</v>
      </c>
      <c r="D167">
        <v>3</v>
      </c>
      <c r="E167">
        <v>0</v>
      </c>
      <c r="F167">
        <v>-0.17191888720450429</v>
      </c>
      <c r="G167">
        <v>-0.22066406003247865</v>
      </c>
      <c r="H167">
        <v>-0.14343543019067678</v>
      </c>
    </row>
    <row r="168" spans="2:8">
      <c r="B168">
        <v>1</v>
      </c>
      <c r="C168">
        <v>102</v>
      </c>
      <c r="D168">
        <v>1</v>
      </c>
      <c r="E168">
        <v>0</v>
      </c>
      <c r="F168">
        <v>0.10441089408077357</v>
      </c>
      <c r="G168">
        <v>-0.37781783720949164</v>
      </c>
      <c r="H168">
        <v>-0.46842117433802699</v>
      </c>
    </row>
    <row r="169" spans="2:8">
      <c r="B169">
        <v>1</v>
      </c>
      <c r="C169">
        <v>102</v>
      </c>
      <c r="D169">
        <v>1</v>
      </c>
      <c r="E169">
        <v>0</v>
      </c>
      <c r="F169">
        <v>5.2638905554251908E-2</v>
      </c>
    </row>
    <row r="170" spans="2:8">
      <c r="B170">
        <v>1</v>
      </c>
      <c r="C170">
        <v>102</v>
      </c>
      <c r="D170">
        <v>1</v>
      </c>
      <c r="E170">
        <v>0</v>
      </c>
      <c r="F170">
        <v>5.8019592695087191E-2</v>
      </c>
      <c r="G170">
        <v>-0.11153248664232224</v>
      </c>
      <c r="H170">
        <v>-0.10425984401104565</v>
      </c>
    </row>
    <row r="171" spans="2:8">
      <c r="B171">
        <v>1</v>
      </c>
      <c r="C171">
        <v>102</v>
      </c>
      <c r="D171">
        <v>1</v>
      </c>
      <c r="E171">
        <v>0</v>
      </c>
      <c r="F171">
        <v>4.2216877344290887E-2</v>
      </c>
      <c r="G171">
        <v>0.21455523995832701</v>
      </c>
      <c r="H171">
        <v>0.21695695026342102</v>
      </c>
    </row>
    <row r="172" spans="2:8">
      <c r="B172">
        <v>1</v>
      </c>
      <c r="C172">
        <v>102</v>
      </c>
      <c r="D172">
        <v>1</v>
      </c>
      <c r="E172">
        <v>0</v>
      </c>
      <c r="F172">
        <v>9.3525960770555777E-2</v>
      </c>
    </row>
    <row r="173" spans="2:8">
      <c r="B173">
        <v>3</v>
      </c>
      <c r="C173">
        <v>106</v>
      </c>
      <c r="D173">
        <v>3</v>
      </c>
      <c r="E173">
        <v>0</v>
      </c>
      <c r="F173">
        <v>-4.0165044122653731E-2</v>
      </c>
      <c r="G173">
        <v>2.1261304462200835E-2</v>
      </c>
      <c r="H173">
        <v>6.5419666953127023E-2</v>
      </c>
    </row>
    <row r="174" spans="2:8">
      <c r="B174">
        <v>3</v>
      </c>
      <c r="C174">
        <v>106</v>
      </c>
      <c r="D174">
        <v>3</v>
      </c>
      <c r="E174">
        <v>0</v>
      </c>
      <c r="F174">
        <v>-9.4723905950573603E-2</v>
      </c>
      <c r="G174">
        <v>0.15154382549559606</v>
      </c>
      <c r="H174">
        <v>0.11568085382753367</v>
      </c>
    </row>
    <row r="175" spans="2:8">
      <c r="B175">
        <v>3</v>
      </c>
      <c r="C175">
        <v>57.853318138760244</v>
      </c>
      <c r="D175">
        <v>2</v>
      </c>
      <c r="E175">
        <v>0</v>
      </c>
      <c r="F175">
        <v>-3.8537039486291114E-2</v>
      </c>
      <c r="G175">
        <v>-0.31327695461885302</v>
      </c>
      <c r="H175">
        <v>-0.42146681861239754</v>
      </c>
    </row>
    <row r="176" spans="2:8">
      <c r="B176">
        <v>3</v>
      </c>
      <c r="C176">
        <v>31.992052800082931</v>
      </c>
      <c r="D176">
        <v>1</v>
      </c>
      <c r="E176">
        <v>0</v>
      </c>
      <c r="F176">
        <v>-0.24174506272991089</v>
      </c>
      <c r="G176">
        <v>-0.6810695120272362</v>
      </c>
      <c r="H176">
        <v>-0.68007947199917063</v>
      </c>
    </row>
    <row r="177" spans="2:8">
      <c r="B177">
        <v>1</v>
      </c>
      <c r="C177">
        <v>102</v>
      </c>
      <c r="D177">
        <v>1</v>
      </c>
      <c r="E177">
        <v>0</v>
      </c>
      <c r="F177">
        <v>2.0906806034991514E-3</v>
      </c>
      <c r="G177">
        <v>-0.28801125414625112</v>
      </c>
      <c r="H177">
        <v>-0.40078230704204254</v>
      </c>
    </row>
    <row r="178" spans="2:8">
      <c r="B178">
        <v>3</v>
      </c>
      <c r="C178">
        <v>106</v>
      </c>
      <c r="D178">
        <v>3</v>
      </c>
      <c r="E178">
        <v>0</v>
      </c>
      <c r="F178">
        <v>-0.11276246000788578</v>
      </c>
      <c r="G178">
        <v>-0.14162316442737208</v>
      </c>
      <c r="H178">
        <v>-0.19465260043067656</v>
      </c>
    </row>
    <row r="179" spans="2:8">
      <c r="B179">
        <v>1</v>
      </c>
      <c r="C179">
        <v>102</v>
      </c>
      <c r="D179">
        <v>1</v>
      </c>
      <c r="E179">
        <v>0</v>
      </c>
      <c r="F179">
        <v>1.480079519584541E-2</v>
      </c>
    </row>
    <row r="180" spans="2:8">
      <c r="B180">
        <v>1</v>
      </c>
      <c r="C180">
        <v>102</v>
      </c>
      <c r="D180">
        <v>1</v>
      </c>
      <c r="E180">
        <v>0</v>
      </c>
      <c r="F180">
        <v>4.7374804912061107E-2</v>
      </c>
    </row>
    <row r="181" spans="2:8">
      <c r="B181">
        <v>1</v>
      </c>
      <c r="C181">
        <v>102</v>
      </c>
      <c r="D181">
        <v>1</v>
      </c>
      <c r="E181">
        <v>0</v>
      </c>
      <c r="F181">
        <v>7.4985390134382129E-2</v>
      </c>
      <c r="G181">
        <v>-9.932536851254474E-2</v>
      </c>
      <c r="H181">
        <v>-0.19988842169664012</v>
      </c>
    </row>
    <row r="182" spans="2:8">
      <c r="B182">
        <v>3</v>
      </c>
      <c r="C182">
        <v>106</v>
      </c>
      <c r="D182">
        <v>3</v>
      </c>
      <c r="E182">
        <v>0</v>
      </c>
      <c r="F182">
        <v>-7.2321255789095141E-4</v>
      </c>
      <c r="G182">
        <v>-0.18802471602674201</v>
      </c>
      <c r="H182">
        <v>-0.12100325242052089</v>
      </c>
    </row>
    <row r="183" spans="2:8">
      <c r="B183">
        <v>3</v>
      </c>
      <c r="C183">
        <v>106</v>
      </c>
      <c r="D183">
        <v>3</v>
      </c>
      <c r="E183">
        <v>0</v>
      </c>
      <c r="F183">
        <v>-0.25064506528265262</v>
      </c>
      <c r="G183">
        <v>-0.23937474442764159</v>
      </c>
      <c r="H183">
        <v>-4.7117512387681353E-2</v>
      </c>
    </row>
    <row r="184" spans="2:8">
      <c r="B184">
        <v>1</v>
      </c>
      <c r="C184">
        <v>102</v>
      </c>
      <c r="D184">
        <v>1</v>
      </c>
      <c r="E184">
        <v>0</v>
      </c>
      <c r="F184">
        <v>1.5938404019922896E-2</v>
      </c>
      <c r="G184">
        <v>-2.6357702631543054E-2</v>
      </c>
      <c r="H184">
        <v>0.2216069471720804</v>
      </c>
    </row>
    <row r="185" spans="2:8">
      <c r="B185">
        <v>3</v>
      </c>
      <c r="C185">
        <v>106</v>
      </c>
      <c r="D185">
        <v>3</v>
      </c>
      <c r="E185">
        <v>0</v>
      </c>
      <c r="F185">
        <v>-0.15684519963921906</v>
      </c>
      <c r="G185">
        <v>-3.9748160302887289E-2</v>
      </c>
      <c r="H185">
        <v>5.411082110613637E-4</v>
      </c>
    </row>
    <row r="186" spans="2:8">
      <c r="B186">
        <v>1</v>
      </c>
      <c r="C186">
        <v>102</v>
      </c>
      <c r="D186">
        <v>1</v>
      </c>
      <c r="E186">
        <v>0</v>
      </c>
      <c r="F186">
        <v>0.21337335569147425</v>
      </c>
      <c r="G186">
        <v>-0.30370923120564269</v>
      </c>
      <c r="H186">
        <v>-0.36826870132437878</v>
      </c>
    </row>
    <row r="187" spans="2:8">
      <c r="B187">
        <v>1</v>
      </c>
      <c r="C187">
        <v>102</v>
      </c>
      <c r="D187">
        <v>1</v>
      </c>
      <c r="E187">
        <v>0</v>
      </c>
      <c r="F187">
        <v>0.12675323609331521</v>
      </c>
      <c r="G187">
        <v>0.17465675585561508</v>
      </c>
      <c r="H187">
        <v>0.16834433664393872</v>
      </c>
    </row>
    <row r="188" spans="2:8">
      <c r="B188">
        <v>1</v>
      </c>
      <c r="C188">
        <v>102</v>
      </c>
      <c r="D188">
        <v>1</v>
      </c>
      <c r="E188">
        <v>0</v>
      </c>
      <c r="F188">
        <v>8.3975267782286436E-3</v>
      </c>
      <c r="G188">
        <v>-6.9653512902330642E-2</v>
      </c>
      <c r="H188">
        <v>-9.6289818323337245E-2</v>
      </c>
    </row>
    <row r="189" spans="2:8">
      <c r="B189">
        <v>3</v>
      </c>
      <c r="C189">
        <v>47.543510340299399</v>
      </c>
      <c r="D189">
        <v>1</v>
      </c>
      <c r="E189">
        <v>0</v>
      </c>
      <c r="F189">
        <v>-0.32579340219774849</v>
      </c>
      <c r="G189">
        <v>-0.47419706219172669</v>
      </c>
      <c r="H189">
        <v>-0.524564896597006</v>
      </c>
    </row>
    <row r="190" spans="2:8">
      <c r="B190">
        <v>1</v>
      </c>
      <c r="C190">
        <v>102</v>
      </c>
      <c r="D190">
        <v>1</v>
      </c>
      <c r="E190">
        <v>0</v>
      </c>
      <c r="F190">
        <v>0.11893313301656214</v>
      </c>
    </row>
    <row r="191" spans="2:8">
      <c r="B191">
        <v>1</v>
      </c>
      <c r="C191">
        <v>102</v>
      </c>
      <c r="D191">
        <v>1</v>
      </c>
      <c r="E191">
        <v>0</v>
      </c>
      <c r="F191">
        <v>2.2472557073536365E-2</v>
      </c>
      <c r="G191">
        <v>-0.25575343406514828</v>
      </c>
      <c r="H191">
        <v>-2.9804434124110948E-2</v>
      </c>
    </row>
    <row r="192" spans="2:8">
      <c r="B192">
        <v>1</v>
      </c>
      <c r="C192">
        <v>102</v>
      </c>
      <c r="D192">
        <v>1</v>
      </c>
      <c r="E192">
        <v>0</v>
      </c>
      <c r="F192">
        <v>0.20711361655058572</v>
      </c>
      <c r="G192">
        <v>-0.13948206437043661</v>
      </c>
      <c r="H192">
        <v>-0.18527075283077302</v>
      </c>
    </row>
    <row r="193" spans="2:8">
      <c r="B193">
        <v>3</v>
      </c>
      <c r="C193">
        <v>106</v>
      </c>
      <c r="D193">
        <v>3</v>
      </c>
      <c r="E193">
        <v>0</v>
      </c>
      <c r="F193">
        <v>-0.22081446418951159</v>
      </c>
      <c r="G193">
        <v>-0.16817555863525968</v>
      </c>
      <c r="H193">
        <v>-0.28556021310128576</v>
      </c>
    </row>
    <row r="194" spans="2:8">
      <c r="B194">
        <v>1</v>
      </c>
      <c r="C194">
        <v>102</v>
      </c>
      <c r="D194">
        <v>1</v>
      </c>
      <c r="E194">
        <v>0</v>
      </c>
      <c r="F194">
        <v>9.1079767713850027E-2</v>
      </c>
    </row>
    <row r="195" spans="2:8">
      <c r="B195">
        <v>1</v>
      </c>
      <c r="C195">
        <v>102</v>
      </c>
      <c r="D195">
        <v>1</v>
      </c>
      <c r="E195">
        <v>0</v>
      </c>
      <c r="F195">
        <v>8.7137836947371483E-2</v>
      </c>
    </row>
    <row r="196" spans="2:8">
      <c r="B196">
        <v>3</v>
      </c>
      <c r="C196">
        <v>106</v>
      </c>
      <c r="D196">
        <v>3</v>
      </c>
      <c r="E196">
        <v>0</v>
      </c>
      <c r="F196">
        <v>-2.7218971793912333E-2</v>
      </c>
      <c r="G196">
        <v>6.6306988976643347E-2</v>
      </c>
      <c r="H196">
        <v>-0.2156264927698226</v>
      </c>
    </row>
    <row r="197" spans="2:8">
      <c r="B197">
        <v>3</v>
      </c>
      <c r="C197">
        <v>106</v>
      </c>
      <c r="D197">
        <v>3</v>
      </c>
      <c r="E197">
        <v>0</v>
      </c>
      <c r="F197">
        <v>-0.13647598414822629</v>
      </c>
      <c r="G197">
        <v>-0.17664102827088002</v>
      </c>
      <c r="H197">
        <v>-0.1152146796860254</v>
      </c>
    </row>
    <row r="198" spans="2:8">
      <c r="B198">
        <v>1</v>
      </c>
      <c r="C198">
        <v>102</v>
      </c>
      <c r="D198">
        <v>1</v>
      </c>
      <c r="E198">
        <v>0</v>
      </c>
      <c r="F198">
        <v>9.6006820354372094E-2</v>
      </c>
      <c r="G198">
        <v>1.8206879582532941E-2</v>
      </c>
      <c r="H198">
        <v>5.3810705606057857E-2</v>
      </c>
    </row>
    <row r="199" spans="2:8">
      <c r="B199">
        <v>3</v>
      </c>
      <c r="C199">
        <v>52.786443586060791</v>
      </c>
      <c r="D199">
        <v>2</v>
      </c>
      <c r="E199">
        <v>0</v>
      </c>
      <c r="F199">
        <v>-0.15885860952053893</v>
      </c>
      <c r="G199">
        <v>-0.1973956490068301</v>
      </c>
      <c r="H199">
        <v>-0.47213556413939206</v>
      </c>
    </row>
    <row r="200" spans="2:8">
      <c r="B200">
        <v>3</v>
      </c>
      <c r="C200">
        <v>26.427866230877541</v>
      </c>
      <c r="D200">
        <v>2</v>
      </c>
      <c r="E200">
        <v>0</v>
      </c>
      <c r="F200">
        <v>-5.4651825663988129E-2</v>
      </c>
      <c r="G200">
        <v>-0.29639688839389911</v>
      </c>
      <c r="H200">
        <v>-0.73572133769122461</v>
      </c>
    </row>
    <row r="201" spans="2:8">
      <c r="B201">
        <v>1</v>
      </c>
      <c r="C201">
        <v>102</v>
      </c>
      <c r="D201">
        <v>1</v>
      </c>
      <c r="E201">
        <v>0</v>
      </c>
      <c r="F201">
        <v>6.565095614037518E-2</v>
      </c>
    </row>
    <row r="202" spans="2:8">
      <c r="B202">
        <v>3</v>
      </c>
      <c r="C202">
        <v>106</v>
      </c>
      <c r="D202">
        <v>3</v>
      </c>
      <c r="E202">
        <v>0</v>
      </c>
      <c r="F202">
        <v>-8.7574503389362568E-2</v>
      </c>
      <c r="G202">
        <v>-0.20033696339724827</v>
      </c>
      <c r="H202">
        <v>-0.22919766781673431</v>
      </c>
    </row>
    <row r="203" spans="2:8">
      <c r="B203">
        <v>1</v>
      </c>
      <c r="C203">
        <v>102</v>
      </c>
      <c r="D203">
        <v>1</v>
      </c>
      <c r="E203">
        <v>0</v>
      </c>
      <c r="F203">
        <v>5.4662309970732209E-2</v>
      </c>
      <c r="G203">
        <v>-0.30432962044123896</v>
      </c>
      <c r="H203">
        <v>-0.24424976845810889</v>
      </c>
    </row>
    <row r="204" spans="2:8">
      <c r="B204">
        <v>3</v>
      </c>
      <c r="C204">
        <v>106</v>
      </c>
      <c r="D204">
        <v>3</v>
      </c>
      <c r="E204">
        <v>0</v>
      </c>
      <c r="F204">
        <v>-6.1601746524511322E-2</v>
      </c>
      <c r="G204">
        <v>-1.4226941612450134E-2</v>
      </c>
      <c r="H204">
        <v>0.30848257555342251</v>
      </c>
    </row>
    <row r="205" spans="2:8">
      <c r="B205">
        <v>3</v>
      </c>
      <c r="C205">
        <v>106</v>
      </c>
      <c r="D205">
        <v>3</v>
      </c>
      <c r="E205">
        <v>0</v>
      </c>
      <c r="F205">
        <v>-2.9910974460346868E-2</v>
      </c>
      <c r="G205">
        <v>4.5074415674035251E-2</v>
      </c>
      <c r="H205">
        <v>-0.34128188299140855</v>
      </c>
    </row>
    <row r="206" spans="2:8">
      <c r="B206">
        <v>3</v>
      </c>
      <c r="C206">
        <v>50.299869299347684</v>
      </c>
      <c r="D206">
        <v>2</v>
      </c>
      <c r="E206">
        <v>0</v>
      </c>
      <c r="F206">
        <v>-0.30897659097978125</v>
      </c>
      <c r="G206">
        <v>-0.30969980353767224</v>
      </c>
      <c r="H206">
        <v>-0.49700130700652317</v>
      </c>
    </row>
    <row r="207" spans="2:8">
      <c r="B207">
        <v>1</v>
      </c>
      <c r="C207">
        <v>102</v>
      </c>
      <c r="D207">
        <v>1</v>
      </c>
      <c r="E207">
        <v>0</v>
      </c>
      <c r="F207">
        <v>9.7614869174656796E-2</v>
      </c>
      <c r="G207">
        <v>-0.46649868404553668</v>
      </c>
      <c r="H207">
        <v>-0.72003300885321309</v>
      </c>
    </row>
    <row r="208" spans="2:8">
      <c r="B208">
        <v>1</v>
      </c>
      <c r="C208">
        <v>102</v>
      </c>
      <c r="D208">
        <v>1</v>
      </c>
      <c r="E208">
        <v>0</v>
      </c>
      <c r="F208">
        <v>6.9178827183220271E-2</v>
      </c>
      <c r="G208">
        <v>-0.47382614630404085</v>
      </c>
      <c r="H208">
        <v>-0.58976756167998945</v>
      </c>
    </row>
    <row r="209" spans="2:8">
      <c r="B209">
        <v>1</v>
      </c>
      <c r="C209">
        <v>102</v>
      </c>
      <c r="D209">
        <v>1</v>
      </c>
      <c r="E209">
        <v>0</v>
      </c>
      <c r="F209">
        <v>1.3031557455944502E-2</v>
      </c>
      <c r="G209">
        <v>-0.23720550420859607</v>
      </c>
      <c r="H209">
        <v>-0.33917215704259351</v>
      </c>
    </row>
    <row r="210" spans="2:8">
      <c r="B210">
        <v>3</v>
      </c>
      <c r="C210">
        <v>58.537996627108647</v>
      </c>
      <c r="D210">
        <v>1</v>
      </c>
      <c r="E210">
        <v>0</v>
      </c>
      <c r="F210">
        <v>-0.41444524569252633</v>
      </c>
      <c r="G210">
        <v>-0.20107189000105222</v>
      </c>
      <c r="H210">
        <v>-0.41462003372891354</v>
      </c>
    </row>
    <row r="211" spans="2:8">
      <c r="B211">
        <v>1</v>
      </c>
      <c r="C211">
        <v>102</v>
      </c>
      <c r="D211">
        <v>1</v>
      </c>
      <c r="E211">
        <v>0</v>
      </c>
      <c r="F211">
        <v>0.21760750881741572</v>
      </c>
      <c r="G211">
        <v>-0.35092397201870973</v>
      </c>
      <c r="H211">
        <v>-0.47299425154251551</v>
      </c>
    </row>
    <row r="212" spans="2:8">
      <c r="B212">
        <v>3</v>
      </c>
      <c r="C212">
        <v>106</v>
      </c>
      <c r="D212">
        <v>3</v>
      </c>
      <c r="E212">
        <v>0</v>
      </c>
      <c r="F212">
        <v>-9.6405531892256799E-2</v>
      </c>
      <c r="G212">
        <v>-8.8008005114028204E-2</v>
      </c>
      <c r="H212">
        <v>6.9050151895360595E-2</v>
      </c>
    </row>
    <row r="213" spans="2:8">
      <c r="B213">
        <v>1</v>
      </c>
      <c r="C213">
        <v>102</v>
      </c>
      <c r="D213">
        <v>1</v>
      </c>
      <c r="E213">
        <v>0</v>
      </c>
      <c r="F213">
        <v>8.9530390531325471E-2</v>
      </c>
      <c r="G213">
        <v>-0.45149958190509626</v>
      </c>
      <c r="H213">
        <v>-0.43230727847176081</v>
      </c>
    </row>
    <row r="214" spans="2:8">
      <c r="B214">
        <v>3</v>
      </c>
      <c r="C214">
        <v>106</v>
      </c>
      <c r="D214">
        <v>3</v>
      </c>
      <c r="E214">
        <v>0</v>
      </c>
      <c r="F214">
        <v>-0.14332822917744792</v>
      </c>
      <c r="G214">
        <v>-2.4395096160885886E-2</v>
      </c>
      <c r="H214">
        <v>-0.10488919144893516</v>
      </c>
    </row>
    <row r="215" spans="2:8">
      <c r="B215">
        <v>3</v>
      </c>
      <c r="C215">
        <v>106</v>
      </c>
      <c r="D215">
        <v>3</v>
      </c>
      <c r="E215">
        <v>0</v>
      </c>
      <c r="F215">
        <v>-9.3649200100165933E-2</v>
      </c>
      <c r="G215">
        <v>-7.1176643026629585E-2</v>
      </c>
      <c r="H215">
        <v>-0.24309553023113392</v>
      </c>
    </row>
    <row r="216" spans="2:8">
      <c r="B216">
        <v>3</v>
      </c>
      <c r="C216">
        <v>106</v>
      </c>
      <c r="D216">
        <v>3</v>
      </c>
      <c r="E216">
        <v>0</v>
      </c>
      <c r="F216">
        <v>-0.12564345877740743</v>
      </c>
      <c r="G216">
        <v>8.1470157773178259E-2</v>
      </c>
      <c r="H216">
        <v>0.18588105185395187</v>
      </c>
    </row>
    <row r="217" spans="2:8">
      <c r="B217">
        <v>3</v>
      </c>
      <c r="C217">
        <v>106</v>
      </c>
      <c r="D217">
        <v>3</v>
      </c>
      <c r="E217">
        <v>0</v>
      </c>
      <c r="F217">
        <v>-3.3184192283219158E-2</v>
      </c>
      <c r="G217">
        <v>-0.25399865647273068</v>
      </c>
      <c r="H217">
        <v>-0.20135975091847888</v>
      </c>
    </row>
    <row r="218" spans="2:8">
      <c r="B218">
        <v>3</v>
      </c>
      <c r="C218">
        <v>106</v>
      </c>
      <c r="D218">
        <v>3</v>
      </c>
      <c r="E218">
        <v>0</v>
      </c>
      <c r="F218">
        <v>-7.9935127239500452E-3</v>
      </c>
      <c r="G218">
        <v>8.3086254989900007E-2</v>
      </c>
      <c r="H218">
        <v>0.14110584768498727</v>
      </c>
    </row>
    <row r="219" spans="2:8">
      <c r="B219">
        <v>1</v>
      </c>
      <c r="C219">
        <v>102</v>
      </c>
      <c r="D219">
        <v>1</v>
      </c>
      <c r="E219">
        <v>0</v>
      </c>
      <c r="F219">
        <v>0.14733295476377964</v>
      </c>
      <c r="G219">
        <v>-0.4203747109867062</v>
      </c>
      <c r="H219">
        <v>-0.41594792129661162</v>
      </c>
    </row>
    <row r="220" spans="2:8">
      <c r="B220">
        <v>3</v>
      </c>
      <c r="C220">
        <v>106</v>
      </c>
      <c r="D220">
        <v>3</v>
      </c>
      <c r="E220">
        <v>0</v>
      </c>
      <c r="F220">
        <v>-0.13343840391699641</v>
      </c>
      <c r="G220">
        <v>-0.1606573757109088</v>
      </c>
      <c r="H220">
        <v>-6.7131414940352976E-2</v>
      </c>
    </row>
    <row r="221" spans="2:8">
      <c r="B221">
        <v>3</v>
      </c>
      <c r="C221">
        <v>106</v>
      </c>
      <c r="D221">
        <v>3</v>
      </c>
      <c r="E221">
        <v>0</v>
      </c>
      <c r="F221">
        <v>-0.12092167582594121</v>
      </c>
      <c r="G221">
        <v>-0.25739765997416753</v>
      </c>
      <c r="H221">
        <v>-0.29756270409682134</v>
      </c>
    </row>
    <row r="222" spans="2:8">
      <c r="B222">
        <v>3</v>
      </c>
      <c r="C222">
        <v>106</v>
      </c>
      <c r="D222">
        <v>3</v>
      </c>
      <c r="E222">
        <v>0</v>
      </c>
      <c r="F222">
        <v>-4.6082170269602485E-2</v>
      </c>
      <c r="G222">
        <v>4.9924650084769533E-2</v>
      </c>
      <c r="H222">
        <v>-4.4799255865803994E-2</v>
      </c>
    </row>
    <row r="223" spans="2:8">
      <c r="B223">
        <v>1</v>
      </c>
      <c r="C223">
        <v>102</v>
      </c>
      <c r="D223">
        <v>1</v>
      </c>
      <c r="E223">
        <v>0</v>
      </c>
      <c r="F223">
        <v>3.4056356199820462E-2</v>
      </c>
      <c r="G223">
        <v>-0.22795748337538949</v>
      </c>
      <c r="H223">
        <v>-0.38847820820962992</v>
      </c>
    </row>
    <row r="224" spans="2:8">
      <c r="B224">
        <v>3</v>
      </c>
      <c r="C224">
        <v>106</v>
      </c>
      <c r="D224">
        <v>3</v>
      </c>
      <c r="E224">
        <v>0</v>
      </c>
      <c r="F224">
        <v>-9.6779882867262818E-3</v>
      </c>
      <c r="G224">
        <v>-6.4329813950714271E-2</v>
      </c>
      <c r="H224">
        <v>-0.30607487668062522</v>
      </c>
    </row>
    <row r="225" spans="2:8">
      <c r="B225">
        <v>3</v>
      </c>
      <c r="C225">
        <v>106</v>
      </c>
      <c r="D225">
        <v>3</v>
      </c>
      <c r="E225">
        <v>0</v>
      </c>
      <c r="F225">
        <v>-0.20404233470741026</v>
      </c>
      <c r="G225">
        <v>-0.13839137856703501</v>
      </c>
      <c r="H225">
        <v>-0.13630069796353578</v>
      </c>
    </row>
    <row r="226" spans="2:8">
      <c r="B226">
        <v>3</v>
      </c>
      <c r="C226">
        <v>106</v>
      </c>
      <c r="D226">
        <v>3</v>
      </c>
      <c r="E226">
        <v>0</v>
      </c>
      <c r="F226">
        <v>-6.3227087967963599E-2</v>
      </c>
      <c r="G226">
        <v>-0.15080159135732601</v>
      </c>
      <c r="H226">
        <v>-0.26356405136521177</v>
      </c>
    </row>
    <row r="227" spans="2:8">
      <c r="B227">
        <v>1</v>
      </c>
      <c r="C227">
        <v>102</v>
      </c>
      <c r="D227">
        <v>1</v>
      </c>
      <c r="E227">
        <v>0</v>
      </c>
      <c r="F227">
        <v>0.10273656663294894</v>
      </c>
    </row>
    <row r="228" spans="2:8">
      <c r="B228">
        <v>3</v>
      </c>
      <c r="C228">
        <v>106</v>
      </c>
      <c r="D228">
        <v>3</v>
      </c>
      <c r="E228">
        <v>0</v>
      </c>
      <c r="F228">
        <v>-0.17546132790586519</v>
      </c>
      <c r="G228">
        <v>-0.23706307443037644</v>
      </c>
      <c r="H228">
        <v>-0.18968826951831541</v>
      </c>
    </row>
    <row r="229" spans="2:8">
      <c r="B229">
        <v>3</v>
      </c>
      <c r="C229">
        <v>106</v>
      </c>
      <c r="D229">
        <v>3</v>
      </c>
      <c r="E229">
        <v>0</v>
      </c>
      <c r="F229">
        <v>-1.5771781451584151E-2</v>
      </c>
      <c r="G229">
        <v>-4.5682755911931008E-2</v>
      </c>
      <c r="H229">
        <v>2.9302634222451225E-2</v>
      </c>
    </row>
    <row r="230" spans="2:8">
      <c r="B230">
        <v>3</v>
      </c>
      <c r="C230">
        <v>106</v>
      </c>
      <c r="D230">
        <v>3</v>
      </c>
      <c r="E230">
        <v>0</v>
      </c>
      <c r="F230">
        <v>-5.9977323181716918E-2</v>
      </c>
      <c r="G230">
        <v>-0.36895391416149809</v>
      </c>
      <c r="H230">
        <v>-0.3696771267193889</v>
      </c>
    </row>
    <row r="231" spans="2:8">
      <c r="B231">
        <v>3</v>
      </c>
      <c r="C231">
        <v>106</v>
      </c>
      <c r="D231">
        <v>3</v>
      </c>
      <c r="E231">
        <v>0</v>
      </c>
      <c r="F231">
        <v>-0.14647047370233451</v>
      </c>
      <c r="G231">
        <v>-4.8855604527677718E-2</v>
      </c>
      <c r="H231">
        <v>-0.29950066981033036</v>
      </c>
    </row>
    <row r="232" spans="2:8">
      <c r="B232">
        <v>1</v>
      </c>
      <c r="C232">
        <v>102</v>
      </c>
      <c r="D232">
        <v>1</v>
      </c>
      <c r="E232">
        <v>0</v>
      </c>
      <c r="F232">
        <v>0.14164521098595301</v>
      </c>
      <c r="G232">
        <v>-1.6698533789052936E-2</v>
      </c>
      <c r="H232">
        <v>3.9994381665145969E-2</v>
      </c>
    </row>
    <row r="233" spans="2:8">
      <c r="B233">
        <v>3</v>
      </c>
      <c r="C233">
        <v>55.638008560125861</v>
      </c>
      <c r="D233">
        <v>2</v>
      </c>
      <c r="E233">
        <v>0</v>
      </c>
      <c r="F233">
        <v>-0.29980627221546691</v>
      </c>
      <c r="G233">
        <v>-0.28677471475952232</v>
      </c>
      <c r="H233">
        <v>-0.44361991439874138</v>
      </c>
    </row>
    <row r="234" spans="2:8">
      <c r="B234">
        <v>3</v>
      </c>
      <c r="C234">
        <v>51.237201066056301</v>
      </c>
      <c r="D234">
        <v>1</v>
      </c>
      <c r="E234">
        <v>0</v>
      </c>
      <c r="F234">
        <v>-0.28655609933838483</v>
      </c>
      <c r="G234">
        <v>-0.70100134503091127</v>
      </c>
      <c r="H234">
        <v>-0.48762798933943702</v>
      </c>
    </row>
    <row r="235" spans="2:8">
      <c r="B235">
        <v>3</v>
      </c>
      <c r="C235">
        <v>106</v>
      </c>
      <c r="D235">
        <v>3</v>
      </c>
      <c r="E235">
        <v>0</v>
      </c>
      <c r="F235">
        <v>-0.33303033904010054</v>
      </c>
      <c r="G235">
        <v>-0.11542283022268478</v>
      </c>
      <c r="H235">
        <v>1.1330405870630377E-2</v>
      </c>
    </row>
    <row r="236" spans="2:8">
      <c r="B236">
        <v>3</v>
      </c>
      <c r="C236">
        <v>106</v>
      </c>
      <c r="D236">
        <v>3</v>
      </c>
      <c r="E236">
        <v>0</v>
      </c>
      <c r="F236">
        <v>-0.22844517463774819</v>
      </c>
      <c r="G236">
        <v>-0.32485070653000486</v>
      </c>
      <c r="H236">
        <v>-0.31645317975177628</v>
      </c>
    </row>
    <row r="237" spans="2:8">
      <c r="B237">
        <v>1</v>
      </c>
      <c r="C237">
        <v>102</v>
      </c>
      <c r="D237">
        <v>1</v>
      </c>
      <c r="E237">
        <v>0</v>
      </c>
      <c r="F237">
        <v>0.11150289766170067</v>
      </c>
      <c r="G237">
        <v>-4.2433892150046698E-2</v>
      </c>
      <c r="H237">
        <v>-0.11829235852401786</v>
      </c>
    </row>
    <row r="238" spans="2:8">
      <c r="B238">
        <v>1</v>
      </c>
      <c r="C238">
        <v>102</v>
      </c>
      <c r="D238">
        <v>1</v>
      </c>
      <c r="E238">
        <v>0</v>
      </c>
      <c r="F238">
        <v>3.7155766039852531E-2</v>
      </c>
      <c r="G238">
        <v>-0.18418075240926182</v>
      </c>
      <c r="H238">
        <v>-0.19691119548330904</v>
      </c>
    </row>
    <row r="239" spans="2:8">
      <c r="B239">
        <v>1</v>
      </c>
      <c r="C239">
        <v>102</v>
      </c>
      <c r="D239">
        <v>1</v>
      </c>
      <c r="E239">
        <v>0</v>
      </c>
      <c r="F239">
        <v>0.11427445346890795</v>
      </c>
      <c r="G239">
        <v>-8.6878317920994166E-2</v>
      </c>
      <c r="H239">
        <v>-0.18190241794555062</v>
      </c>
    </row>
    <row r="240" spans="2:8">
      <c r="B240">
        <v>3</v>
      </c>
      <c r="C240">
        <v>106</v>
      </c>
      <c r="D240">
        <v>3</v>
      </c>
      <c r="E240">
        <v>0</v>
      </c>
      <c r="F240">
        <v>-7.8848531932428259E-2</v>
      </c>
      <c r="G240">
        <v>-0.2044919907098357</v>
      </c>
      <c r="H240">
        <v>2.6216258407500536E-3</v>
      </c>
    </row>
    <row r="241" spans="2:8">
      <c r="B241">
        <v>1</v>
      </c>
      <c r="C241">
        <v>102</v>
      </c>
      <c r="D241">
        <v>1</v>
      </c>
      <c r="E241">
        <v>0</v>
      </c>
      <c r="F241">
        <v>2.4289085440474856E-2</v>
      </c>
      <c r="G241">
        <v>-4.1251214716207164E-2</v>
      </c>
      <c r="H241">
        <v>-0.13263379414011159</v>
      </c>
    </row>
    <row r="242" spans="2:8">
      <c r="B242">
        <v>1</v>
      </c>
      <c r="C242">
        <v>102</v>
      </c>
      <c r="D242">
        <v>1</v>
      </c>
      <c r="E242">
        <v>0</v>
      </c>
      <c r="F242">
        <v>1.7721402853780044E-2</v>
      </c>
    </row>
    <row r="243" spans="2:8">
      <c r="B243">
        <v>1</v>
      </c>
      <c r="C243">
        <v>102</v>
      </c>
      <c r="D243">
        <v>1</v>
      </c>
      <c r="E243">
        <v>0</v>
      </c>
      <c r="F243">
        <v>0.27536792882916622</v>
      </c>
      <c r="G243">
        <v>-0.27886074315791054</v>
      </c>
      <c r="H243">
        <v>-0.38989449938347448</v>
      </c>
    </row>
    <row r="244" spans="2:8">
      <c r="B244">
        <v>3</v>
      </c>
      <c r="C244">
        <v>52.433507091550545</v>
      </c>
      <c r="D244">
        <v>1</v>
      </c>
      <c r="E244">
        <v>0</v>
      </c>
      <c r="F244">
        <v>-0.31500755337358566</v>
      </c>
      <c r="G244">
        <v>-0.44844595729058206</v>
      </c>
      <c r="H244">
        <v>-0.47566492908449454</v>
      </c>
    </row>
    <row r="245" spans="2:8">
      <c r="B245">
        <v>3</v>
      </c>
      <c r="C245">
        <v>48.842173042392112</v>
      </c>
      <c r="D245">
        <v>2</v>
      </c>
      <c r="E245">
        <v>0</v>
      </c>
      <c r="F245">
        <v>-0.25418060960191136</v>
      </c>
      <c r="G245">
        <v>-0.37510228542785251</v>
      </c>
      <c r="H245">
        <v>-0.51157826957607888</v>
      </c>
    </row>
    <row r="246" spans="2:8">
      <c r="B246">
        <v>1</v>
      </c>
      <c r="C246">
        <v>102</v>
      </c>
      <c r="D246">
        <v>1</v>
      </c>
      <c r="E246">
        <v>0</v>
      </c>
      <c r="F246">
        <v>0.20122804041049808</v>
      </c>
      <c r="G246">
        <v>-0.22743280024238804</v>
      </c>
      <c r="H246">
        <v>-0.27293927825883996</v>
      </c>
    </row>
    <row r="247" spans="2:8">
      <c r="B247">
        <v>3</v>
      </c>
      <c r="C247">
        <v>106</v>
      </c>
      <c r="D247">
        <v>3</v>
      </c>
      <c r="E247">
        <v>0</v>
      </c>
      <c r="F247">
        <v>-8.3200175945449692E-2</v>
      </c>
      <c r="G247">
        <v>-4.914381974562932E-2</v>
      </c>
      <c r="H247">
        <v>-0.20800242926616816</v>
      </c>
    </row>
    <row r="248" spans="2:8">
      <c r="B248">
        <v>1</v>
      </c>
      <c r="C248">
        <v>102</v>
      </c>
      <c r="D248">
        <v>1</v>
      </c>
      <c r="E248">
        <v>0</v>
      </c>
      <c r="F248">
        <v>3.9061626220234388E-2</v>
      </c>
      <c r="G248">
        <v>-0.34628236833715748</v>
      </c>
      <c r="H248">
        <v>-0.48926656609929908</v>
      </c>
    </row>
    <row r="249" spans="2:8">
      <c r="B249">
        <v>3</v>
      </c>
      <c r="C249">
        <v>106</v>
      </c>
      <c r="D249">
        <v>3</v>
      </c>
      <c r="E249">
        <v>0</v>
      </c>
      <c r="F249">
        <v>-2.2870510082452594E-2</v>
      </c>
      <c r="G249">
        <v>-0.22691284478986293</v>
      </c>
      <c r="H249">
        <v>-0.16126188864948779</v>
      </c>
    </row>
    <row r="250" spans="2:8">
      <c r="B250">
        <v>3</v>
      </c>
      <c r="C250">
        <v>106</v>
      </c>
      <c r="D250">
        <v>3</v>
      </c>
      <c r="E250">
        <v>0</v>
      </c>
      <c r="F250">
        <v>-0.15160584541545727</v>
      </c>
      <c r="G250">
        <v>-0.21483293338342099</v>
      </c>
      <c r="H250">
        <v>-0.30240743677278326</v>
      </c>
    </row>
    <row r="251" spans="2:8">
      <c r="B251">
        <v>1</v>
      </c>
      <c r="C251">
        <v>102</v>
      </c>
      <c r="D251">
        <v>1</v>
      </c>
      <c r="E251">
        <v>0</v>
      </c>
      <c r="F251">
        <v>0.17189171383887905</v>
      </c>
      <c r="G251">
        <v>-0.5080037107462041</v>
      </c>
      <c r="H251">
        <v>-0.40738414249453947</v>
      </c>
    </row>
    <row r="252" spans="2:8">
      <c r="B252">
        <v>1</v>
      </c>
      <c r="C252">
        <v>102</v>
      </c>
      <c r="D252">
        <v>1</v>
      </c>
      <c r="E252">
        <v>0</v>
      </c>
      <c r="F252">
        <v>0.23743799003692587</v>
      </c>
      <c r="G252">
        <v>0.11667024150234578</v>
      </c>
      <c r="H252">
        <v>0.25284716160238296</v>
      </c>
    </row>
    <row r="253" spans="2:8">
      <c r="B253">
        <v>3</v>
      </c>
      <c r="C253">
        <v>106</v>
      </c>
      <c r="D253">
        <v>3</v>
      </c>
      <c r="E253">
        <v>0</v>
      </c>
      <c r="F253">
        <v>-0.10991602386305176</v>
      </c>
      <c r="G253">
        <v>-0.12568780531463594</v>
      </c>
      <c r="H253">
        <v>-0.15559877977498263</v>
      </c>
    </row>
    <row r="254" spans="2:8">
      <c r="B254">
        <v>1</v>
      </c>
      <c r="C254">
        <v>102</v>
      </c>
      <c r="D254">
        <v>1</v>
      </c>
      <c r="E254">
        <v>0</v>
      </c>
      <c r="F254">
        <v>0.16095131636291457</v>
      </c>
    </row>
    <row r="255" spans="2:8">
      <c r="B255">
        <v>1</v>
      </c>
      <c r="C255">
        <v>102</v>
      </c>
      <c r="D255">
        <v>1</v>
      </c>
      <c r="E255">
        <v>0</v>
      </c>
      <c r="F255">
        <v>0.38973969258213426</v>
      </c>
      <c r="G255">
        <v>-0.20170413312287819</v>
      </c>
      <c r="H255">
        <v>-0.34975736418541237</v>
      </c>
    </row>
    <row r="256" spans="2:8">
      <c r="B256">
        <v>3</v>
      </c>
      <c r="C256">
        <v>106</v>
      </c>
      <c r="D256">
        <v>3</v>
      </c>
      <c r="E256">
        <v>0</v>
      </c>
      <c r="F256">
        <v>-0.15357728391881334</v>
      </c>
      <c r="G256">
        <v>-1.1932072932860343E-2</v>
      </c>
      <c r="H256">
        <v>5.7246754250359848E-2</v>
      </c>
    </row>
    <row r="257" spans="2:8">
      <c r="B257">
        <v>3</v>
      </c>
      <c r="C257">
        <v>106</v>
      </c>
      <c r="D257">
        <v>3</v>
      </c>
      <c r="E257">
        <v>0</v>
      </c>
      <c r="F257">
        <v>-6.7524541363851179E-2</v>
      </c>
      <c r="G257">
        <v>-0.36733081357931802</v>
      </c>
      <c r="H257">
        <v>-0.3542992561233736</v>
      </c>
    </row>
    <row r="258" spans="2:8">
      <c r="B258">
        <v>1</v>
      </c>
      <c r="C258">
        <v>102</v>
      </c>
      <c r="D258">
        <v>1</v>
      </c>
      <c r="E258">
        <v>0</v>
      </c>
      <c r="F258">
        <v>0.12481721591275541</v>
      </c>
      <c r="G258">
        <v>-0.40733024287149566</v>
      </c>
      <c r="H258">
        <v>-0.64848728580119785</v>
      </c>
    </row>
    <row r="259" spans="2:8">
      <c r="B259">
        <v>3</v>
      </c>
      <c r="C259">
        <v>104</v>
      </c>
      <c r="D259">
        <v>2</v>
      </c>
      <c r="E259">
        <v>0</v>
      </c>
      <c r="F259">
        <v>-0.23649809392538346</v>
      </c>
      <c r="G259">
        <v>-0.56952843296548394</v>
      </c>
      <c r="H259">
        <v>-0.3519209241480683</v>
      </c>
    </row>
    <row r="260" spans="2:8">
      <c r="B260">
        <v>1</v>
      </c>
      <c r="C260">
        <v>102</v>
      </c>
      <c r="D260">
        <v>1</v>
      </c>
      <c r="E260">
        <v>0</v>
      </c>
      <c r="F260">
        <v>0.13502731540915169</v>
      </c>
      <c r="G260">
        <v>-0.45010445460347015</v>
      </c>
      <c r="H260">
        <v>-0.53166227708924785</v>
      </c>
    </row>
    <row r="261" spans="2:8">
      <c r="B261">
        <v>3</v>
      </c>
      <c r="C261">
        <v>106</v>
      </c>
      <c r="D261">
        <v>3</v>
      </c>
      <c r="E261">
        <v>0</v>
      </c>
      <c r="F261">
        <v>-5.2191946258942964E-3</v>
      </c>
      <c r="G261">
        <v>0.10628370303580631</v>
      </c>
      <c r="H261">
        <v>0.19581409356713184</v>
      </c>
    </row>
    <row r="262" spans="2:8">
      <c r="B262">
        <v>3</v>
      </c>
      <c r="C262">
        <v>106</v>
      </c>
      <c r="D262">
        <v>3</v>
      </c>
      <c r="E262">
        <v>0</v>
      </c>
      <c r="F262">
        <v>-0.22550907787173513</v>
      </c>
      <c r="G262">
        <v>-0.18835331183188272</v>
      </c>
      <c r="H262">
        <v>-0.33168154100933067</v>
      </c>
    </row>
    <row r="263" spans="2:8">
      <c r="B263">
        <v>3</v>
      </c>
      <c r="C263">
        <v>106</v>
      </c>
      <c r="D263">
        <v>3</v>
      </c>
      <c r="E263">
        <v>0</v>
      </c>
      <c r="F263">
        <v>-2.4519736029177942E-2</v>
      </c>
      <c r="G263">
        <v>8.9754717439729972E-2</v>
      </c>
      <c r="H263">
        <v>-3.894482660435958E-3</v>
      </c>
    </row>
    <row r="264" spans="2:8">
      <c r="B264">
        <v>3</v>
      </c>
      <c r="C264">
        <v>106</v>
      </c>
      <c r="D264">
        <v>3</v>
      </c>
      <c r="E264">
        <v>0</v>
      </c>
      <c r="F264">
        <v>-3.4230718536748549E-2</v>
      </c>
      <c r="G264">
        <v>-0.1130792504691768</v>
      </c>
      <c r="H264">
        <v>-0.23872270924658423</v>
      </c>
    </row>
    <row r="265" spans="2:8">
      <c r="B265">
        <v>3</v>
      </c>
      <c r="C265">
        <v>106</v>
      </c>
      <c r="D265">
        <v>3</v>
      </c>
      <c r="E265">
        <v>0</v>
      </c>
      <c r="F265">
        <v>-0.27056641396240988</v>
      </c>
      <c r="G265">
        <v>-0.24627732852193515</v>
      </c>
      <c r="H265">
        <v>-0.27946152080515424</v>
      </c>
    </row>
    <row r="266" spans="2:8">
      <c r="B266">
        <v>1</v>
      </c>
      <c r="C266">
        <v>102</v>
      </c>
      <c r="D266">
        <v>1</v>
      </c>
      <c r="E266">
        <v>0</v>
      </c>
      <c r="F266">
        <v>4.5409481879611788E-2</v>
      </c>
      <c r="G266">
        <v>-0.24234932962439071</v>
      </c>
      <c r="H266">
        <v>-0.24587884465140183</v>
      </c>
    </row>
    <row r="267" spans="2:8">
      <c r="B267">
        <v>3</v>
      </c>
      <c r="C267">
        <v>106</v>
      </c>
      <c r="D267">
        <v>3</v>
      </c>
      <c r="E267">
        <v>0</v>
      </c>
      <c r="F267">
        <v>-0.29459206805085092</v>
      </c>
      <c r="G267">
        <v>-1.9224139221684707E-2</v>
      </c>
      <c r="H267">
        <v>0.12810881554209494</v>
      </c>
    </row>
    <row r="268" spans="2:8">
      <c r="B268">
        <v>1</v>
      </c>
      <c r="C268">
        <v>102</v>
      </c>
      <c r="D268">
        <v>1</v>
      </c>
      <c r="E268">
        <v>0</v>
      </c>
      <c r="F268">
        <v>7.8679026650108314E-2</v>
      </c>
      <c r="G268">
        <v>-5.5265463216338712E-2</v>
      </c>
      <c r="H268">
        <v>-1.9333134538628106E-2</v>
      </c>
    </row>
    <row r="269" spans="2:8">
      <c r="B269">
        <v>1</v>
      </c>
      <c r="C269">
        <v>102</v>
      </c>
      <c r="D269">
        <v>1</v>
      </c>
      <c r="E269">
        <v>0</v>
      </c>
      <c r="F269">
        <v>0.12982935249064692</v>
      </c>
    </row>
    <row r="270" spans="2:8">
      <c r="B270">
        <v>3</v>
      </c>
      <c r="C270">
        <v>106</v>
      </c>
      <c r="D270">
        <v>3</v>
      </c>
      <c r="E270">
        <v>0</v>
      </c>
      <c r="F270">
        <v>-0.10537185052968177</v>
      </c>
      <c r="G270">
        <v>9.5856189880816178E-2</v>
      </c>
      <c r="H270">
        <v>4.9774019611213756E-2</v>
      </c>
    </row>
    <row r="271" spans="2:8">
      <c r="B271">
        <v>1</v>
      </c>
      <c r="C271">
        <v>102</v>
      </c>
      <c r="D271">
        <v>1</v>
      </c>
      <c r="E271">
        <v>0</v>
      </c>
      <c r="F271">
        <v>0.13297445946379799</v>
      </c>
      <c r="G271">
        <v>-6.2896041326172408E-2</v>
      </c>
      <c r="H271">
        <v>-0.14745081756894882</v>
      </c>
    </row>
    <row r="272" spans="2:8">
      <c r="B272">
        <v>3</v>
      </c>
      <c r="C272">
        <v>106</v>
      </c>
      <c r="D272">
        <v>3</v>
      </c>
      <c r="E272">
        <v>0</v>
      </c>
      <c r="F272">
        <v>-0.26402418666047933</v>
      </c>
      <c r="G272">
        <v>-0.22496256044024479</v>
      </c>
      <c r="H272">
        <v>-0.23464054872697115</v>
      </c>
    </row>
    <row r="273" spans="2:8">
      <c r="B273">
        <v>1</v>
      </c>
      <c r="C273">
        <v>102</v>
      </c>
      <c r="D273">
        <v>1</v>
      </c>
      <c r="E273">
        <v>0</v>
      </c>
      <c r="F273">
        <v>0.26309564027627291</v>
      </c>
      <c r="G273">
        <v>-0.28083406671629146</v>
      </c>
      <c r="H273">
        <v>-8.7625916789572877E-2</v>
      </c>
    </row>
    <row r="274" spans="2:8">
      <c r="B274">
        <v>3</v>
      </c>
      <c r="C274">
        <v>106</v>
      </c>
      <c r="D274">
        <v>3</v>
      </c>
      <c r="E274">
        <v>0</v>
      </c>
      <c r="F274">
        <v>-0.1238480130220479</v>
      </c>
      <c r="G274">
        <v>-0.27545385843750519</v>
      </c>
      <c r="H274">
        <v>-0.33868094640546886</v>
      </c>
    </row>
    <row r="275" spans="2:8">
      <c r="B275">
        <v>3</v>
      </c>
      <c r="C275">
        <v>106</v>
      </c>
      <c r="D275">
        <v>3</v>
      </c>
      <c r="E275">
        <v>0</v>
      </c>
      <c r="F275">
        <v>-0.15035091984884813</v>
      </c>
      <c r="G275">
        <v>2.154079399003091E-2</v>
      </c>
      <c r="H275">
        <v>0.12427736062297993</v>
      </c>
    </row>
    <row r="276" spans="2:8">
      <c r="B276">
        <v>1</v>
      </c>
      <c r="C276">
        <v>102</v>
      </c>
      <c r="D276">
        <v>1</v>
      </c>
      <c r="E276">
        <v>0</v>
      </c>
      <c r="F276">
        <v>3.5262570979106428E-2</v>
      </c>
      <c r="G276">
        <v>-3.5808668748789713E-2</v>
      </c>
      <c r="H276">
        <v>-2.8838373406133294E-2</v>
      </c>
    </row>
    <row r="277" spans="2:8">
      <c r="B277">
        <v>3</v>
      </c>
      <c r="C277">
        <v>106</v>
      </c>
      <c r="D277">
        <v>3</v>
      </c>
      <c r="E277">
        <v>0</v>
      </c>
      <c r="F277">
        <v>-0.23339446819561188</v>
      </c>
      <c r="G277">
        <v>-0.34331049205866343</v>
      </c>
      <c r="H277">
        <v>-0.35908227351024752</v>
      </c>
    </row>
    <row r="278" spans="2:8">
      <c r="B278">
        <v>3</v>
      </c>
      <c r="C278">
        <v>106</v>
      </c>
      <c r="D278">
        <v>3</v>
      </c>
      <c r="E278">
        <v>0</v>
      </c>
      <c r="F278">
        <v>-1.1357708693694148E-2</v>
      </c>
      <c r="G278">
        <v>0.14959360766922039</v>
      </c>
      <c r="H278">
        <v>8.96162844875035E-2</v>
      </c>
    </row>
    <row r="279" spans="2:8">
      <c r="B279">
        <v>3</v>
      </c>
      <c r="C279">
        <v>106</v>
      </c>
      <c r="D279">
        <v>3</v>
      </c>
      <c r="E279">
        <v>0</v>
      </c>
      <c r="F279">
        <v>-7.2879768661084296E-2</v>
      </c>
      <c r="G279">
        <v>0.31685992392104995</v>
      </c>
      <c r="H279">
        <v>0.17038945021871554</v>
      </c>
    </row>
    <row r="280" spans="2:8">
      <c r="B280">
        <v>3</v>
      </c>
      <c r="C280">
        <v>106</v>
      </c>
      <c r="D280">
        <v>3</v>
      </c>
      <c r="E280">
        <v>0</v>
      </c>
      <c r="F280">
        <v>-0.10366215352462642</v>
      </c>
      <c r="G280">
        <v>-0.25723943744343958</v>
      </c>
      <c r="H280">
        <v>-0.11559422645748667</v>
      </c>
    </row>
    <row r="281" spans="2:8">
      <c r="B281">
        <v>3</v>
      </c>
      <c r="C281">
        <v>106</v>
      </c>
      <c r="D281">
        <v>3</v>
      </c>
      <c r="E281">
        <v>0</v>
      </c>
      <c r="F281">
        <v>-1.2431238823558694E-2</v>
      </c>
      <c r="G281">
        <v>-7.9955780187409745E-2</v>
      </c>
      <c r="H281">
        <v>-0.37976205240287669</v>
      </c>
    </row>
    <row r="282" spans="2:8">
      <c r="B282">
        <v>1</v>
      </c>
      <c r="C282">
        <v>102</v>
      </c>
      <c r="D282">
        <v>1</v>
      </c>
      <c r="E282">
        <v>0</v>
      </c>
      <c r="F282">
        <v>0.17925536379068169</v>
      </c>
      <c r="G282">
        <v>-0.48515925567303936</v>
      </c>
      <c r="H282">
        <v>-0.68464128380476175</v>
      </c>
    </row>
    <row r="283" spans="2:8">
      <c r="B283">
        <v>3</v>
      </c>
      <c r="C283">
        <v>24.91781932646775</v>
      </c>
      <c r="D283">
        <v>1</v>
      </c>
      <c r="E283">
        <v>0</v>
      </c>
      <c r="F283">
        <v>-0.18129337376983845</v>
      </c>
      <c r="G283">
        <v>-0.41779146769522202</v>
      </c>
      <c r="H283">
        <v>-0.75082180673532251</v>
      </c>
    </row>
    <row r="284" spans="2:8">
      <c r="B284">
        <v>3</v>
      </c>
      <c r="C284">
        <v>106</v>
      </c>
      <c r="D284">
        <v>3</v>
      </c>
      <c r="E284">
        <v>0</v>
      </c>
      <c r="F284">
        <v>-2.4305260937372425E-3</v>
      </c>
      <c r="G284">
        <v>0.13259678931541447</v>
      </c>
      <c r="H284">
        <v>-9.5848385322333599E-2</v>
      </c>
    </row>
    <row r="285" spans="2:8">
      <c r="B285">
        <v>3</v>
      </c>
      <c r="C285">
        <v>106</v>
      </c>
      <c r="D285">
        <v>3</v>
      </c>
      <c r="E285">
        <v>0</v>
      </c>
      <c r="F285">
        <v>-9.9174896590575976E-2</v>
      </c>
      <c r="G285">
        <v>-0.10439409121647025</v>
      </c>
      <c r="H285">
        <v>7.1088064452303331E-3</v>
      </c>
    </row>
    <row r="286" spans="2:8">
      <c r="B286">
        <v>3</v>
      </c>
      <c r="C286">
        <v>106</v>
      </c>
      <c r="D286">
        <v>3</v>
      </c>
      <c r="E286">
        <v>0</v>
      </c>
      <c r="F286">
        <v>-2.5574551945579917E-2</v>
      </c>
      <c r="G286">
        <v>-0.25108362981731502</v>
      </c>
      <c r="H286">
        <v>-0.21392786377746248</v>
      </c>
    </row>
    <row r="287" spans="2:8">
      <c r="B287">
        <v>3</v>
      </c>
      <c r="C287">
        <v>106</v>
      </c>
      <c r="D287">
        <v>3</v>
      </c>
      <c r="E287">
        <v>0</v>
      </c>
      <c r="F287">
        <v>-0.37325405754005747</v>
      </c>
      <c r="G287">
        <v>-0.39777379356923531</v>
      </c>
      <c r="H287">
        <v>-0.28349934010032729</v>
      </c>
    </row>
    <row r="288" spans="2:8">
      <c r="B288">
        <v>1</v>
      </c>
      <c r="C288">
        <v>102</v>
      </c>
      <c r="D288">
        <v>1</v>
      </c>
      <c r="E288">
        <v>0</v>
      </c>
      <c r="F288">
        <v>0.17470963820789681</v>
      </c>
      <c r="G288">
        <v>-0.28194920606876972</v>
      </c>
      <c r="H288">
        <v>-0.33793033517919352</v>
      </c>
    </row>
    <row r="289" spans="2:8">
      <c r="B289">
        <v>3</v>
      </c>
      <c r="C289">
        <v>106</v>
      </c>
      <c r="D289">
        <v>3</v>
      </c>
      <c r="E289">
        <v>0</v>
      </c>
      <c r="F289">
        <v>-5.7313935435902921E-2</v>
      </c>
      <c r="G289">
        <v>-0.32788034939831284</v>
      </c>
      <c r="H289">
        <v>-0.30359126395783803</v>
      </c>
    </row>
    <row r="290" spans="2:8">
      <c r="B290">
        <v>3</v>
      </c>
      <c r="C290">
        <v>106</v>
      </c>
      <c r="D290">
        <v>3</v>
      </c>
      <c r="E290">
        <v>0</v>
      </c>
      <c r="F290">
        <v>-4.2833123454651977E-2</v>
      </c>
      <c r="G290">
        <v>2.5763584249598264E-3</v>
      </c>
      <c r="H290">
        <v>2.0297761278739963E-2</v>
      </c>
    </row>
    <row r="291" spans="2:8">
      <c r="B291">
        <v>3</v>
      </c>
      <c r="C291">
        <v>104</v>
      </c>
      <c r="D291">
        <v>2</v>
      </c>
      <c r="E291">
        <v>0</v>
      </c>
      <c r="F291">
        <v>-0.21802251069371753</v>
      </c>
      <c r="G291">
        <v>-0.51261457874456851</v>
      </c>
      <c r="H291">
        <v>-0.23724664991540226</v>
      </c>
    </row>
    <row r="292" spans="2:8">
      <c r="B292">
        <v>3</v>
      </c>
      <c r="C292">
        <v>106</v>
      </c>
      <c r="D292">
        <v>3</v>
      </c>
      <c r="E292">
        <v>0</v>
      </c>
      <c r="F292">
        <v>-3.7493474364981114E-2</v>
      </c>
      <c r="G292">
        <v>4.1185552285127131E-2</v>
      </c>
      <c r="H292">
        <v>-0.2738220010884585</v>
      </c>
    </row>
    <row r="293" spans="2:8">
      <c r="B293">
        <v>1</v>
      </c>
      <c r="C293">
        <v>102</v>
      </c>
      <c r="D293">
        <v>1</v>
      </c>
      <c r="E293">
        <v>0</v>
      </c>
      <c r="F293">
        <v>5.5442968694535367E-3</v>
      </c>
      <c r="G293">
        <v>1.8043392916021844E-2</v>
      </c>
      <c r="H293">
        <v>-3.3653639395904919E-2</v>
      </c>
    </row>
    <row r="294" spans="2:8">
      <c r="B294">
        <v>1</v>
      </c>
      <c r="C294">
        <v>102</v>
      </c>
      <c r="D294">
        <v>1</v>
      </c>
      <c r="E294">
        <v>0</v>
      </c>
      <c r="F294">
        <v>8.0965208544321349E-2</v>
      </c>
      <c r="G294">
        <v>-0.11225081759795492</v>
      </c>
      <c r="H294">
        <v>-8.8287104174932352E-2</v>
      </c>
    </row>
    <row r="295" spans="2:8">
      <c r="B295">
        <v>3</v>
      </c>
      <c r="C295">
        <v>106</v>
      </c>
      <c r="D295">
        <v>3</v>
      </c>
      <c r="E295">
        <v>0</v>
      </c>
      <c r="F295">
        <v>-1.4103613248143042E-2</v>
      </c>
      <c r="G295">
        <v>0.11887084621565494</v>
      </c>
      <c r="H295">
        <v>3.5670670270205339E-2</v>
      </c>
    </row>
    <row r="296" spans="2:8">
      <c r="B296">
        <v>3</v>
      </c>
      <c r="C296">
        <v>59.00331985535999</v>
      </c>
      <c r="D296">
        <v>1</v>
      </c>
      <c r="E296">
        <v>0</v>
      </c>
      <c r="F296">
        <v>-0.1850042410061552</v>
      </c>
      <c r="G296">
        <v>-0.44902842766663448</v>
      </c>
      <c r="H296">
        <v>-0.40996680144640008</v>
      </c>
    </row>
    <row r="297" spans="2:8">
      <c r="B297">
        <v>3</v>
      </c>
      <c r="C297">
        <v>106</v>
      </c>
      <c r="D297">
        <v>3</v>
      </c>
      <c r="E297">
        <v>0</v>
      </c>
      <c r="F297">
        <v>-0.10257008314057088</v>
      </c>
      <c r="G297">
        <v>0.16052555713570202</v>
      </c>
      <c r="H297">
        <v>0.13765504705324935</v>
      </c>
    </row>
    <row r="298" spans="2:8">
      <c r="B298">
        <v>3</v>
      </c>
      <c r="C298">
        <v>106</v>
      </c>
      <c r="D298">
        <v>3</v>
      </c>
      <c r="E298">
        <v>0</v>
      </c>
      <c r="F298">
        <v>-9.8091999738622274E-2</v>
      </c>
      <c r="G298">
        <v>-0.22194001276067021</v>
      </c>
      <c r="H298">
        <v>-0.3735458581761274</v>
      </c>
    </row>
    <row r="299" spans="2:8">
      <c r="B299">
        <v>3</v>
      </c>
      <c r="C299">
        <v>106</v>
      </c>
      <c r="D299">
        <v>3</v>
      </c>
      <c r="E299">
        <v>0</v>
      </c>
      <c r="F299">
        <v>-0.11164886919961509</v>
      </c>
      <c r="G299">
        <v>-0.26199978904846316</v>
      </c>
      <c r="H299">
        <v>-9.0108075209584151E-2</v>
      </c>
    </row>
    <row r="300" spans="2:8">
      <c r="B300">
        <v>3</v>
      </c>
      <c r="C300">
        <v>106</v>
      </c>
      <c r="D300">
        <v>3</v>
      </c>
      <c r="E300">
        <v>0</v>
      </c>
      <c r="F300">
        <v>-7.1832717967565157E-2</v>
      </c>
      <c r="G300">
        <v>-3.6570146988458792E-2</v>
      </c>
      <c r="H300">
        <v>0.20086784304846719</v>
      </c>
    </row>
    <row r="301" spans="2:8">
      <c r="B301">
        <v>1</v>
      </c>
      <c r="C301">
        <v>102</v>
      </c>
      <c r="D301">
        <v>1</v>
      </c>
      <c r="E301">
        <v>0</v>
      </c>
      <c r="F301">
        <v>0.1509276991768683</v>
      </c>
      <c r="G301">
        <v>3.9697738244288329E-2</v>
      </c>
      <c r="H301">
        <v>1.4115062219291499E-2</v>
      </c>
    </row>
    <row r="302" spans="2:8">
      <c r="B302">
        <v>3</v>
      </c>
      <c r="C302">
        <v>106</v>
      </c>
      <c r="D302">
        <v>3</v>
      </c>
      <c r="E302">
        <v>0</v>
      </c>
      <c r="F302">
        <v>-0.35552928431404512</v>
      </c>
      <c r="G302">
        <v>-0.36688699300773925</v>
      </c>
      <c r="H302">
        <v>-0.20593567664482473</v>
      </c>
    </row>
    <row r="303" spans="2:8">
      <c r="B303">
        <v>3</v>
      </c>
      <c r="C303">
        <v>106</v>
      </c>
      <c r="D303">
        <v>3</v>
      </c>
      <c r="E303">
        <v>0</v>
      </c>
      <c r="F303">
        <v>-0.2065992843694901</v>
      </c>
      <c r="G303">
        <v>-0.27947905303057441</v>
      </c>
      <c r="H303">
        <v>0.11026063955155987</v>
      </c>
    </row>
    <row r="304" spans="2:8">
      <c r="B304">
        <v>1</v>
      </c>
      <c r="C304">
        <v>102</v>
      </c>
      <c r="D304">
        <v>1</v>
      </c>
      <c r="E304">
        <v>0</v>
      </c>
      <c r="F304">
        <v>5.5967444495569722E-2</v>
      </c>
      <c r="G304">
        <v>-0.53983383803225971</v>
      </c>
      <c r="H304">
        <v>-0.84775845233752178</v>
      </c>
    </row>
    <row r="305" spans="2:8">
      <c r="B305">
        <v>3</v>
      </c>
      <c r="C305">
        <v>38.168297005384666</v>
      </c>
      <c r="D305">
        <v>0</v>
      </c>
      <c r="E305">
        <v>0</v>
      </c>
      <c r="F305">
        <v>-0.53836124975874344</v>
      </c>
      <c r="G305">
        <v>-0.55079248858230223</v>
      </c>
      <c r="H305">
        <v>-0.61831702994615334</v>
      </c>
    </row>
    <row r="306" spans="2:8">
      <c r="B306">
        <v>1</v>
      </c>
      <c r="C306">
        <v>102</v>
      </c>
      <c r="D306">
        <v>1</v>
      </c>
      <c r="E306">
        <v>0</v>
      </c>
      <c r="F306">
        <v>0.30102586488525018</v>
      </c>
      <c r="G306">
        <v>-1.8157163287626638E-2</v>
      </c>
      <c r="H306">
        <v>-0.18411655561771806</v>
      </c>
    </row>
    <row r="307" spans="2:8">
      <c r="B307">
        <v>3</v>
      </c>
      <c r="C307">
        <v>44.386612486800928</v>
      </c>
      <c r="D307">
        <v>2</v>
      </c>
      <c r="E307">
        <v>0</v>
      </c>
      <c r="F307">
        <v>-0.13834240743676873</v>
      </c>
      <c r="G307">
        <v>-0.31963578120660724</v>
      </c>
      <c r="H307">
        <v>-0.55613387513199075</v>
      </c>
    </row>
    <row r="308" spans="2:8">
      <c r="B308">
        <v>3</v>
      </c>
      <c r="C308">
        <v>106</v>
      </c>
      <c r="D308">
        <v>3</v>
      </c>
      <c r="E308">
        <v>0</v>
      </c>
      <c r="F308">
        <v>-0.10708758313205159</v>
      </c>
      <c r="G308">
        <v>-0.10951810922578897</v>
      </c>
      <c r="H308">
        <v>2.5509206183362845E-2</v>
      </c>
    </row>
    <row r="309" spans="2:8">
      <c r="B309">
        <v>3</v>
      </c>
      <c r="C309">
        <v>106</v>
      </c>
      <c r="D309">
        <v>3</v>
      </c>
      <c r="E309">
        <v>0</v>
      </c>
      <c r="F309">
        <v>-8.485392092879962E-2</v>
      </c>
      <c r="G309">
        <v>-0.18402881751937561</v>
      </c>
      <c r="H309">
        <v>-0.18924801214526976</v>
      </c>
    </row>
    <row r="310" spans="2:8">
      <c r="B310">
        <v>3</v>
      </c>
      <c r="C310">
        <v>59.335221207823011</v>
      </c>
      <c r="D310">
        <v>2</v>
      </c>
      <c r="E310">
        <v>0</v>
      </c>
      <c r="F310">
        <v>-0.1555641581044549</v>
      </c>
      <c r="G310">
        <v>-0.18113871005003473</v>
      </c>
      <c r="H310">
        <v>-0.40664778792176992</v>
      </c>
    </row>
    <row r="311" spans="2:8">
      <c r="B311">
        <v>1</v>
      </c>
      <c r="C311">
        <v>102</v>
      </c>
      <c r="D311">
        <v>1</v>
      </c>
      <c r="E311">
        <v>0</v>
      </c>
      <c r="F311">
        <v>5.0632209460083913E-2</v>
      </c>
    </row>
    <row r="312" spans="2:8">
      <c r="B312">
        <v>3</v>
      </c>
      <c r="C312">
        <v>106</v>
      </c>
      <c r="D312">
        <v>3</v>
      </c>
      <c r="E312">
        <v>0</v>
      </c>
      <c r="F312">
        <v>-0.34631662794031071</v>
      </c>
      <c r="G312">
        <v>-0.17160698973241395</v>
      </c>
      <c r="H312">
        <v>-0.20583770826916245</v>
      </c>
    </row>
    <row r="313" spans="2:8">
      <c r="B313">
        <v>1</v>
      </c>
      <c r="C313">
        <v>102</v>
      </c>
      <c r="D313">
        <v>1</v>
      </c>
      <c r="E313">
        <v>0</v>
      </c>
      <c r="F313">
        <v>0.14383644076174831</v>
      </c>
      <c r="G313">
        <v>-0.4230793482371713</v>
      </c>
      <c r="H313">
        <v>-0.30829860229278244</v>
      </c>
    </row>
    <row r="314" spans="2:8">
      <c r="B314">
        <v>3</v>
      </c>
      <c r="C314">
        <v>106</v>
      </c>
      <c r="D314">
        <v>3</v>
      </c>
      <c r="E314">
        <v>0</v>
      </c>
      <c r="F314">
        <v>-1.849989880423367E-2</v>
      </c>
      <c r="G314">
        <v>-6.1333022258885685E-2</v>
      </c>
      <c r="H314">
        <v>-1.592354037927388E-2</v>
      </c>
    </row>
    <row r="315" spans="2:8">
      <c r="B315">
        <v>3</v>
      </c>
      <c r="C315">
        <v>31.970772425512209</v>
      </c>
      <c r="D315">
        <v>2</v>
      </c>
      <c r="E315">
        <v>0</v>
      </c>
      <c r="F315">
        <v>-0.16767769700030946</v>
      </c>
      <c r="G315">
        <v>-0.38570020769402702</v>
      </c>
      <c r="H315">
        <v>-0.68029227574487794</v>
      </c>
    </row>
    <row r="316" spans="2:8">
      <c r="B316">
        <v>3</v>
      </c>
      <c r="C316">
        <v>106</v>
      </c>
      <c r="D316">
        <v>3</v>
      </c>
      <c r="E316">
        <v>0</v>
      </c>
      <c r="F316">
        <v>-0.14523935901874083</v>
      </c>
      <c r="G316">
        <v>-0.1827328333837219</v>
      </c>
      <c r="H316">
        <v>-0.1040538067336136</v>
      </c>
    </row>
    <row r="317" spans="2:8">
      <c r="B317">
        <v>1</v>
      </c>
      <c r="C317">
        <v>102</v>
      </c>
      <c r="D317">
        <v>1</v>
      </c>
      <c r="E317">
        <v>0</v>
      </c>
      <c r="F317">
        <v>2.066566717829784E-2</v>
      </c>
      <c r="G317">
        <v>-0.20580224667872266</v>
      </c>
      <c r="H317">
        <v>-0.35580015757275696</v>
      </c>
    </row>
    <row r="318" spans="2:8">
      <c r="B318">
        <v>3</v>
      </c>
      <c r="C318">
        <v>106</v>
      </c>
      <c r="D318">
        <v>3</v>
      </c>
      <c r="E318">
        <v>0</v>
      </c>
      <c r="F318">
        <v>-0.17329497508359915</v>
      </c>
      <c r="G318">
        <v>-9.2329766539277908E-2</v>
      </c>
      <c r="H318">
        <v>-0.19770161706895958</v>
      </c>
    </row>
    <row r="319" spans="2:8">
      <c r="B319">
        <v>3</v>
      </c>
      <c r="C319">
        <v>106</v>
      </c>
      <c r="D319">
        <v>3</v>
      </c>
      <c r="E319">
        <v>0</v>
      </c>
      <c r="F319">
        <v>-0.1304296504968234</v>
      </c>
      <c r="G319">
        <v>-0.14453326374496636</v>
      </c>
      <c r="H319">
        <v>-1.1558804281168341E-2</v>
      </c>
    </row>
    <row r="320" spans="2:8">
      <c r="B320">
        <v>3</v>
      </c>
      <c r="C320">
        <v>53.081365152888907</v>
      </c>
      <c r="D320">
        <v>2</v>
      </c>
      <c r="E320">
        <v>0</v>
      </c>
      <c r="F320">
        <v>-2.0157920804476388E-2</v>
      </c>
      <c r="G320">
        <v>-0.20516216181063154</v>
      </c>
      <c r="H320">
        <v>-0.46918634847111096</v>
      </c>
    </row>
    <row r="321" spans="2:8">
      <c r="B321">
        <v>3</v>
      </c>
      <c r="C321">
        <v>106</v>
      </c>
      <c r="D321">
        <v>3</v>
      </c>
      <c r="E321">
        <v>0</v>
      </c>
      <c r="F321">
        <v>-4.7122104373327207E-2</v>
      </c>
      <c r="G321">
        <v>-0.14969218751389826</v>
      </c>
      <c r="H321">
        <v>0.11340345276237478</v>
      </c>
    </row>
    <row r="322" spans="2:8">
      <c r="B322">
        <v>3</v>
      </c>
      <c r="C322">
        <v>58.059084379690077</v>
      </c>
      <c r="D322">
        <v>2</v>
      </c>
      <c r="E322">
        <v>0</v>
      </c>
      <c r="F322">
        <v>-0.19746914344242894</v>
      </c>
      <c r="G322">
        <v>-0.29556114318105148</v>
      </c>
      <c r="H322">
        <v>-0.41940915620309926</v>
      </c>
    </row>
    <row r="323" spans="2:8">
      <c r="B323">
        <v>3</v>
      </c>
      <c r="C323">
        <v>106</v>
      </c>
      <c r="D323">
        <v>3</v>
      </c>
      <c r="E323">
        <v>0</v>
      </c>
      <c r="F323">
        <v>-7.6154813439043623E-2</v>
      </c>
      <c r="G323">
        <v>-0.18780368263865874</v>
      </c>
      <c r="H323">
        <v>-0.33815460248750695</v>
      </c>
    </row>
    <row r="324" spans="2:8">
      <c r="B324">
        <v>1</v>
      </c>
      <c r="C324">
        <v>102</v>
      </c>
      <c r="D324">
        <v>1</v>
      </c>
      <c r="E324">
        <v>0</v>
      </c>
      <c r="F324">
        <v>0.18399643308471925</v>
      </c>
      <c r="G324">
        <v>-0.2196877875949097</v>
      </c>
      <c r="H324">
        <v>-0.45058325041419933</v>
      </c>
    </row>
    <row r="325" spans="2:8">
      <c r="B325">
        <v>1</v>
      </c>
      <c r="C325">
        <v>102</v>
      </c>
      <c r="D325">
        <v>1</v>
      </c>
      <c r="E325">
        <v>0</v>
      </c>
      <c r="F325">
        <v>0.18714598643225983</v>
      </c>
      <c r="G325">
        <v>4.5900486326568693E-2</v>
      </c>
      <c r="H325">
        <v>4.4026547268862931E-3</v>
      </c>
    </row>
    <row r="326" spans="2:8">
      <c r="B326">
        <v>3</v>
      </c>
      <c r="C326">
        <v>56.291330266055489</v>
      </c>
      <c r="D326">
        <v>1</v>
      </c>
      <c r="E326">
        <v>0</v>
      </c>
      <c r="F326">
        <v>-7.0199704331705831E-2</v>
      </c>
      <c r="G326">
        <v>-0.42572898864575104</v>
      </c>
      <c r="H326">
        <v>-0.43708669733944511</v>
      </c>
    </row>
    <row r="327" spans="2:8">
      <c r="B327">
        <v>3</v>
      </c>
      <c r="C327">
        <v>106</v>
      </c>
      <c r="D327">
        <v>3</v>
      </c>
      <c r="E327">
        <v>0</v>
      </c>
      <c r="F327">
        <v>-3.5211195315550171E-3</v>
      </c>
      <c r="G327">
        <v>-0.21012040390104508</v>
      </c>
      <c r="H327">
        <v>-0.28300017256212934</v>
      </c>
    </row>
    <row r="328" spans="2:8">
      <c r="B328">
        <v>1</v>
      </c>
      <c r="C328">
        <v>102</v>
      </c>
      <c r="D328">
        <v>1</v>
      </c>
      <c r="E328">
        <v>0</v>
      </c>
      <c r="F328">
        <v>0.12184566615983833</v>
      </c>
      <c r="G328">
        <v>-0.20997266033978498</v>
      </c>
      <c r="H328">
        <v>-0.29016912628294084</v>
      </c>
    </row>
    <row r="329" spans="2:8">
      <c r="B329">
        <v>3</v>
      </c>
      <c r="C329">
        <v>35.723245230409276</v>
      </c>
      <c r="D329">
        <v>1</v>
      </c>
      <c r="E329">
        <v>0</v>
      </c>
      <c r="F329">
        <v>-9.1975059113605026E-2</v>
      </c>
      <c r="G329">
        <v>-0.63033630887234848</v>
      </c>
      <c r="H329">
        <v>-0.64276754769590727</v>
      </c>
    </row>
    <row r="330" spans="2:8">
      <c r="B330">
        <v>1</v>
      </c>
      <c r="C330">
        <v>102</v>
      </c>
      <c r="D330">
        <v>1</v>
      </c>
      <c r="E330">
        <v>0</v>
      </c>
      <c r="F330">
        <v>7.1358580174261957E-2</v>
      </c>
      <c r="G330">
        <v>-0.69377093575427351</v>
      </c>
      <c r="H330">
        <v>-1.0385223904726089</v>
      </c>
    </row>
    <row r="331" spans="2:8">
      <c r="B331">
        <v>3</v>
      </c>
      <c r="C331">
        <v>57.949444026459354</v>
      </c>
      <c r="D331">
        <v>2</v>
      </c>
      <c r="E331">
        <v>0</v>
      </c>
      <c r="F331">
        <v>-0.10086977852879922</v>
      </c>
      <c r="G331">
        <v>-0.23921218596556787</v>
      </c>
      <c r="H331">
        <v>-0.42050555973540643</v>
      </c>
    </row>
    <row r="332" spans="2:8">
      <c r="B332">
        <v>1</v>
      </c>
      <c r="C332">
        <v>102</v>
      </c>
      <c r="D332">
        <v>1</v>
      </c>
      <c r="E332">
        <v>0</v>
      </c>
      <c r="F332">
        <v>0.10975319520296889</v>
      </c>
    </row>
    <row r="333" spans="2:8">
      <c r="B333">
        <v>3</v>
      </c>
      <c r="C333">
        <v>106</v>
      </c>
      <c r="D333">
        <v>3</v>
      </c>
      <c r="E333">
        <v>0</v>
      </c>
      <c r="F333">
        <v>-0.19350571215790466</v>
      </c>
      <c r="G333">
        <v>-0.27835963308670425</v>
      </c>
      <c r="H333">
        <v>-0.37753452967728018</v>
      </c>
    </row>
    <row r="334" spans="2:8">
      <c r="B334">
        <v>1</v>
      </c>
      <c r="C334">
        <v>102</v>
      </c>
      <c r="D334">
        <v>1</v>
      </c>
      <c r="E334">
        <v>0</v>
      </c>
      <c r="F334">
        <v>2.5457868584539051E-2</v>
      </c>
      <c r="G334">
        <v>-0.32397317369176454</v>
      </c>
      <c r="H334">
        <v>-0.45707871969075831</v>
      </c>
    </row>
    <row r="335" spans="2:8">
      <c r="B335">
        <v>3</v>
      </c>
      <c r="C335">
        <v>48.624650234102305</v>
      </c>
      <c r="D335">
        <v>2</v>
      </c>
      <c r="E335">
        <v>0</v>
      </c>
      <c r="F335">
        <v>-0.19113164957900328</v>
      </c>
      <c r="G335">
        <v>-0.14049944011891946</v>
      </c>
      <c r="H335">
        <v>-0.51375349765897693</v>
      </c>
    </row>
    <row r="336" spans="2:8">
      <c r="B336">
        <v>3</v>
      </c>
      <c r="C336">
        <v>104</v>
      </c>
      <c r="D336">
        <v>2</v>
      </c>
      <c r="E336">
        <v>0</v>
      </c>
      <c r="F336">
        <v>-8.9237756978288632E-2</v>
      </c>
      <c r="G336">
        <v>-0.43555438491859921</v>
      </c>
      <c r="H336">
        <v>-0.26084474671070235</v>
      </c>
    </row>
    <row r="337" spans="2:8">
      <c r="B337">
        <v>3</v>
      </c>
      <c r="C337">
        <v>106</v>
      </c>
      <c r="D337">
        <v>3</v>
      </c>
      <c r="E337">
        <v>0</v>
      </c>
      <c r="F337">
        <v>-0.14022055823478963</v>
      </c>
      <c r="G337">
        <v>3.6158825269585475E-3</v>
      </c>
      <c r="H337">
        <v>-5.3698052908944249E-2</v>
      </c>
    </row>
    <row r="338" spans="2:8">
      <c r="B338">
        <v>1</v>
      </c>
      <c r="C338">
        <v>102</v>
      </c>
      <c r="D338">
        <v>1</v>
      </c>
      <c r="E338">
        <v>0</v>
      </c>
      <c r="F338">
        <v>6.6560738670033313E-3</v>
      </c>
      <c r="G338">
        <v>0.14479253673054304</v>
      </c>
      <c r="H338">
        <v>0.2994022731569001</v>
      </c>
    </row>
    <row r="339" spans="2:8">
      <c r="B339">
        <v>3</v>
      </c>
      <c r="C339">
        <v>48.750144506159309</v>
      </c>
      <c r="D339">
        <v>2</v>
      </c>
      <c r="E339">
        <v>0</v>
      </c>
      <c r="F339">
        <v>-0.12679834724437997</v>
      </c>
      <c r="G339">
        <v>-0.29447604424468943</v>
      </c>
      <c r="H339">
        <v>-0.5124985549384069</v>
      </c>
    </row>
    <row r="340" spans="2:8">
      <c r="B340">
        <v>1</v>
      </c>
      <c r="C340">
        <v>102</v>
      </c>
      <c r="D340">
        <v>1</v>
      </c>
      <c r="E340">
        <v>0</v>
      </c>
      <c r="F340">
        <v>6.0090118750110451E-2</v>
      </c>
    </row>
    <row r="341" spans="2:8">
      <c r="B341">
        <v>3</v>
      </c>
      <c r="C341">
        <v>106</v>
      </c>
      <c r="D341">
        <v>3</v>
      </c>
      <c r="E341">
        <v>0</v>
      </c>
      <c r="F341">
        <v>-7.4516148451052283E-2</v>
      </c>
      <c r="G341">
        <v>-5.3850481272754505E-2</v>
      </c>
      <c r="H341">
        <v>-4.830618440330111E-2</v>
      </c>
    </row>
    <row r="342" spans="2:8">
      <c r="B342">
        <v>1</v>
      </c>
      <c r="C342">
        <v>102</v>
      </c>
      <c r="D342">
        <v>1</v>
      </c>
      <c r="E342">
        <v>0</v>
      </c>
      <c r="F342">
        <v>1.0146247933618603E-2</v>
      </c>
      <c r="G342">
        <v>-0.12224856111277504</v>
      </c>
      <c r="H342">
        <v>-0.15944746266689044</v>
      </c>
    </row>
    <row r="343" spans="2:8">
      <c r="B343">
        <v>1</v>
      </c>
      <c r="C343">
        <v>102</v>
      </c>
      <c r="D343">
        <v>1</v>
      </c>
      <c r="E343">
        <v>0</v>
      </c>
      <c r="F343">
        <v>6.3528523334513226E-2</v>
      </c>
      <c r="G343">
        <v>-0.16755914024527982</v>
      </c>
      <c r="H343">
        <v>-0.49210254346551524</v>
      </c>
    </row>
    <row r="344" spans="2:8">
      <c r="B344">
        <v>1</v>
      </c>
      <c r="C344">
        <v>102</v>
      </c>
      <c r="D344">
        <v>1</v>
      </c>
      <c r="E344">
        <v>0</v>
      </c>
      <c r="F344">
        <v>2.7290950877668928E-2</v>
      </c>
      <c r="G344">
        <v>3.078978514528067E-2</v>
      </c>
      <c r="H344">
        <v>-0.12441410086316948</v>
      </c>
    </row>
    <row r="345" spans="2:8">
      <c r="B345">
        <v>1</v>
      </c>
      <c r="C345">
        <v>102</v>
      </c>
      <c r="D345">
        <v>1</v>
      </c>
      <c r="E345">
        <v>0</v>
      </c>
      <c r="F345">
        <v>0.16762685976170838</v>
      </c>
      <c r="G345">
        <v>-0.36784960702804853</v>
      </c>
      <c r="H345">
        <v>-0.59099014768659841</v>
      </c>
    </row>
    <row r="346" spans="2:8">
      <c r="B346">
        <v>3</v>
      </c>
      <c r="C346">
        <v>54.018062843344111</v>
      </c>
      <c r="D346">
        <v>2</v>
      </c>
      <c r="E346">
        <v>0</v>
      </c>
      <c r="F346">
        <v>-0.16425822838550758</v>
      </c>
      <c r="G346">
        <v>-0.36172737182793652</v>
      </c>
      <c r="H346">
        <v>-0.45981937156655889</v>
      </c>
    </row>
    <row r="347" spans="2:8">
      <c r="B347">
        <v>3</v>
      </c>
      <c r="C347">
        <v>106</v>
      </c>
      <c r="D347">
        <v>3</v>
      </c>
      <c r="E347">
        <v>0</v>
      </c>
      <c r="F347">
        <v>-4.1791751999910899E-2</v>
      </c>
      <c r="G347">
        <v>-0.11794656543895447</v>
      </c>
      <c r="H347">
        <v>-0.2295954346385696</v>
      </c>
    </row>
    <row r="348" spans="2:8">
      <c r="B348">
        <v>1</v>
      </c>
      <c r="C348">
        <v>102</v>
      </c>
      <c r="D348">
        <v>1</v>
      </c>
      <c r="E348">
        <v>0</v>
      </c>
      <c r="F348">
        <v>1.9513190226190594E-2</v>
      </c>
      <c r="G348">
        <v>-4.9006219593276577E-2</v>
      </c>
      <c r="H348">
        <v>6.8076757051046238E-2</v>
      </c>
    </row>
    <row r="349" spans="2:8">
      <c r="B349">
        <v>1</v>
      </c>
      <c r="C349">
        <v>102</v>
      </c>
      <c r="D349">
        <v>1</v>
      </c>
      <c r="E349">
        <v>0</v>
      </c>
      <c r="F349">
        <v>3.2183016909887487E-2</v>
      </c>
      <c r="G349">
        <v>-0.18046908717208116</v>
      </c>
      <c r="H349">
        <v>-0.31847330351122782</v>
      </c>
    </row>
    <row r="350" spans="2:8">
      <c r="B350">
        <v>1</v>
      </c>
      <c r="C350">
        <v>102</v>
      </c>
      <c r="D350">
        <v>1</v>
      </c>
      <c r="E350">
        <v>0</v>
      </c>
      <c r="F350">
        <v>0.13829541855223387</v>
      </c>
    </row>
    <row r="351" spans="2:8">
      <c r="B351">
        <v>3</v>
      </c>
      <c r="C351">
        <v>106</v>
      </c>
      <c r="D351">
        <v>3</v>
      </c>
      <c r="E351">
        <v>0</v>
      </c>
      <c r="F351">
        <v>-0.11914910589136249</v>
      </c>
      <c r="G351">
        <v>-0.12267022542291756</v>
      </c>
      <c r="H351">
        <v>-0.32926950979240766</v>
      </c>
    </row>
    <row r="352" spans="2:8">
      <c r="B352">
        <v>3</v>
      </c>
      <c r="C352">
        <v>106</v>
      </c>
      <c r="D352">
        <v>3</v>
      </c>
      <c r="E352">
        <v>0</v>
      </c>
      <c r="F352">
        <v>-0.16633641201961621</v>
      </c>
      <c r="G352">
        <v>-4.4490745859777914E-2</v>
      </c>
      <c r="H352">
        <v>1.1476698635791859E-2</v>
      </c>
    </row>
    <row r="353" spans="2:8">
      <c r="B353">
        <v>1</v>
      </c>
      <c r="C353">
        <v>102</v>
      </c>
      <c r="D353">
        <v>1</v>
      </c>
      <c r="E353">
        <v>0</v>
      </c>
      <c r="F353">
        <v>8.4776150666000236E-2</v>
      </c>
      <c r="G353">
        <v>-2.9684036037498668E-2</v>
      </c>
      <c r="H353">
        <v>-7.2525182920052889E-2</v>
      </c>
    </row>
    <row r="354" spans="2:8">
      <c r="B354">
        <v>1</v>
      </c>
      <c r="C354">
        <v>102</v>
      </c>
      <c r="D354">
        <v>1</v>
      </c>
      <c r="E354">
        <v>0</v>
      </c>
      <c r="F354">
        <v>0.10705978058133717</v>
      </c>
      <c r="G354">
        <v>-0.74517764108301243</v>
      </c>
      <c r="H354">
        <v>-1.0085024006314915</v>
      </c>
    </row>
    <row r="355" spans="2:8">
      <c r="B355">
        <v>3</v>
      </c>
      <c r="C355">
        <v>106</v>
      </c>
      <c r="D355">
        <v>3</v>
      </c>
      <c r="E355">
        <v>0</v>
      </c>
      <c r="F355">
        <v>-6.5895961340603867E-2</v>
      </c>
      <c r="G355">
        <v>-0.16676573986940316</v>
      </c>
      <c r="H355">
        <v>-0.30510814730617181</v>
      </c>
    </row>
    <row r="356" spans="2:8">
      <c r="B356">
        <v>3</v>
      </c>
      <c r="C356">
        <v>106</v>
      </c>
      <c r="D356">
        <v>3</v>
      </c>
      <c r="E356">
        <v>0</v>
      </c>
      <c r="F356">
        <v>-1.6838195997967421E-2</v>
      </c>
      <c r="G356">
        <v>9.2914999205001431E-2</v>
      </c>
      <c r="H356">
        <v>-1.4172583927050092E-2</v>
      </c>
    </row>
    <row r="357" spans="2:8">
      <c r="B357">
        <v>1</v>
      </c>
      <c r="C357">
        <v>102</v>
      </c>
      <c r="D357">
        <v>1</v>
      </c>
      <c r="E357">
        <v>0</v>
      </c>
      <c r="F357">
        <v>0.22462261160777125</v>
      </c>
    </row>
    <row r="358" spans="2:8">
      <c r="B358">
        <v>3</v>
      </c>
      <c r="C358">
        <v>106</v>
      </c>
      <c r="D358">
        <v>3</v>
      </c>
      <c r="E358">
        <v>0</v>
      </c>
      <c r="F358">
        <v>-0.24504568680752861</v>
      </c>
      <c r="G358">
        <v>-0.21958781822298948</v>
      </c>
      <c r="H358">
        <v>-0.37515197632744435</v>
      </c>
    </row>
    <row r="359" spans="2:8">
      <c r="B359">
        <v>1</v>
      </c>
      <c r="C359">
        <v>102</v>
      </c>
      <c r="D359">
        <v>1</v>
      </c>
      <c r="E359">
        <v>0</v>
      </c>
      <c r="F359">
        <v>0.16351304762938013</v>
      </c>
      <c r="G359">
        <v>-0.29749961757931187</v>
      </c>
      <c r="H359">
        <v>-0.49057395901804246</v>
      </c>
    </row>
    <row r="360" spans="2:8">
      <c r="B360">
        <v>3</v>
      </c>
      <c r="C360">
        <v>51.998754338260831</v>
      </c>
      <c r="D360">
        <v>2</v>
      </c>
      <c r="E360">
        <v>0</v>
      </c>
      <c r="F360">
        <v>-4.4458071698792297E-2</v>
      </c>
      <c r="G360">
        <v>-0.13369582867708099</v>
      </c>
      <c r="H360">
        <v>-0.48001245661739167</v>
      </c>
    </row>
    <row r="361" spans="2:8">
      <c r="B361">
        <v>3</v>
      </c>
      <c r="C361">
        <v>106</v>
      </c>
      <c r="D361">
        <v>3</v>
      </c>
      <c r="E361">
        <v>0</v>
      </c>
      <c r="F361">
        <v>-8.1549683005303394E-2</v>
      </c>
      <c r="G361">
        <v>-0.22177024124009301</v>
      </c>
      <c r="H361">
        <v>-7.793380047834475E-2</v>
      </c>
    </row>
    <row r="362" spans="2:8">
      <c r="B362">
        <v>3</v>
      </c>
      <c r="C362">
        <v>106</v>
      </c>
      <c r="D362">
        <v>3</v>
      </c>
      <c r="E362">
        <v>0</v>
      </c>
      <c r="F362">
        <v>-7.7205729909595622E-2</v>
      </c>
      <c r="G362">
        <v>-7.0549656042592321E-2</v>
      </c>
      <c r="H362">
        <v>-8.9049554846826168E-2</v>
      </c>
    </row>
    <row r="363" spans="2:8">
      <c r="B363">
        <v>3</v>
      </c>
      <c r="C363">
        <v>106</v>
      </c>
      <c r="D363">
        <v>3</v>
      </c>
      <c r="E363">
        <v>0</v>
      </c>
      <c r="F363">
        <v>-9.0305207155975148E-2</v>
      </c>
      <c r="G363">
        <v>-0.21710355440035517</v>
      </c>
      <c r="H363">
        <v>-0.3847812514006646</v>
      </c>
    </row>
    <row r="364" spans="2:8">
      <c r="B364">
        <v>3</v>
      </c>
      <c r="C364">
        <v>106</v>
      </c>
      <c r="D364">
        <v>3</v>
      </c>
      <c r="E364">
        <v>0</v>
      </c>
      <c r="F364">
        <v>-5.1407080214830723E-2</v>
      </c>
      <c r="G364">
        <v>8.6830385352797985E-3</v>
      </c>
      <c r="H364">
        <v>-0.13655632048346103</v>
      </c>
    </row>
    <row r="365" spans="2:8">
      <c r="B365">
        <v>3</v>
      </c>
      <c r="C365">
        <v>106</v>
      </c>
      <c r="D365">
        <v>3</v>
      </c>
      <c r="E365">
        <v>0</v>
      </c>
      <c r="F365">
        <v>-0.17906499427738548</v>
      </c>
      <c r="G365">
        <v>-0.25358114272843785</v>
      </c>
      <c r="H365">
        <v>-0.23291547555013986</v>
      </c>
    </row>
    <row r="366" spans="2:8">
      <c r="B366">
        <v>3</v>
      </c>
      <c r="C366">
        <v>106</v>
      </c>
      <c r="D366">
        <v>3</v>
      </c>
      <c r="E366">
        <v>0</v>
      </c>
      <c r="F366">
        <v>-0.11625858253383797</v>
      </c>
      <c r="G366">
        <v>-0.10611233460021947</v>
      </c>
      <c r="H366">
        <v>-0.27940730968381866</v>
      </c>
    </row>
    <row r="367" spans="2:8">
      <c r="B367">
        <v>3</v>
      </c>
      <c r="C367">
        <v>106</v>
      </c>
      <c r="D367">
        <v>3</v>
      </c>
      <c r="E367">
        <v>0</v>
      </c>
      <c r="F367">
        <v>-5.8937216890277561E-2</v>
      </c>
      <c r="G367">
        <v>4.5913064442358702E-3</v>
      </c>
      <c r="H367">
        <v>-0.12583834405258765</v>
      </c>
    </row>
    <row r="368" spans="2:8">
      <c r="B368">
        <v>1</v>
      </c>
      <c r="C368">
        <v>102</v>
      </c>
      <c r="D368">
        <v>1</v>
      </c>
      <c r="E368">
        <v>0</v>
      </c>
      <c r="F368">
        <v>8.3279011683944457E-2</v>
      </c>
      <c r="G368">
        <v>-0.26255772603138783</v>
      </c>
      <c r="H368">
        <v>-0.36762012856402221</v>
      </c>
    </row>
    <row r="369" spans="2:8">
      <c r="B369">
        <v>3</v>
      </c>
      <c r="C369">
        <v>106</v>
      </c>
      <c r="D369">
        <v>3</v>
      </c>
      <c r="E369">
        <v>0</v>
      </c>
      <c r="F369">
        <v>-0.12860911121187169</v>
      </c>
      <c r="G369">
        <v>3.9017748549836632E-2</v>
      </c>
      <c r="H369">
        <v>-8.1043558234905038E-3</v>
      </c>
    </row>
    <row r="370" spans="2:8">
      <c r="B370">
        <v>3</v>
      </c>
      <c r="C370">
        <v>50.298618794033345</v>
      </c>
      <c r="D370">
        <v>2</v>
      </c>
      <c r="E370">
        <v>0</v>
      </c>
      <c r="F370">
        <v>-0.13528644023173</v>
      </c>
      <c r="G370">
        <v>-0.29954466861723761</v>
      </c>
      <c r="H370">
        <v>-0.49701381205966655</v>
      </c>
    </row>
    <row r="371" spans="2:8">
      <c r="B371">
        <v>3</v>
      </c>
      <c r="C371">
        <v>106</v>
      </c>
      <c r="D371">
        <v>3</v>
      </c>
      <c r="E371">
        <v>0</v>
      </c>
      <c r="F371">
        <v>-6.9119383509543648E-3</v>
      </c>
      <c r="G371">
        <v>-4.8703690350865199E-2</v>
      </c>
      <c r="H371">
        <v>-0.12485850378990875</v>
      </c>
    </row>
    <row r="372" spans="2:8">
      <c r="B372">
        <v>3</v>
      </c>
      <c r="C372">
        <v>106</v>
      </c>
      <c r="D372">
        <v>3</v>
      </c>
      <c r="E372">
        <v>0</v>
      </c>
      <c r="F372">
        <v>-8.591501002643108E-2</v>
      </c>
      <c r="G372">
        <v>-6.6401819800240458E-2</v>
      </c>
      <c r="H372">
        <v>0.11759461328447875</v>
      </c>
    </row>
    <row r="373" spans="2:8">
      <c r="B373">
        <v>3</v>
      </c>
      <c r="C373">
        <v>106</v>
      </c>
      <c r="D373">
        <v>3</v>
      </c>
      <c r="E373">
        <v>0</v>
      </c>
      <c r="F373">
        <v>-6.426874736580597E-2</v>
      </c>
      <c r="G373">
        <v>-3.208573045591856E-2</v>
      </c>
      <c r="H373">
        <v>0.15506025597634127</v>
      </c>
    </row>
    <row r="374" spans="2:8">
      <c r="B374">
        <v>3</v>
      </c>
      <c r="C374">
        <v>106</v>
      </c>
      <c r="D374">
        <v>3</v>
      </c>
      <c r="E374">
        <v>0</v>
      </c>
      <c r="F374">
        <v>-0.13160107669864785</v>
      </c>
      <c r="G374">
        <v>6.6943418535860442E-3</v>
      </c>
      <c r="H374">
        <v>-6.3505362478119762E-2</v>
      </c>
    </row>
    <row r="375" spans="2:8">
      <c r="B375">
        <v>1</v>
      </c>
      <c r="C375">
        <v>102</v>
      </c>
      <c r="D375">
        <v>1</v>
      </c>
      <c r="E375">
        <v>0</v>
      </c>
      <c r="F375">
        <v>7.7228629841801788E-2</v>
      </c>
      <c r="G375">
        <v>-0.14327410145586866</v>
      </c>
      <c r="H375">
        <v>-0.26387479144254239</v>
      </c>
    </row>
    <row r="376" spans="2:8">
      <c r="B376">
        <v>3</v>
      </c>
      <c r="C376">
        <v>106</v>
      </c>
      <c r="D376">
        <v>3</v>
      </c>
      <c r="E376">
        <v>0</v>
      </c>
      <c r="F376">
        <v>-0.11450683241663</v>
      </c>
      <c r="G376">
        <v>-0.28084324443624614</v>
      </c>
      <c r="H376">
        <v>-0.15899757827640787</v>
      </c>
    </row>
    <row r="377" spans="2:8">
      <c r="B377">
        <v>1</v>
      </c>
      <c r="C377">
        <v>102</v>
      </c>
      <c r="D377">
        <v>1</v>
      </c>
      <c r="E377">
        <v>0</v>
      </c>
      <c r="F377">
        <v>0.19763144350695613</v>
      </c>
      <c r="G377">
        <v>-0.32678340036047426</v>
      </c>
      <c r="H377">
        <v>-0.532917645167716</v>
      </c>
    </row>
    <row r="378" spans="2:8">
      <c r="B378">
        <v>1</v>
      </c>
      <c r="C378">
        <v>102</v>
      </c>
      <c r="D378">
        <v>1</v>
      </c>
      <c r="E378">
        <v>0</v>
      </c>
      <c r="F378">
        <v>0.15328537393123731</v>
      </c>
      <c r="G378">
        <v>-0.17483634787306412</v>
      </c>
      <c r="H378">
        <v>-0.39060298165636065</v>
      </c>
    </row>
    <row r="379" spans="2:8">
      <c r="B379">
        <v>3</v>
      </c>
      <c r="C379">
        <v>106</v>
      </c>
      <c r="D379">
        <v>3</v>
      </c>
      <c r="E379">
        <v>0</v>
      </c>
      <c r="F379">
        <v>-3.1548689914953194E-2</v>
      </c>
      <c r="G379">
        <v>-9.7444651255557166E-2</v>
      </c>
      <c r="H379">
        <v>-0.19831442978435632</v>
      </c>
    </row>
    <row r="380" spans="2:8">
      <c r="B380">
        <v>3</v>
      </c>
      <c r="C380">
        <v>106</v>
      </c>
      <c r="D380">
        <v>3</v>
      </c>
      <c r="E380">
        <v>0</v>
      </c>
      <c r="F380">
        <v>-0.12206148224114632</v>
      </c>
      <c r="G380">
        <v>-0.13889967823911378</v>
      </c>
      <c r="H380">
        <v>-2.91464830361449E-2</v>
      </c>
    </row>
    <row r="381" spans="2:8">
      <c r="B381">
        <v>1</v>
      </c>
      <c r="C381">
        <v>102</v>
      </c>
      <c r="D381">
        <v>1</v>
      </c>
      <c r="E381">
        <v>0</v>
      </c>
      <c r="F381">
        <v>4.4158362490926154E-2</v>
      </c>
      <c r="G381">
        <v>0.12323104259132887</v>
      </c>
      <c r="H381">
        <v>0.10609558850434571</v>
      </c>
    </row>
    <row r="382" spans="2:8">
      <c r="B382">
        <v>3</v>
      </c>
      <c r="C382">
        <v>106</v>
      </c>
      <c r="D382">
        <v>3</v>
      </c>
      <c r="E382">
        <v>0</v>
      </c>
      <c r="F382">
        <v>-3.5862971668062398E-2</v>
      </c>
      <c r="G382">
        <v>-0.28090865847559093</v>
      </c>
      <c r="H382">
        <v>-0.25545078989105197</v>
      </c>
    </row>
    <row r="383" spans="2:8">
      <c r="B383">
        <v>3</v>
      </c>
      <c r="C383">
        <v>106</v>
      </c>
      <c r="D383">
        <v>3</v>
      </c>
      <c r="E383">
        <v>0</v>
      </c>
      <c r="F383">
        <v>-0.10818986399354458</v>
      </c>
      <c r="G383">
        <v>5.5323183635835556E-2</v>
      </c>
      <c r="H383">
        <v>-0.13580846594316762</v>
      </c>
    </row>
    <row r="384" spans="2:8">
      <c r="B384">
        <v>1</v>
      </c>
      <c r="C384">
        <v>102</v>
      </c>
      <c r="D384">
        <v>1</v>
      </c>
      <c r="E384">
        <v>0</v>
      </c>
      <c r="F384">
        <v>9.9004002806563876E-4</v>
      </c>
      <c r="G384">
        <v>-0.45189090190561454</v>
      </c>
      <c r="H384">
        <v>-0.6387751558270941</v>
      </c>
    </row>
    <row r="385" spans="2:8">
      <c r="B385">
        <v>1</v>
      </c>
      <c r="C385">
        <v>102</v>
      </c>
      <c r="D385">
        <v>1</v>
      </c>
      <c r="E385">
        <v>0</v>
      </c>
      <c r="F385">
        <v>0.10015613885172871</v>
      </c>
      <c r="G385">
        <v>9.4367035417520229E-3</v>
      </c>
      <c r="H385">
        <v>-2.3167909042964435E-2</v>
      </c>
    </row>
    <row r="386" spans="2:8">
      <c r="B386">
        <v>3</v>
      </c>
      <c r="C386">
        <v>106</v>
      </c>
      <c r="D386">
        <v>3</v>
      </c>
      <c r="E386">
        <v>0</v>
      </c>
      <c r="F386">
        <v>-5.3029436003304481E-2</v>
      </c>
      <c r="G386">
        <v>-0.13023516591289991</v>
      </c>
      <c r="H386">
        <v>-0.12357909204589654</v>
      </c>
    </row>
    <row r="387" spans="2:8">
      <c r="B387">
        <v>3</v>
      </c>
      <c r="C387">
        <v>106</v>
      </c>
      <c r="D387">
        <v>3</v>
      </c>
      <c r="E387">
        <v>0</v>
      </c>
      <c r="F387">
        <v>-5.5691128773462391E-2</v>
      </c>
      <c r="G387">
        <v>-0.14599633592943764</v>
      </c>
      <c r="H387">
        <v>-0.27279468317381778</v>
      </c>
    </row>
    <row r="388" spans="2:8">
      <c r="B388">
        <v>3</v>
      </c>
      <c r="C388">
        <v>106</v>
      </c>
      <c r="D388">
        <v>3</v>
      </c>
      <c r="E388">
        <v>0</v>
      </c>
      <c r="F388">
        <v>-0.1621986971650469</v>
      </c>
      <c r="G388">
        <v>-0.21360577737987743</v>
      </c>
      <c r="H388">
        <v>-0.1535156586297671</v>
      </c>
    </row>
    <row r="389" spans="2:8">
      <c r="B389">
        <v>3</v>
      </c>
      <c r="C389">
        <v>58.552988508868594</v>
      </c>
      <c r="D389">
        <v>2</v>
      </c>
      <c r="E389">
        <v>0</v>
      </c>
      <c r="F389">
        <v>-0.16088897218287629</v>
      </c>
      <c r="G389">
        <v>-0.33995396646026149</v>
      </c>
      <c r="H389">
        <v>-0.41447011491131402</v>
      </c>
    </row>
    <row r="390" spans="2:8">
      <c r="B390">
        <v>1</v>
      </c>
      <c r="C390">
        <v>102</v>
      </c>
      <c r="D390">
        <v>1</v>
      </c>
      <c r="E390">
        <v>0</v>
      </c>
      <c r="F390">
        <v>6.7021463606221146E-2</v>
      </c>
      <c r="G390">
        <v>-0.24342850418160722</v>
      </c>
      <c r="H390">
        <v>-0.3395297492665037</v>
      </c>
    </row>
    <row r="391" spans="2:8">
      <c r="B391">
        <v>1</v>
      </c>
      <c r="C391">
        <v>102</v>
      </c>
      <c r="D391">
        <v>1</v>
      </c>
      <c r="E391">
        <v>0</v>
      </c>
      <c r="F391">
        <v>0.19225723203996023</v>
      </c>
      <c r="G391">
        <v>-4.1482803950920761E-3</v>
      </c>
      <c r="H391">
        <v>-6.4415860368606678E-2</v>
      </c>
    </row>
    <row r="392" spans="2:8">
      <c r="B392">
        <v>3</v>
      </c>
      <c r="C392">
        <v>106</v>
      </c>
      <c r="D392">
        <v>3</v>
      </c>
      <c r="E392">
        <v>0</v>
      </c>
      <c r="F392">
        <v>-0.19992922768784666</v>
      </c>
      <c r="G392">
        <v>-0.11665021600390217</v>
      </c>
      <c r="H392">
        <v>-8.9359265126233281E-2</v>
      </c>
    </row>
    <row r="393" spans="2:8">
      <c r="B393">
        <v>1</v>
      </c>
      <c r="C393">
        <v>102</v>
      </c>
      <c r="D393">
        <v>1</v>
      </c>
      <c r="E393">
        <v>0</v>
      </c>
      <c r="F393">
        <v>4.028926851394863E-2</v>
      </c>
      <c r="G393">
        <v>-0.25426376445029053</v>
      </c>
      <c r="H393">
        <v>-0.16865379303099509</v>
      </c>
    </row>
    <row r="394" spans="2:8">
      <c r="B394">
        <v>3</v>
      </c>
      <c r="C394">
        <v>44.02516428646571</v>
      </c>
      <c r="D394">
        <v>2</v>
      </c>
      <c r="E394">
        <v>0</v>
      </c>
      <c r="F394">
        <v>-0.26020368851810521</v>
      </c>
      <c r="G394">
        <v>-0.39549012874983536</v>
      </c>
      <c r="H394">
        <v>-0.55974835713534288</v>
      </c>
    </row>
    <row r="395" spans="2:8">
      <c r="B395">
        <v>1</v>
      </c>
      <c r="C395">
        <v>102</v>
      </c>
      <c r="D395">
        <v>1</v>
      </c>
      <c r="E395">
        <v>0</v>
      </c>
      <c r="F395">
        <v>3.0321242483787012E-2</v>
      </c>
      <c r="G395">
        <v>0.15857119520959043</v>
      </c>
      <c r="H395">
        <v>0.15027627480334385</v>
      </c>
    </row>
    <row r="396" spans="2:8">
      <c r="B396">
        <v>3</v>
      </c>
      <c r="C396">
        <v>106</v>
      </c>
      <c r="D396">
        <v>3</v>
      </c>
      <c r="E396">
        <v>0</v>
      </c>
      <c r="F396">
        <v>-0.21088144149850199</v>
      </c>
      <c r="G396">
        <v>-0.29679645152493306</v>
      </c>
      <c r="H396">
        <v>-0.27728326129874237</v>
      </c>
    </row>
    <row r="397" spans="2:8">
      <c r="B397">
        <v>3</v>
      </c>
      <c r="C397">
        <v>106</v>
      </c>
      <c r="D397">
        <v>3</v>
      </c>
      <c r="E397">
        <v>0</v>
      </c>
      <c r="F397">
        <v>-5.0367834405279414E-2</v>
      </c>
      <c r="G397">
        <v>-0.11463658177108539</v>
      </c>
      <c r="H397">
        <v>-8.2453564861197856E-2</v>
      </c>
    </row>
    <row r="398" spans="2:8">
      <c r="B398">
        <v>1</v>
      </c>
      <c r="C398">
        <v>102</v>
      </c>
      <c r="D398">
        <v>1</v>
      </c>
      <c r="E398">
        <v>0</v>
      </c>
      <c r="F398">
        <v>4.9355344661206203E-2</v>
      </c>
      <c r="G398">
        <v>-5.3303616162740805E-2</v>
      </c>
      <c r="H398">
        <v>-5.5425994070578487E-2</v>
      </c>
    </row>
    <row r="399" spans="2:8">
      <c r="B399">
        <v>3</v>
      </c>
      <c r="C399">
        <v>106</v>
      </c>
      <c r="D399">
        <v>3</v>
      </c>
      <c r="E399">
        <v>0</v>
      </c>
      <c r="F399">
        <v>-4.8745172827974394E-2</v>
      </c>
      <c r="G399">
        <v>2.8483457013827478E-2</v>
      </c>
      <c r="H399">
        <v>-9.0665648877535171E-2</v>
      </c>
    </row>
    <row r="400" spans="2:8">
      <c r="B400">
        <v>3</v>
      </c>
      <c r="C400">
        <v>106</v>
      </c>
      <c r="D400">
        <v>3</v>
      </c>
      <c r="E400">
        <v>0</v>
      </c>
      <c r="F400">
        <v>-6.8568511642260868E-2</v>
      </c>
      <c r="G400">
        <v>-0.18307534405889075</v>
      </c>
      <c r="H400">
        <v>-0.34941175607850705</v>
      </c>
    </row>
    <row r="401" spans="2:8">
      <c r="B401">
        <v>3</v>
      </c>
      <c r="C401">
        <v>106</v>
      </c>
      <c r="D401">
        <v>3</v>
      </c>
      <c r="E401">
        <v>0</v>
      </c>
      <c r="F401">
        <v>-0.11738465446602601</v>
      </c>
      <c r="G401">
        <v>8.0246789040930119E-2</v>
      </c>
      <c r="H401">
        <v>0.16502293970693041</v>
      </c>
    </row>
    <row r="402" spans="2:8">
      <c r="B402">
        <v>1</v>
      </c>
      <c r="C402">
        <v>102</v>
      </c>
      <c r="D402">
        <v>1</v>
      </c>
      <c r="E402">
        <v>0</v>
      </c>
      <c r="F402">
        <v>2.9134593442941448E-2</v>
      </c>
      <c r="G402">
        <v>-6.6747032444743906E-2</v>
      </c>
      <c r="H402">
        <v>0.1414686447998566</v>
      </c>
    </row>
    <row r="403" spans="2:8">
      <c r="B403">
        <v>1</v>
      </c>
      <c r="C403">
        <v>102</v>
      </c>
      <c r="D403">
        <v>1</v>
      </c>
      <c r="E403">
        <v>0</v>
      </c>
      <c r="F403">
        <v>3.8141972856746364E-3</v>
      </c>
      <c r="G403">
        <v>7.105498418406489E-2</v>
      </c>
      <c r="H403">
        <v>3.8166234262213675E-2</v>
      </c>
    </row>
    <row r="404" spans="2:8">
      <c r="B404">
        <v>3</v>
      </c>
      <c r="C404">
        <v>57.916684001442015</v>
      </c>
      <c r="D404">
        <v>1</v>
      </c>
      <c r="E404">
        <v>0</v>
      </c>
      <c r="F404">
        <v>-0.28193348174646593</v>
      </c>
      <c r="G404">
        <v>-0.40399496398761225</v>
      </c>
      <c r="H404">
        <v>-0.42083315998557985</v>
      </c>
    </row>
    <row r="405" spans="2:8">
      <c r="B405">
        <v>1</v>
      </c>
      <c r="C405">
        <v>102</v>
      </c>
      <c r="D405">
        <v>1</v>
      </c>
      <c r="E405">
        <v>0</v>
      </c>
      <c r="F405">
        <v>6.1426348584854656E-2</v>
      </c>
      <c r="G405">
        <v>-0.123137528340659</v>
      </c>
      <c r="H405">
        <v>-0.2344726992339983</v>
      </c>
    </row>
    <row r="406" spans="2:8">
      <c r="B406">
        <v>1</v>
      </c>
      <c r="C406">
        <v>102</v>
      </c>
      <c r="D406">
        <v>1</v>
      </c>
      <c r="E406">
        <v>0</v>
      </c>
      <c r="F406">
        <v>0.24626773144616942</v>
      </c>
      <c r="G406">
        <v>-8.6894438153762979E-2</v>
      </c>
      <c r="H406">
        <v>-0.12217894918075904</v>
      </c>
    </row>
    <row r="407" spans="2:8">
      <c r="B407">
        <v>3</v>
      </c>
      <c r="C407">
        <v>106</v>
      </c>
      <c r="D407">
        <v>3</v>
      </c>
      <c r="E407">
        <v>0</v>
      </c>
      <c r="F407">
        <v>-0.27473991513256196</v>
      </c>
      <c r="G407">
        <v>-0.38292977912610626</v>
      </c>
      <c r="H407">
        <v>-0.21941673149672616</v>
      </c>
    </row>
    <row r="408" spans="2:8">
      <c r="B408">
        <v>3</v>
      </c>
      <c r="C408">
        <v>51.720751903194781</v>
      </c>
      <c r="D408">
        <v>0</v>
      </c>
      <c r="E408">
        <v>0</v>
      </c>
      <c r="F408">
        <v>-0.43932444929732545</v>
      </c>
      <c r="G408">
        <v>-0.43833440926925982</v>
      </c>
      <c r="H408">
        <v>-0.48279248096805222</v>
      </c>
    </row>
    <row r="409" spans="2:8">
      <c r="B409">
        <v>3</v>
      </c>
      <c r="C409">
        <v>106</v>
      </c>
      <c r="D409">
        <v>3</v>
      </c>
      <c r="E409">
        <v>0</v>
      </c>
      <c r="F409">
        <v>-0.16978800790921739</v>
      </c>
      <c r="G409">
        <v>-6.9631869057488693E-2</v>
      </c>
      <c r="H409">
        <v>-0.15118155206279216</v>
      </c>
    </row>
    <row r="410" spans="2:8">
      <c r="B410">
        <v>3</v>
      </c>
      <c r="C410">
        <v>106</v>
      </c>
      <c r="D410">
        <v>3</v>
      </c>
      <c r="E410">
        <v>0</v>
      </c>
      <c r="F410">
        <v>-2.8860704419486183E-2</v>
      </c>
      <c r="G410">
        <v>-8.1890140422790761E-2</v>
      </c>
      <c r="H410">
        <v>-0.15909587033238626</v>
      </c>
    </row>
    <row r="411" spans="2:8">
      <c r="B411">
        <v>3</v>
      </c>
      <c r="C411">
        <v>106</v>
      </c>
      <c r="D411">
        <v>3</v>
      </c>
      <c r="E411">
        <v>0</v>
      </c>
      <c r="F411">
        <v>-2.12181086272158E-2</v>
      </c>
      <c r="G411">
        <v>-7.6909237400678149E-2</v>
      </c>
      <c r="H411">
        <v>-0.1672144445566533</v>
      </c>
    </row>
    <row r="412" spans="2:8">
      <c r="B412">
        <v>1</v>
      </c>
      <c r="C412">
        <v>102</v>
      </c>
      <c r="D412">
        <v>1</v>
      </c>
      <c r="E412">
        <v>0</v>
      </c>
      <c r="F412">
        <v>0.32270951716587276</v>
      </c>
      <c r="G412">
        <v>-0.10466642205002015</v>
      </c>
      <c r="H412">
        <v>7.543077613402864E-2</v>
      </c>
    </row>
    <row r="413" spans="2:8">
      <c r="B413">
        <v>3</v>
      </c>
      <c r="C413">
        <v>27.368973487429443</v>
      </c>
      <c r="D413">
        <v>1</v>
      </c>
      <c r="E413">
        <v>0</v>
      </c>
      <c r="F413">
        <v>-0.38635629866544385</v>
      </c>
      <c r="G413">
        <v>-0.5472452708483202</v>
      </c>
      <c r="H413">
        <v>-0.72631026512570551</v>
      </c>
    </row>
    <row r="414" spans="2:8">
      <c r="B414">
        <v>3</v>
      </c>
      <c r="C414">
        <v>106</v>
      </c>
      <c r="D414">
        <v>3</v>
      </c>
      <c r="E414">
        <v>0</v>
      </c>
      <c r="F414">
        <v>-0.18730150346885091</v>
      </c>
      <c r="G414">
        <v>-0.12028003986262971</v>
      </c>
      <c r="H414">
        <v>-0.23653862239646761</v>
      </c>
    </row>
    <row r="415" spans="2:8">
      <c r="B415">
        <v>1</v>
      </c>
      <c r="C415">
        <v>102</v>
      </c>
      <c r="D415">
        <v>1</v>
      </c>
      <c r="E415">
        <v>0</v>
      </c>
      <c r="F415">
        <v>1.1270320855011054E-2</v>
      </c>
      <c r="G415">
        <v>-0.35783276861163305</v>
      </c>
      <c r="H415">
        <v>-0.31878058191830139</v>
      </c>
    </row>
    <row r="416" spans="2:8">
      <c r="B416">
        <v>3</v>
      </c>
      <c r="C416">
        <v>106</v>
      </c>
      <c r="D416">
        <v>3</v>
      </c>
      <c r="E416">
        <v>0</v>
      </c>
      <c r="F416">
        <v>-0.14142994310310245</v>
      </c>
      <c r="G416">
        <v>-0.34135917079094924</v>
      </c>
      <c r="H416">
        <v>-0.25808015910700477</v>
      </c>
    </row>
    <row r="417" spans="2:8">
      <c r="B417">
        <v>1</v>
      </c>
      <c r="C417">
        <v>102</v>
      </c>
      <c r="D417">
        <v>1</v>
      </c>
      <c r="E417">
        <v>0</v>
      </c>
      <c r="F417">
        <v>0.1170970393363318</v>
      </c>
      <c r="G417">
        <v>0.16851533841340902</v>
      </c>
      <c r="H417">
        <v>0.14623026818557902</v>
      </c>
    </row>
    <row r="418" spans="2:8">
      <c r="B418">
        <v>3</v>
      </c>
      <c r="C418">
        <v>39.096172752230338</v>
      </c>
      <c r="D418">
        <v>1</v>
      </c>
      <c r="E418">
        <v>0</v>
      </c>
      <c r="F418">
        <v>-0.21354814372786149</v>
      </c>
      <c r="G418">
        <v>-0.47375183224596656</v>
      </c>
      <c r="H418">
        <v>-0.6090382724776966</v>
      </c>
    </row>
    <row r="419" spans="2:8">
      <c r="B419">
        <v>1</v>
      </c>
      <c r="C419">
        <v>102</v>
      </c>
      <c r="D419">
        <v>1</v>
      </c>
      <c r="E419">
        <v>0</v>
      </c>
      <c r="F419">
        <v>7.2766972939340577E-2</v>
      </c>
      <c r="G419">
        <v>-0.3626246631270178</v>
      </c>
      <c r="H419">
        <v>-0.33382035651110381</v>
      </c>
    </row>
    <row r="420" spans="2:8">
      <c r="B420">
        <v>1</v>
      </c>
      <c r="C420">
        <v>102</v>
      </c>
      <c r="D420">
        <v>1</v>
      </c>
      <c r="E420">
        <v>0</v>
      </c>
      <c r="F420">
        <v>0.1570581570093888</v>
      </c>
      <c r="G420">
        <v>-0.29301962908245077</v>
      </c>
      <c r="H420">
        <v>-0.18547640659018874</v>
      </c>
    </row>
    <row r="421" spans="2:8">
      <c r="B421">
        <v>3</v>
      </c>
      <c r="C421">
        <v>106</v>
      </c>
      <c r="D421">
        <v>3</v>
      </c>
      <c r="E421">
        <v>0</v>
      </c>
      <c r="F421">
        <v>-0.1484036599939782</v>
      </c>
      <c r="G421">
        <v>-0.19877149439925759</v>
      </c>
      <c r="H421">
        <v>-0.26304024176506358</v>
      </c>
    </row>
    <row r="422" spans="2:8">
      <c r="B422">
        <v>3</v>
      </c>
      <c r="C422">
        <v>106</v>
      </c>
      <c r="D422">
        <v>3</v>
      </c>
      <c r="E422">
        <v>0</v>
      </c>
      <c r="F422">
        <v>-8.0494095288049378E-2</v>
      </c>
      <c r="G422">
        <v>-3.1138750626843192E-2</v>
      </c>
      <c r="H422">
        <v>-0.16273982732549094</v>
      </c>
    </row>
    <row r="423" spans="2:8">
      <c r="B423">
        <v>3</v>
      </c>
      <c r="C423">
        <v>106</v>
      </c>
      <c r="D423">
        <v>3</v>
      </c>
      <c r="E423">
        <v>0</v>
      </c>
      <c r="F423">
        <v>-0.17191888720450429</v>
      </c>
      <c r="G423">
        <v>-0.22066406003247865</v>
      </c>
      <c r="H423">
        <v>-0.14343543019067678</v>
      </c>
    </row>
    <row r="424" spans="2:8">
      <c r="B424">
        <v>1</v>
      </c>
      <c r="C424">
        <v>102</v>
      </c>
      <c r="D424">
        <v>1</v>
      </c>
      <c r="E424">
        <v>0</v>
      </c>
      <c r="F424">
        <v>0.10441089408077357</v>
      </c>
      <c r="G424">
        <v>-0.37781783720949164</v>
      </c>
      <c r="H424">
        <v>-0.46842117433802699</v>
      </c>
    </row>
    <row r="425" spans="2:8">
      <c r="B425">
        <v>1</v>
      </c>
      <c r="C425">
        <v>102</v>
      </c>
      <c r="D425">
        <v>1</v>
      </c>
      <c r="E425">
        <v>0</v>
      </c>
      <c r="F425">
        <v>5.2638905554251908E-2</v>
      </c>
    </row>
    <row r="426" spans="2:8">
      <c r="B426">
        <v>1</v>
      </c>
      <c r="C426">
        <v>102</v>
      </c>
      <c r="D426">
        <v>1</v>
      </c>
      <c r="E426">
        <v>0</v>
      </c>
      <c r="F426">
        <v>5.8019592695087191E-2</v>
      </c>
      <c r="G426">
        <v>-0.11153248664232224</v>
      </c>
      <c r="H426">
        <v>-0.10425984401104565</v>
      </c>
    </row>
    <row r="427" spans="2:8">
      <c r="B427">
        <v>1</v>
      </c>
      <c r="C427">
        <v>102</v>
      </c>
      <c r="D427">
        <v>1</v>
      </c>
      <c r="E427">
        <v>0</v>
      </c>
      <c r="F427">
        <v>4.2216877344290887E-2</v>
      </c>
      <c r="G427">
        <v>0.21455523995832701</v>
      </c>
      <c r="H427">
        <v>0.21695695026342102</v>
      </c>
    </row>
    <row r="428" spans="2:8">
      <c r="B428">
        <v>1</v>
      </c>
      <c r="C428">
        <v>102</v>
      </c>
      <c r="D428">
        <v>1</v>
      </c>
      <c r="E428">
        <v>0</v>
      </c>
      <c r="F428">
        <v>9.3525960770555777E-2</v>
      </c>
    </row>
    <row r="429" spans="2:8">
      <c r="B429">
        <v>3</v>
      </c>
      <c r="C429">
        <v>106</v>
      </c>
      <c r="D429">
        <v>3</v>
      </c>
      <c r="E429">
        <v>0</v>
      </c>
      <c r="F429">
        <v>-4.0165044122653731E-2</v>
      </c>
      <c r="G429">
        <v>2.1261304462200835E-2</v>
      </c>
      <c r="H429">
        <v>6.5419666953127023E-2</v>
      </c>
    </row>
    <row r="430" spans="2:8">
      <c r="B430">
        <v>3</v>
      </c>
      <c r="C430">
        <v>106</v>
      </c>
      <c r="D430">
        <v>3</v>
      </c>
      <c r="E430">
        <v>0</v>
      </c>
      <c r="F430">
        <v>-9.4723905950573603E-2</v>
      </c>
      <c r="G430">
        <v>0.15154382549559606</v>
      </c>
      <c r="H430">
        <v>0.11568085382753367</v>
      </c>
    </row>
    <row r="431" spans="2:8">
      <c r="B431">
        <v>3</v>
      </c>
      <c r="C431">
        <v>57.853318138760244</v>
      </c>
      <c r="D431">
        <v>2</v>
      </c>
      <c r="E431">
        <v>0</v>
      </c>
      <c r="F431">
        <v>-3.8537039486291114E-2</v>
      </c>
      <c r="G431">
        <v>-0.31327695461885302</v>
      </c>
      <c r="H431">
        <v>-0.42146681861239754</v>
      </c>
    </row>
    <row r="432" spans="2:8">
      <c r="B432">
        <v>3</v>
      </c>
      <c r="C432">
        <v>31.992052800082931</v>
      </c>
      <c r="D432">
        <v>1</v>
      </c>
      <c r="E432">
        <v>0</v>
      </c>
      <c r="F432">
        <v>-0.24174506272991089</v>
      </c>
      <c r="G432">
        <v>-0.6810695120272362</v>
      </c>
      <c r="H432">
        <v>-0.68007947199917063</v>
      </c>
    </row>
    <row r="433" spans="2:8">
      <c r="B433">
        <v>1</v>
      </c>
      <c r="C433">
        <v>102</v>
      </c>
      <c r="D433">
        <v>1</v>
      </c>
      <c r="E433">
        <v>0</v>
      </c>
      <c r="F433">
        <v>2.0906806034991514E-3</v>
      </c>
      <c r="G433">
        <v>-0.28801125414625112</v>
      </c>
      <c r="H433">
        <v>-0.40078230704204254</v>
      </c>
    </row>
    <row r="434" spans="2:8">
      <c r="B434">
        <v>3</v>
      </c>
      <c r="C434">
        <v>106</v>
      </c>
      <c r="D434">
        <v>3</v>
      </c>
      <c r="E434">
        <v>0</v>
      </c>
      <c r="F434">
        <v>-0.11276246000788578</v>
      </c>
      <c r="G434">
        <v>-0.14162316442737208</v>
      </c>
      <c r="H434">
        <v>-0.19465260043067656</v>
      </c>
    </row>
    <row r="435" spans="2:8">
      <c r="B435">
        <v>1</v>
      </c>
      <c r="C435">
        <v>102</v>
      </c>
      <c r="D435">
        <v>1</v>
      </c>
      <c r="E435">
        <v>0</v>
      </c>
      <c r="F435">
        <v>1.480079519584541E-2</v>
      </c>
    </row>
    <row r="436" spans="2:8">
      <c r="B436">
        <v>1</v>
      </c>
      <c r="C436">
        <v>102</v>
      </c>
      <c r="D436">
        <v>1</v>
      </c>
      <c r="E436">
        <v>0</v>
      </c>
      <c r="F436">
        <v>4.7374804912061107E-2</v>
      </c>
    </row>
    <row r="437" spans="2:8">
      <c r="B437">
        <v>1</v>
      </c>
      <c r="C437">
        <v>102</v>
      </c>
      <c r="D437">
        <v>1</v>
      </c>
      <c r="E437">
        <v>0</v>
      </c>
      <c r="F437">
        <v>7.4985390134382129E-2</v>
      </c>
      <c r="G437">
        <v>-9.932536851254474E-2</v>
      </c>
      <c r="H437">
        <v>-0.19988842169664012</v>
      </c>
    </row>
    <row r="438" spans="2:8">
      <c r="B438">
        <v>3</v>
      </c>
      <c r="C438">
        <v>106</v>
      </c>
      <c r="D438">
        <v>3</v>
      </c>
      <c r="E438">
        <v>0</v>
      </c>
      <c r="F438">
        <v>-7.2321255789095141E-4</v>
      </c>
      <c r="G438">
        <v>-0.18802471602674201</v>
      </c>
      <c r="H438">
        <v>-0.12100325242052089</v>
      </c>
    </row>
    <row r="439" spans="2:8">
      <c r="B439">
        <v>3</v>
      </c>
      <c r="C439">
        <v>106</v>
      </c>
      <c r="D439">
        <v>3</v>
      </c>
      <c r="E439">
        <v>0</v>
      </c>
      <c r="F439">
        <v>-0.25064506528265262</v>
      </c>
      <c r="G439">
        <v>-0.23937474442764159</v>
      </c>
      <c r="H439">
        <v>-4.7117512387681353E-2</v>
      </c>
    </row>
    <row r="440" spans="2:8">
      <c r="B440">
        <v>1</v>
      </c>
      <c r="C440">
        <v>102</v>
      </c>
      <c r="D440">
        <v>1</v>
      </c>
      <c r="E440">
        <v>0</v>
      </c>
      <c r="F440">
        <v>1.5938404019922896E-2</v>
      </c>
      <c r="G440">
        <v>-2.6357702631543054E-2</v>
      </c>
      <c r="H440">
        <v>0.2216069471720804</v>
      </c>
    </row>
    <row r="441" spans="2:8">
      <c r="B441">
        <v>3</v>
      </c>
      <c r="C441">
        <v>106</v>
      </c>
      <c r="D441">
        <v>3</v>
      </c>
      <c r="E441">
        <v>0</v>
      </c>
      <c r="F441">
        <v>-0.15684519963921906</v>
      </c>
      <c r="G441">
        <v>-3.9748160302887289E-2</v>
      </c>
      <c r="H441">
        <v>5.411082110613637E-4</v>
      </c>
    </row>
    <row r="442" spans="2:8">
      <c r="B442">
        <v>1</v>
      </c>
      <c r="C442">
        <v>102</v>
      </c>
      <c r="D442">
        <v>1</v>
      </c>
      <c r="E442">
        <v>0</v>
      </c>
      <c r="F442">
        <v>0.21337335569147425</v>
      </c>
      <c r="G442">
        <v>-0.30370923120564269</v>
      </c>
      <c r="H442">
        <v>-0.36826870132437878</v>
      </c>
    </row>
    <row r="443" spans="2:8">
      <c r="B443">
        <v>1</v>
      </c>
      <c r="C443">
        <v>102</v>
      </c>
      <c r="D443">
        <v>1</v>
      </c>
      <c r="E443">
        <v>0</v>
      </c>
      <c r="F443">
        <v>0.12675323609331521</v>
      </c>
      <c r="G443">
        <v>0.17465675585561508</v>
      </c>
      <c r="H443">
        <v>0.16834433664393872</v>
      </c>
    </row>
    <row r="444" spans="2:8">
      <c r="B444">
        <v>1</v>
      </c>
      <c r="C444">
        <v>102</v>
      </c>
      <c r="D444">
        <v>1</v>
      </c>
      <c r="E444">
        <v>0</v>
      </c>
      <c r="F444">
        <v>8.3975267782286436E-3</v>
      </c>
      <c r="G444">
        <v>-6.9653512902330642E-2</v>
      </c>
      <c r="H444">
        <v>-9.6289818323337245E-2</v>
      </c>
    </row>
    <row r="445" spans="2:8">
      <c r="B445">
        <v>3</v>
      </c>
      <c r="C445">
        <v>47.543510340299399</v>
      </c>
      <c r="D445">
        <v>1</v>
      </c>
      <c r="E445">
        <v>0</v>
      </c>
      <c r="F445">
        <v>-0.32579340219774849</v>
      </c>
      <c r="G445">
        <v>-0.47419706219172669</v>
      </c>
      <c r="H445">
        <v>-0.524564896597006</v>
      </c>
    </row>
    <row r="446" spans="2:8">
      <c r="B446">
        <v>1</v>
      </c>
      <c r="C446">
        <v>102</v>
      </c>
      <c r="D446">
        <v>1</v>
      </c>
      <c r="E446">
        <v>0</v>
      </c>
      <c r="F446">
        <v>0.11893313301656214</v>
      </c>
    </row>
    <row r="447" spans="2:8">
      <c r="B447">
        <v>1</v>
      </c>
      <c r="C447">
        <v>102</v>
      </c>
      <c r="D447">
        <v>1</v>
      </c>
      <c r="E447">
        <v>0</v>
      </c>
      <c r="F447">
        <v>2.2472557073536365E-2</v>
      </c>
      <c r="G447">
        <v>-0.25575343406514828</v>
      </c>
      <c r="H447">
        <v>-2.9804434124110948E-2</v>
      </c>
    </row>
    <row r="448" spans="2:8">
      <c r="B448">
        <v>1</v>
      </c>
      <c r="C448">
        <v>102</v>
      </c>
      <c r="D448">
        <v>1</v>
      </c>
      <c r="E448">
        <v>0</v>
      </c>
      <c r="F448">
        <v>0.20711361655058572</v>
      </c>
      <c r="G448">
        <v>-0.13948206437043661</v>
      </c>
      <c r="H448">
        <v>-0.18527075283077302</v>
      </c>
    </row>
    <row r="449" spans="2:8">
      <c r="B449">
        <v>3</v>
      </c>
      <c r="C449">
        <v>106</v>
      </c>
      <c r="D449">
        <v>3</v>
      </c>
      <c r="E449">
        <v>0</v>
      </c>
      <c r="F449">
        <v>-0.22081446418951159</v>
      </c>
      <c r="G449">
        <v>-0.16817555863525968</v>
      </c>
      <c r="H449">
        <v>-0.28556021310128576</v>
      </c>
    </row>
    <row r="450" spans="2:8">
      <c r="B450">
        <v>1</v>
      </c>
      <c r="C450">
        <v>102</v>
      </c>
      <c r="D450">
        <v>1</v>
      </c>
      <c r="E450">
        <v>0</v>
      </c>
      <c r="F450">
        <v>9.1079767713850027E-2</v>
      </c>
    </row>
    <row r="451" spans="2:8">
      <c r="B451">
        <v>1</v>
      </c>
      <c r="C451">
        <v>102</v>
      </c>
      <c r="D451">
        <v>1</v>
      </c>
      <c r="E451">
        <v>0</v>
      </c>
      <c r="F451">
        <v>8.7137836947371483E-2</v>
      </c>
    </row>
    <row r="452" spans="2:8">
      <c r="B452">
        <v>3</v>
      </c>
      <c r="C452">
        <v>106</v>
      </c>
      <c r="D452">
        <v>3</v>
      </c>
      <c r="E452">
        <v>0</v>
      </c>
      <c r="F452">
        <v>-2.7218971793912333E-2</v>
      </c>
      <c r="G452">
        <v>6.6306988976643347E-2</v>
      </c>
      <c r="H452">
        <v>-0.2156264927698226</v>
      </c>
    </row>
    <row r="453" spans="2:8">
      <c r="B453">
        <v>3</v>
      </c>
      <c r="C453">
        <v>106</v>
      </c>
      <c r="D453">
        <v>3</v>
      </c>
      <c r="E453">
        <v>0</v>
      </c>
      <c r="F453">
        <v>-0.13647598414822629</v>
      </c>
      <c r="G453">
        <v>-0.17664102827088002</v>
      </c>
      <c r="H453">
        <v>-0.1152146796860254</v>
      </c>
    </row>
    <row r="454" spans="2:8">
      <c r="B454">
        <v>1</v>
      </c>
      <c r="C454">
        <v>102</v>
      </c>
      <c r="D454">
        <v>1</v>
      </c>
      <c r="E454">
        <v>0</v>
      </c>
      <c r="F454">
        <v>9.6006820354372094E-2</v>
      </c>
      <c r="G454">
        <v>1.8206879582532941E-2</v>
      </c>
      <c r="H454">
        <v>5.3810705606057857E-2</v>
      </c>
    </row>
    <row r="455" spans="2:8">
      <c r="B455">
        <v>3</v>
      </c>
      <c r="C455">
        <v>52.786443586060791</v>
      </c>
      <c r="D455">
        <v>2</v>
      </c>
      <c r="E455">
        <v>0</v>
      </c>
      <c r="F455">
        <v>-0.15885860952053893</v>
      </c>
      <c r="G455">
        <v>-0.1973956490068301</v>
      </c>
      <c r="H455">
        <v>-0.47213556413939206</v>
      </c>
    </row>
    <row r="456" spans="2:8">
      <c r="B456">
        <v>3</v>
      </c>
      <c r="C456">
        <v>26.427866230877541</v>
      </c>
      <c r="D456">
        <v>2</v>
      </c>
      <c r="E456">
        <v>0</v>
      </c>
      <c r="F456">
        <v>-5.4651825663988129E-2</v>
      </c>
      <c r="G456">
        <v>-0.29639688839389911</v>
      </c>
      <c r="H456">
        <v>-0.73572133769122461</v>
      </c>
    </row>
    <row r="457" spans="2:8">
      <c r="B457">
        <v>1</v>
      </c>
      <c r="C457">
        <v>102</v>
      </c>
      <c r="D457">
        <v>1</v>
      </c>
      <c r="E457">
        <v>0</v>
      </c>
      <c r="F457">
        <v>6.565095614037518E-2</v>
      </c>
    </row>
    <row r="458" spans="2:8">
      <c r="B458">
        <v>3</v>
      </c>
      <c r="C458">
        <v>106</v>
      </c>
      <c r="D458">
        <v>3</v>
      </c>
      <c r="E458">
        <v>0</v>
      </c>
      <c r="F458">
        <v>-8.7574503389362568E-2</v>
      </c>
      <c r="G458">
        <v>-0.20033696339724827</v>
      </c>
      <c r="H458">
        <v>-0.22919766781673431</v>
      </c>
    </row>
    <row r="459" spans="2:8">
      <c r="B459">
        <v>1</v>
      </c>
      <c r="C459">
        <v>102</v>
      </c>
      <c r="D459">
        <v>1</v>
      </c>
      <c r="E459">
        <v>0</v>
      </c>
      <c r="F459">
        <v>5.4662309970732209E-2</v>
      </c>
      <c r="G459">
        <v>-0.30432962044123896</v>
      </c>
      <c r="H459">
        <v>-0.24424976845810889</v>
      </c>
    </row>
    <row r="460" spans="2:8">
      <c r="B460">
        <v>3</v>
      </c>
      <c r="C460">
        <v>106</v>
      </c>
      <c r="D460">
        <v>3</v>
      </c>
      <c r="E460">
        <v>0</v>
      </c>
      <c r="F460">
        <v>-6.1601746524511322E-2</v>
      </c>
      <c r="G460">
        <v>-1.4226941612450134E-2</v>
      </c>
      <c r="H460">
        <v>0.30848257555342251</v>
      </c>
    </row>
    <row r="461" spans="2:8">
      <c r="B461">
        <v>3</v>
      </c>
      <c r="C461">
        <v>106</v>
      </c>
      <c r="D461">
        <v>3</v>
      </c>
      <c r="E461">
        <v>0</v>
      </c>
      <c r="F461">
        <v>-2.9910974460346868E-2</v>
      </c>
      <c r="G461">
        <v>4.5074415674035251E-2</v>
      </c>
      <c r="H461">
        <v>-0.34128188299140855</v>
      </c>
    </row>
    <row r="462" spans="2:8">
      <c r="B462">
        <v>3</v>
      </c>
      <c r="C462">
        <v>50.299869299347684</v>
      </c>
      <c r="D462">
        <v>2</v>
      </c>
      <c r="E462">
        <v>0</v>
      </c>
      <c r="F462">
        <v>-0.30897659097978125</v>
      </c>
      <c r="G462">
        <v>-0.30969980353767224</v>
      </c>
      <c r="H462">
        <v>-0.49700130700652317</v>
      </c>
    </row>
    <row r="463" spans="2:8">
      <c r="B463">
        <v>1</v>
      </c>
      <c r="C463">
        <v>102</v>
      </c>
      <c r="D463">
        <v>1</v>
      </c>
      <c r="E463">
        <v>0</v>
      </c>
      <c r="F463">
        <v>9.7614869174656796E-2</v>
      </c>
      <c r="G463">
        <v>-0.46649868404553668</v>
      </c>
      <c r="H463">
        <v>-0.72003300885321309</v>
      </c>
    </row>
    <row r="464" spans="2:8">
      <c r="B464">
        <v>1</v>
      </c>
      <c r="C464">
        <v>102</v>
      </c>
      <c r="D464">
        <v>1</v>
      </c>
      <c r="E464">
        <v>0</v>
      </c>
      <c r="F464">
        <v>6.9178827183220271E-2</v>
      </c>
      <c r="G464">
        <v>-0.47382614630404085</v>
      </c>
      <c r="H464">
        <v>-0.58976756167998945</v>
      </c>
    </row>
    <row r="465" spans="2:8">
      <c r="B465">
        <v>1</v>
      </c>
      <c r="C465">
        <v>102</v>
      </c>
      <c r="D465">
        <v>1</v>
      </c>
      <c r="E465">
        <v>0</v>
      </c>
      <c r="F465">
        <v>1.3031557455944502E-2</v>
      </c>
      <c r="G465">
        <v>-0.23720550420859607</v>
      </c>
      <c r="H465">
        <v>-0.33917215704259351</v>
      </c>
    </row>
    <row r="466" spans="2:8">
      <c r="B466">
        <v>3</v>
      </c>
      <c r="C466">
        <v>58.537996627108647</v>
      </c>
      <c r="D466">
        <v>1</v>
      </c>
      <c r="E466">
        <v>0</v>
      </c>
      <c r="F466">
        <v>-0.41444524569252633</v>
      </c>
      <c r="G466">
        <v>-0.20107189000105222</v>
      </c>
      <c r="H466">
        <v>-0.41462003372891354</v>
      </c>
    </row>
    <row r="467" spans="2:8">
      <c r="B467">
        <v>1</v>
      </c>
      <c r="C467">
        <v>102</v>
      </c>
      <c r="D467">
        <v>1</v>
      </c>
      <c r="E467">
        <v>0</v>
      </c>
      <c r="F467">
        <v>0.21760750881741572</v>
      </c>
      <c r="G467">
        <v>-0.35092397201870973</v>
      </c>
      <c r="H467">
        <v>-0.47299425154251551</v>
      </c>
    </row>
    <row r="468" spans="2:8">
      <c r="B468">
        <v>3</v>
      </c>
      <c r="C468">
        <v>106</v>
      </c>
      <c r="D468">
        <v>3</v>
      </c>
      <c r="E468">
        <v>0</v>
      </c>
      <c r="F468">
        <v>-9.6405531892256799E-2</v>
      </c>
      <c r="G468">
        <v>-8.8008005114028204E-2</v>
      </c>
      <c r="H468">
        <v>6.9050151895360595E-2</v>
      </c>
    </row>
    <row r="469" spans="2:8">
      <c r="B469">
        <v>1</v>
      </c>
      <c r="C469">
        <v>102</v>
      </c>
      <c r="D469">
        <v>1</v>
      </c>
      <c r="E469">
        <v>0</v>
      </c>
      <c r="F469">
        <v>8.9530390531325471E-2</v>
      </c>
      <c r="G469">
        <v>-0.45149958190509626</v>
      </c>
      <c r="H469">
        <v>-0.43230727847176081</v>
      </c>
    </row>
    <row r="470" spans="2:8">
      <c r="B470">
        <v>3</v>
      </c>
      <c r="C470">
        <v>106</v>
      </c>
      <c r="D470">
        <v>3</v>
      </c>
      <c r="E470">
        <v>0</v>
      </c>
      <c r="F470">
        <v>-0.14332822917744792</v>
      </c>
      <c r="G470">
        <v>-2.4395096160885886E-2</v>
      </c>
      <c r="H470">
        <v>-0.10488919144893516</v>
      </c>
    </row>
    <row r="471" spans="2:8">
      <c r="B471">
        <v>3</v>
      </c>
      <c r="C471">
        <v>106</v>
      </c>
      <c r="D471">
        <v>3</v>
      </c>
      <c r="E471">
        <v>0</v>
      </c>
      <c r="F471">
        <v>-9.3649200100165933E-2</v>
      </c>
      <c r="G471">
        <v>-7.1176643026629585E-2</v>
      </c>
      <c r="H471">
        <v>-0.24309553023113392</v>
      </c>
    </row>
    <row r="472" spans="2:8">
      <c r="B472">
        <v>3</v>
      </c>
      <c r="C472">
        <v>106</v>
      </c>
      <c r="D472">
        <v>3</v>
      </c>
      <c r="E472">
        <v>0</v>
      </c>
      <c r="F472">
        <v>-0.12564345877740743</v>
      </c>
      <c r="G472">
        <v>8.1470157773178259E-2</v>
      </c>
      <c r="H472">
        <v>0.18588105185395187</v>
      </c>
    </row>
    <row r="473" spans="2:8">
      <c r="B473">
        <v>3</v>
      </c>
      <c r="C473">
        <v>106</v>
      </c>
      <c r="D473">
        <v>3</v>
      </c>
      <c r="E473">
        <v>0</v>
      </c>
      <c r="F473">
        <v>-3.3184192283219158E-2</v>
      </c>
      <c r="G473">
        <v>-0.25399865647273068</v>
      </c>
      <c r="H473">
        <v>-0.20135975091847888</v>
      </c>
    </row>
    <row r="474" spans="2:8">
      <c r="B474">
        <v>3</v>
      </c>
      <c r="C474">
        <v>106</v>
      </c>
      <c r="D474">
        <v>3</v>
      </c>
      <c r="E474">
        <v>0</v>
      </c>
      <c r="F474">
        <v>-7.9935127239500452E-3</v>
      </c>
      <c r="G474">
        <v>8.3086254989900007E-2</v>
      </c>
      <c r="H474">
        <v>0.14110584768498727</v>
      </c>
    </row>
    <row r="475" spans="2:8">
      <c r="B475">
        <v>1</v>
      </c>
      <c r="C475">
        <v>102</v>
      </c>
      <c r="D475">
        <v>1</v>
      </c>
      <c r="E475">
        <v>0</v>
      </c>
      <c r="F475">
        <v>0.14733295476377964</v>
      </c>
      <c r="G475">
        <v>-0.4203747109867062</v>
      </c>
      <c r="H475">
        <v>-0.41594792129661162</v>
      </c>
    </row>
    <row r="476" spans="2:8">
      <c r="B476">
        <v>3</v>
      </c>
      <c r="C476">
        <v>106</v>
      </c>
      <c r="D476">
        <v>3</v>
      </c>
      <c r="E476">
        <v>0</v>
      </c>
      <c r="F476">
        <v>-0.13343840391699641</v>
      </c>
      <c r="G476">
        <v>-0.1606573757109088</v>
      </c>
      <c r="H476">
        <v>-6.7131414940352976E-2</v>
      </c>
    </row>
    <row r="477" spans="2:8">
      <c r="B477">
        <v>3</v>
      </c>
      <c r="C477">
        <v>106</v>
      </c>
      <c r="D477">
        <v>3</v>
      </c>
      <c r="E477">
        <v>0</v>
      </c>
      <c r="F477">
        <v>-0.12092167582594121</v>
      </c>
      <c r="G477">
        <v>-0.25739765997416753</v>
      </c>
      <c r="H477">
        <v>-0.29756270409682134</v>
      </c>
    </row>
    <row r="478" spans="2:8">
      <c r="B478">
        <v>3</v>
      </c>
      <c r="C478">
        <v>106</v>
      </c>
      <c r="D478">
        <v>3</v>
      </c>
      <c r="E478">
        <v>0</v>
      </c>
      <c r="F478">
        <v>-4.6082170269602485E-2</v>
      </c>
      <c r="G478">
        <v>4.9924650084769533E-2</v>
      </c>
      <c r="H478">
        <v>-4.4799255865803994E-2</v>
      </c>
    </row>
    <row r="479" spans="2:8">
      <c r="B479">
        <v>1</v>
      </c>
      <c r="C479">
        <v>102</v>
      </c>
      <c r="D479">
        <v>1</v>
      </c>
      <c r="E479">
        <v>0</v>
      </c>
      <c r="F479">
        <v>3.4056356199820462E-2</v>
      </c>
      <c r="G479">
        <v>-0.22795748337538949</v>
      </c>
      <c r="H479">
        <v>-0.38847820820962992</v>
      </c>
    </row>
    <row r="480" spans="2:8">
      <c r="B480">
        <v>3</v>
      </c>
      <c r="C480">
        <v>106</v>
      </c>
      <c r="D480">
        <v>3</v>
      </c>
      <c r="E480">
        <v>0</v>
      </c>
      <c r="F480">
        <v>-9.6779882867262818E-3</v>
      </c>
      <c r="G480">
        <v>-6.4329813950714271E-2</v>
      </c>
      <c r="H480">
        <v>-0.30607487668062522</v>
      </c>
    </row>
    <row r="481" spans="2:8">
      <c r="B481">
        <v>3</v>
      </c>
      <c r="C481">
        <v>106</v>
      </c>
      <c r="D481">
        <v>3</v>
      </c>
      <c r="E481">
        <v>0</v>
      </c>
      <c r="F481">
        <v>-0.20404233470741026</v>
      </c>
      <c r="G481">
        <v>-0.13839137856703501</v>
      </c>
      <c r="H481">
        <v>-0.13630069796353578</v>
      </c>
    </row>
    <row r="482" spans="2:8">
      <c r="B482">
        <v>3</v>
      </c>
      <c r="C482">
        <v>106</v>
      </c>
      <c r="D482">
        <v>3</v>
      </c>
      <c r="E482">
        <v>0</v>
      </c>
      <c r="F482">
        <v>-6.3227087967963599E-2</v>
      </c>
      <c r="G482">
        <v>-0.15080159135732601</v>
      </c>
      <c r="H482">
        <v>-0.26356405136521177</v>
      </c>
    </row>
    <row r="483" spans="2:8">
      <c r="B483">
        <v>1</v>
      </c>
      <c r="C483">
        <v>102</v>
      </c>
      <c r="D483">
        <v>1</v>
      </c>
      <c r="E483">
        <v>0</v>
      </c>
      <c r="F483">
        <v>0.10273656663294894</v>
      </c>
    </row>
    <row r="484" spans="2:8">
      <c r="B484">
        <v>3</v>
      </c>
      <c r="C484">
        <v>106</v>
      </c>
      <c r="D484">
        <v>3</v>
      </c>
      <c r="E484">
        <v>0</v>
      </c>
      <c r="F484">
        <v>-0.17546132790586519</v>
      </c>
      <c r="G484">
        <v>-0.23706307443037644</v>
      </c>
      <c r="H484">
        <v>-0.18968826951831541</v>
      </c>
    </row>
    <row r="485" spans="2:8">
      <c r="B485">
        <v>3</v>
      </c>
      <c r="C485">
        <v>106</v>
      </c>
      <c r="D485">
        <v>3</v>
      </c>
      <c r="E485">
        <v>0</v>
      </c>
      <c r="F485">
        <v>-1.5771781451584151E-2</v>
      </c>
      <c r="G485">
        <v>-4.5682755911931008E-2</v>
      </c>
      <c r="H485">
        <v>2.9302634222451225E-2</v>
      </c>
    </row>
    <row r="486" spans="2:8">
      <c r="B486">
        <v>3</v>
      </c>
      <c r="C486">
        <v>106</v>
      </c>
      <c r="D486">
        <v>3</v>
      </c>
      <c r="E486">
        <v>0</v>
      </c>
      <c r="F486">
        <v>-5.9977323181716918E-2</v>
      </c>
      <c r="G486">
        <v>-0.36895391416149809</v>
      </c>
      <c r="H486">
        <v>-0.3696771267193889</v>
      </c>
    </row>
    <row r="487" spans="2:8">
      <c r="B487">
        <v>3</v>
      </c>
      <c r="C487">
        <v>106</v>
      </c>
      <c r="D487">
        <v>3</v>
      </c>
      <c r="E487">
        <v>0</v>
      </c>
      <c r="F487">
        <v>-0.14647047370233451</v>
      </c>
      <c r="G487">
        <v>-4.8855604527677718E-2</v>
      </c>
      <c r="H487">
        <v>-0.29950066981033036</v>
      </c>
    </row>
    <row r="488" spans="2:8">
      <c r="B488">
        <v>1</v>
      </c>
      <c r="C488">
        <v>102</v>
      </c>
      <c r="D488">
        <v>1</v>
      </c>
      <c r="E488">
        <v>0</v>
      </c>
      <c r="F488">
        <v>0.14164521098595301</v>
      </c>
      <c r="G488">
        <v>-1.6698533789052936E-2</v>
      </c>
      <c r="H488">
        <v>3.9994381665145969E-2</v>
      </c>
    </row>
    <row r="489" spans="2:8">
      <c r="B489">
        <v>3</v>
      </c>
      <c r="C489">
        <v>55.638008560125861</v>
      </c>
      <c r="D489">
        <v>2</v>
      </c>
      <c r="E489">
        <v>0</v>
      </c>
      <c r="F489">
        <v>-0.29980627221546691</v>
      </c>
      <c r="G489">
        <v>-0.28677471475952232</v>
      </c>
      <c r="H489">
        <v>-0.44361991439874138</v>
      </c>
    </row>
    <row r="490" spans="2:8">
      <c r="B490">
        <v>3</v>
      </c>
      <c r="C490">
        <v>51.237201066056301</v>
      </c>
      <c r="D490">
        <v>1</v>
      </c>
      <c r="E490">
        <v>0</v>
      </c>
      <c r="F490">
        <v>-0.28655609933838483</v>
      </c>
      <c r="G490">
        <v>-0.70100134503091127</v>
      </c>
      <c r="H490">
        <v>-0.48762798933943702</v>
      </c>
    </row>
    <row r="491" spans="2:8">
      <c r="B491">
        <v>3</v>
      </c>
      <c r="C491">
        <v>106</v>
      </c>
      <c r="D491">
        <v>3</v>
      </c>
      <c r="E491">
        <v>0</v>
      </c>
      <c r="F491">
        <v>-0.33303033904010054</v>
      </c>
      <c r="G491">
        <v>-0.11542283022268478</v>
      </c>
      <c r="H491">
        <v>1.1330405870630377E-2</v>
      </c>
    </row>
    <row r="492" spans="2:8">
      <c r="B492">
        <v>3</v>
      </c>
      <c r="C492">
        <v>106</v>
      </c>
      <c r="D492">
        <v>3</v>
      </c>
      <c r="E492">
        <v>0</v>
      </c>
      <c r="F492">
        <v>-0.22844517463774819</v>
      </c>
      <c r="G492">
        <v>-0.32485070653000486</v>
      </c>
      <c r="H492">
        <v>-0.31645317975177628</v>
      </c>
    </row>
    <row r="493" spans="2:8">
      <c r="B493">
        <v>1</v>
      </c>
      <c r="C493">
        <v>102</v>
      </c>
      <c r="D493">
        <v>1</v>
      </c>
      <c r="E493">
        <v>0</v>
      </c>
      <c r="F493">
        <v>0.11150289766170067</v>
      </c>
      <c r="G493">
        <v>-4.2433892150046698E-2</v>
      </c>
      <c r="H493">
        <v>-0.11829235852401786</v>
      </c>
    </row>
    <row r="494" spans="2:8">
      <c r="B494">
        <v>1</v>
      </c>
      <c r="C494">
        <v>102</v>
      </c>
      <c r="D494">
        <v>1</v>
      </c>
      <c r="E494">
        <v>0</v>
      </c>
      <c r="F494">
        <v>3.7155766039852531E-2</v>
      </c>
      <c r="G494">
        <v>-0.18418075240926182</v>
      </c>
      <c r="H494">
        <v>-0.19691119548330904</v>
      </c>
    </row>
    <row r="495" spans="2:8">
      <c r="B495">
        <v>1</v>
      </c>
      <c r="C495">
        <v>102</v>
      </c>
      <c r="D495">
        <v>1</v>
      </c>
      <c r="E495">
        <v>0</v>
      </c>
      <c r="F495">
        <v>0.11427445346890795</v>
      </c>
      <c r="G495">
        <v>-8.6878317920994166E-2</v>
      </c>
      <c r="H495">
        <v>-0.18190241794555062</v>
      </c>
    </row>
    <row r="496" spans="2:8">
      <c r="B496">
        <v>3</v>
      </c>
      <c r="C496">
        <v>106</v>
      </c>
      <c r="D496">
        <v>3</v>
      </c>
      <c r="E496">
        <v>0</v>
      </c>
      <c r="F496">
        <v>-7.8848531932428259E-2</v>
      </c>
      <c r="G496">
        <v>-0.2044919907098357</v>
      </c>
      <c r="H496">
        <v>2.6216258407500536E-3</v>
      </c>
    </row>
    <row r="497" spans="2:8">
      <c r="B497">
        <v>1</v>
      </c>
      <c r="C497">
        <v>102</v>
      </c>
      <c r="D497">
        <v>1</v>
      </c>
      <c r="E497">
        <v>0</v>
      </c>
      <c r="F497">
        <v>2.4289085440474856E-2</v>
      </c>
      <c r="G497">
        <v>-4.1251214716207164E-2</v>
      </c>
      <c r="H497">
        <v>-0.13263379414011159</v>
      </c>
    </row>
    <row r="498" spans="2:8">
      <c r="B498">
        <v>1</v>
      </c>
      <c r="C498">
        <v>102</v>
      </c>
      <c r="D498">
        <v>1</v>
      </c>
      <c r="E498">
        <v>0</v>
      </c>
      <c r="F498">
        <v>1.7721402853780044E-2</v>
      </c>
    </row>
    <row r="499" spans="2:8">
      <c r="B499">
        <v>1</v>
      </c>
      <c r="C499">
        <v>102</v>
      </c>
      <c r="D499">
        <v>1</v>
      </c>
      <c r="E499">
        <v>0</v>
      </c>
      <c r="F499">
        <v>0.27536792882916622</v>
      </c>
      <c r="G499">
        <v>-0.27886074315791054</v>
      </c>
      <c r="H499">
        <v>-0.38989449938347448</v>
      </c>
    </row>
    <row r="500" spans="2:8">
      <c r="B500">
        <v>3</v>
      </c>
      <c r="C500">
        <v>52.433507091550545</v>
      </c>
      <c r="D500">
        <v>1</v>
      </c>
      <c r="E500">
        <v>0</v>
      </c>
      <c r="F500">
        <v>-0.31500755337358566</v>
      </c>
      <c r="G500">
        <v>-0.44844595729058206</v>
      </c>
      <c r="H500">
        <v>-0.47566492908449454</v>
      </c>
    </row>
    <row r="501" spans="2:8">
      <c r="B501">
        <v>3</v>
      </c>
      <c r="C501">
        <v>48.842173042392112</v>
      </c>
      <c r="D501">
        <v>2</v>
      </c>
      <c r="E501">
        <v>0</v>
      </c>
      <c r="F501">
        <v>-0.25418060960191136</v>
      </c>
      <c r="G501">
        <v>-0.37510228542785251</v>
      </c>
      <c r="H501">
        <v>-0.51157826957607888</v>
      </c>
    </row>
    <row r="502" spans="2:8">
      <c r="B502">
        <v>1</v>
      </c>
      <c r="C502">
        <v>102</v>
      </c>
      <c r="D502">
        <v>1</v>
      </c>
      <c r="E502">
        <v>0</v>
      </c>
      <c r="F502">
        <v>0.20122804041049808</v>
      </c>
      <c r="G502">
        <v>-0.22743280024238804</v>
      </c>
      <c r="H502">
        <v>-0.27293927825883996</v>
      </c>
    </row>
    <row r="503" spans="2:8">
      <c r="B503">
        <v>3</v>
      </c>
      <c r="C503">
        <v>106</v>
      </c>
      <c r="D503">
        <v>3</v>
      </c>
      <c r="E503">
        <v>0</v>
      </c>
      <c r="F503">
        <v>-8.3200175945449692E-2</v>
      </c>
      <c r="G503">
        <v>-4.914381974562932E-2</v>
      </c>
      <c r="H503">
        <v>-0.20800242926616816</v>
      </c>
    </row>
    <row r="504" spans="2:8">
      <c r="B504">
        <v>1</v>
      </c>
      <c r="C504">
        <v>102</v>
      </c>
      <c r="D504">
        <v>1</v>
      </c>
      <c r="E504">
        <v>0</v>
      </c>
      <c r="F504">
        <v>3.9061626220234388E-2</v>
      </c>
      <c r="G504">
        <v>-0.34628236833715748</v>
      </c>
      <c r="H504">
        <v>-0.48926656609929908</v>
      </c>
    </row>
    <row r="505" spans="2:8">
      <c r="B505">
        <v>3</v>
      </c>
      <c r="C505">
        <v>106</v>
      </c>
      <c r="D505">
        <v>3</v>
      </c>
      <c r="E505">
        <v>0</v>
      </c>
      <c r="F505">
        <v>-2.2870510082452594E-2</v>
      </c>
      <c r="G505">
        <v>-0.22691284478986293</v>
      </c>
      <c r="H505">
        <v>-0.16126188864948779</v>
      </c>
    </row>
    <row r="506" spans="2:8">
      <c r="B506">
        <v>3</v>
      </c>
      <c r="C506">
        <v>106</v>
      </c>
      <c r="D506">
        <v>3</v>
      </c>
      <c r="E506">
        <v>0</v>
      </c>
      <c r="F506">
        <v>-0.15160584541545727</v>
      </c>
      <c r="G506">
        <v>-0.21483293338342099</v>
      </c>
      <c r="H506">
        <v>-0.30240743677278326</v>
      </c>
    </row>
    <row r="507" spans="2:8">
      <c r="B507">
        <v>1</v>
      </c>
      <c r="C507">
        <v>102</v>
      </c>
      <c r="D507">
        <v>1</v>
      </c>
      <c r="E507">
        <v>0</v>
      </c>
      <c r="F507">
        <v>0.17189171383887905</v>
      </c>
      <c r="G507">
        <v>-0.5080037107462041</v>
      </c>
      <c r="H507">
        <v>-0.40738414249453947</v>
      </c>
    </row>
    <row r="508" spans="2:8">
      <c r="B508">
        <v>1</v>
      </c>
      <c r="C508">
        <v>102</v>
      </c>
      <c r="D508">
        <v>1</v>
      </c>
      <c r="E508">
        <v>0</v>
      </c>
      <c r="F508">
        <v>0.23743799003692587</v>
      </c>
      <c r="G508">
        <v>0.11667024150234578</v>
      </c>
      <c r="H508">
        <v>0.25284716160238296</v>
      </c>
    </row>
    <row r="509" spans="2:8">
      <c r="B509">
        <v>3</v>
      </c>
      <c r="C509">
        <v>106</v>
      </c>
      <c r="D509">
        <v>3</v>
      </c>
      <c r="E509">
        <v>0</v>
      </c>
      <c r="F509">
        <v>-0.10991602386305176</v>
      </c>
      <c r="G509">
        <v>-0.12568780531463594</v>
      </c>
      <c r="H509">
        <v>-0.15559877977498263</v>
      </c>
    </row>
    <row r="510" spans="2:8">
      <c r="B510">
        <v>1</v>
      </c>
      <c r="C510">
        <v>102</v>
      </c>
      <c r="D510">
        <v>1</v>
      </c>
      <c r="E510">
        <v>0</v>
      </c>
      <c r="F510">
        <v>0.16095131636291457</v>
      </c>
    </row>
    <row r="511" spans="2:8">
      <c r="B511">
        <v>1</v>
      </c>
      <c r="C511">
        <v>102</v>
      </c>
      <c r="D511">
        <v>1</v>
      </c>
      <c r="E511">
        <v>0</v>
      </c>
      <c r="F511">
        <v>0.38973969258213426</v>
      </c>
      <c r="G511">
        <v>-0.20170413312287819</v>
      </c>
      <c r="H511">
        <v>-0.34975736418541237</v>
      </c>
    </row>
    <row r="512" spans="2:8">
      <c r="B512">
        <v>3</v>
      </c>
      <c r="C512">
        <v>106</v>
      </c>
      <c r="D512">
        <v>3</v>
      </c>
      <c r="E512">
        <v>0</v>
      </c>
      <c r="F512">
        <v>-0.15357728391881334</v>
      </c>
      <c r="G512">
        <v>-1.1932072932860343E-2</v>
      </c>
      <c r="H512">
        <v>5.7246754250359848E-2</v>
      </c>
    </row>
    <row r="513" spans="2:8">
      <c r="B513">
        <v>3</v>
      </c>
      <c r="C513">
        <v>106</v>
      </c>
      <c r="D513">
        <v>3</v>
      </c>
      <c r="E513">
        <v>0</v>
      </c>
      <c r="F513">
        <v>-6.7524541363851179E-2</v>
      </c>
      <c r="G513">
        <v>-0.36733081357931802</v>
      </c>
      <c r="H513">
        <v>-0.3542992561233736</v>
      </c>
    </row>
    <row r="514" spans="2:8">
      <c r="B514">
        <v>1</v>
      </c>
      <c r="C514">
        <v>102</v>
      </c>
      <c r="D514">
        <v>1</v>
      </c>
      <c r="E514">
        <v>0</v>
      </c>
      <c r="F514">
        <v>0.12481721591275541</v>
      </c>
      <c r="G514">
        <v>-0.40733024287149566</v>
      </c>
      <c r="H514">
        <v>-0.64848728580119785</v>
      </c>
    </row>
    <row r="515" spans="2:8">
      <c r="B515">
        <v>3</v>
      </c>
      <c r="C515">
        <v>104</v>
      </c>
      <c r="D515">
        <v>2</v>
      </c>
      <c r="E515">
        <v>0</v>
      </c>
      <c r="F515">
        <v>-0.23649809392538346</v>
      </c>
      <c r="G515">
        <v>-0.56952843296548394</v>
      </c>
      <c r="H515">
        <v>-0.3519209241480683</v>
      </c>
    </row>
    <row r="516" spans="2:8">
      <c r="B516">
        <v>1</v>
      </c>
      <c r="C516">
        <v>102</v>
      </c>
      <c r="D516">
        <v>1</v>
      </c>
      <c r="E516">
        <v>0</v>
      </c>
      <c r="F516">
        <v>0.13502731540915169</v>
      </c>
      <c r="G516">
        <v>-0.45010445460347015</v>
      </c>
      <c r="H516">
        <v>-0.53166227708924785</v>
      </c>
    </row>
    <row r="517" spans="2:8">
      <c r="B517">
        <v>3</v>
      </c>
      <c r="C517">
        <v>106</v>
      </c>
      <c r="D517">
        <v>3</v>
      </c>
      <c r="E517">
        <v>0</v>
      </c>
      <c r="F517">
        <v>-5.2191946258942964E-3</v>
      </c>
      <c r="G517">
        <v>0.10628370303580631</v>
      </c>
      <c r="H517">
        <v>0.19581409356713184</v>
      </c>
    </row>
    <row r="518" spans="2:8">
      <c r="B518">
        <v>3</v>
      </c>
      <c r="C518">
        <v>106</v>
      </c>
      <c r="D518">
        <v>3</v>
      </c>
      <c r="E518">
        <v>0</v>
      </c>
      <c r="F518">
        <v>-0.22550907787173513</v>
      </c>
      <c r="G518">
        <v>-0.18835331183188272</v>
      </c>
      <c r="H518">
        <v>-0.33168154100933067</v>
      </c>
    </row>
    <row r="519" spans="2:8">
      <c r="B519">
        <v>3</v>
      </c>
      <c r="C519">
        <v>106</v>
      </c>
      <c r="D519">
        <v>3</v>
      </c>
      <c r="E519">
        <v>0</v>
      </c>
      <c r="F519">
        <v>-2.4519736029177942E-2</v>
      </c>
      <c r="G519">
        <v>8.9754717439729972E-2</v>
      </c>
      <c r="H519">
        <v>-3.894482660435958E-3</v>
      </c>
    </row>
    <row r="520" spans="2:8">
      <c r="B520">
        <v>3</v>
      </c>
      <c r="C520">
        <v>106</v>
      </c>
      <c r="D520">
        <v>3</v>
      </c>
      <c r="E520">
        <v>0</v>
      </c>
      <c r="F520">
        <v>-3.4230718536748549E-2</v>
      </c>
      <c r="G520">
        <v>-0.1130792504691768</v>
      </c>
      <c r="H520">
        <v>-0.23872270924658423</v>
      </c>
    </row>
    <row r="521" spans="2:8">
      <c r="B521">
        <v>3</v>
      </c>
      <c r="C521">
        <v>106</v>
      </c>
      <c r="D521">
        <v>3</v>
      </c>
      <c r="E521">
        <v>0</v>
      </c>
      <c r="F521">
        <v>-0.27056641396240988</v>
      </c>
      <c r="G521">
        <v>-0.24627732852193515</v>
      </c>
      <c r="H521">
        <v>-0.27946152080515424</v>
      </c>
    </row>
    <row r="522" spans="2:8">
      <c r="B522">
        <v>1</v>
      </c>
      <c r="C522">
        <v>102</v>
      </c>
      <c r="D522">
        <v>1</v>
      </c>
      <c r="E522">
        <v>0</v>
      </c>
      <c r="F522">
        <v>4.5409481879611788E-2</v>
      </c>
      <c r="G522">
        <v>-0.24234932962439071</v>
      </c>
      <c r="H522">
        <v>-0.24587884465140183</v>
      </c>
    </row>
    <row r="523" spans="2:8">
      <c r="B523">
        <v>3</v>
      </c>
      <c r="C523">
        <v>106</v>
      </c>
      <c r="D523">
        <v>3</v>
      </c>
      <c r="E523">
        <v>0</v>
      </c>
      <c r="F523">
        <v>-0.29459206805085092</v>
      </c>
      <c r="G523">
        <v>-1.9224139221684707E-2</v>
      </c>
      <c r="H523">
        <v>0.12810881554209494</v>
      </c>
    </row>
    <row r="524" spans="2:8">
      <c r="B524">
        <v>1</v>
      </c>
      <c r="C524">
        <v>102</v>
      </c>
      <c r="D524">
        <v>1</v>
      </c>
      <c r="E524">
        <v>0</v>
      </c>
      <c r="F524">
        <v>7.8679026650108314E-2</v>
      </c>
      <c r="G524">
        <v>-5.5265463216338712E-2</v>
      </c>
      <c r="H524">
        <v>-1.9333134538628106E-2</v>
      </c>
    </row>
    <row r="525" spans="2:8">
      <c r="B525">
        <v>1</v>
      </c>
      <c r="C525">
        <v>102</v>
      </c>
      <c r="D525">
        <v>1</v>
      </c>
      <c r="E525">
        <v>0</v>
      </c>
      <c r="F525">
        <v>0.12982935249064692</v>
      </c>
    </row>
    <row r="526" spans="2:8">
      <c r="B526">
        <v>3</v>
      </c>
      <c r="C526">
        <v>106</v>
      </c>
      <c r="D526">
        <v>3</v>
      </c>
      <c r="E526">
        <v>0</v>
      </c>
      <c r="F526">
        <v>-0.10537185052968177</v>
      </c>
      <c r="G526">
        <v>9.5856189880816178E-2</v>
      </c>
      <c r="H526">
        <v>4.9774019611213756E-2</v>
      </c>
    </row>
    <row r="527" spans="2:8">
      <c r="B527">
        <v>1</v>
      </c>
      <c r="C527">
        <v>102</v>
      </c>
      <c r="D527">
        <v>1</v>
      </c>
      <c r="E527">
        <v>0</v>
      </c>
      <c r="F527">
        <v>0.13297445946379799</v>
      </c>
      <c r="G527">
        <v>-6.2896041326172408E-2</v>
      </c>
      <c r="H527">
        <v>-0.14745081756894882</v>
      </c>
    </row>
    <row r="528" spans="2:8">
      <c r="B528">
        <v>3</v>
      </c>
      <c r="C528">
        <v>106</v>
      </c>
      <c r="D528">
        <v>3</v>
      </c>
      <c r="E528">
        <v>0</v>
      </c>
      <c r="F528">
        <v>-0.26402418666047933</v>
      </c>
      <c r="G528">
        <v>-0.22496256044024479</v>
      </c>
      <c r="H528">
        <v>-0.23464054872697115</v>
      </c>
    </row>
    <row r="529" spans="2:8">
      <c r="B529">
        <v>1</v>
      </c>
      <c r="C529">
        <v>102</v>
      </c>
      <c r="D529">
        <v>1</v>
      </c>
      <c r="E529">
        <v>0</v>
      </c>
      <c r="F529">
        <v>0.26309564027627291</v>
      </c>
      <c r="G529">
        <v>-0.28083406671629146</v>
      </c>
      <c r="H529">
        <v>-8.7625916789572877E-2</v>
      </c>
    </row>
    <row r="530" spans="2:8">
      <c r="B530">
        <v>3</v>
      </c>
      <c r="C530">
        <v>106</v>
      </c>
      <c r="D530">
        <v>3</v>
      </c>
      <c r="E530">
        <v>0</v>
      </c>
      <c r="F530">
        <v>-0.1238480130220479</v>
      </c>
      <c r="G530">
        <v>-0.27545385843750519</v>
      </c>
      <c r="H530">
        <v>-0.33868094640546886</v>
      </c>
    </row>
    <row r="531" spans="2:8">
      <c r="B531">
        <v>3</v>
      </c>
      <c r="C531">
        <v>106</v>
      </c>
      <c r="D531">
        <v>3</v>
      </c>
      <c r="E531">
        <v>0</v>
      </c>
      <c r="F531">
        <v>-0.15035091984884813</v>
      </c>
      <c r="G531">
        <v>2.154079399003091E-2</v>
      </c>
      <c r="H531">
        <v>0.12427736062297993</v>
      </c>
    </row>
    <row r="532" spans="2:8">
      <c r="B532">
        <v>1</v>
      </c>
      <c r="C532">
        <v>102</v>
      </c>
      <c r="D532">
        <v>1</v>
      </c>
      <c r="E532">
        <v>0</v>
      </c>
      <c r="F532">
        <v>3.5262570979106428E-2</v>
      </c>
      <c r="G532">
        <v>-3.5808668748789713E-2</v>
      </c>
      <c r="H532">
        <v>-2.8838373406133294E-2</v>
      </c>
    </row>
    <row r="533" spans="2:8">
      <c r="B533">
        <v>3</v>
      </c>
      <c r="C533">
        <v>106</v>
      </c>
      <c r="D533">
        <v>3</v>
      </c>
      <c r="E533">
        <v>0</v>
      </c>
      <c r="F533">
        <v>-0.23339446819561188</v>
      </c>
      <c r="G533">
        <v>-0.34331049205866343</v>
      </c>
      <c r="H533">
        <v>-0.35908227351024752</v>
      </c>
    </row>
    <row r="534" spans="2:8">
      <c r="B534">
        <v>3</v>
      </c>
      <c r="C534">
        <v>106</v>
      </c>
      <c r="D534">
        <v>3</v>
      </c>
      <c r="E534">
        <v>0</v>
      </c>
      <c r="F534">
        <v>-1.1357708693694148E-2</v>
      </c>
      <c r="G534">
        <v>0.14959360766922039</v>
      </c>
      <c r="H534">
        <v>8.96162844875035E-2</v>
      </c>
    </row>
    <row r="535" spans="2:8">
      <c r="B535">
        <v>3</v>
      </c>
      <c r="C535">
        <v>106</v>
      </c>
      <c r="D535">
        <v>3</v>
      </c>
      <c r="E535">
        <v>0</v>
      </c>
      <c r="F535">
        <v>-7.2879768661084296E-2</v>
      </c>
      <c r="G535">
        <v>0.31685992392104995</v>
      </c>
      <c r="H535">
        <v>0.17038945021871554</v>
      </c>
    </row>
    <row r="536" spans="2:8">
      <c r="B536">
        <v>3</v>
      </c>
      <c r="C536">
        <v>106</v>
      </c>
      <c r="D536">
        <v>3</v>
      </c>
      <c r="E536">
        <v>0</v>
      </c>
      <c r="F536">
        <v>-0.10366215352462642</v>
      </c>
      <c r="G536">
        <v>-0.25723943744343958</v>
      </c>
      <c r="H536">
        <v>-0.11559422645748667</v>
      </c>
    </row>
    <row r="537" spans="2:8">
      <c r="B537">
        <v>3</v>
      </c>
      <c r="C537">
        <v>106</v>
      </c>
      <c r="D537">
        <v>3</v>
      </c>
      <c r="E537">
        <v>0</v>
      </c>
      <c r="F537">
        <v>-1.2431238823558694E-2</v>
      </c>
      <c r="G537">
        <v>-7.9955780187409745E-2</v>
      </c>
      <c r="H537">
        <v>-0.37976205240287669</v>
      </c>
    </row>
    <row r="538" spans="2:8">
      <c r="B538">
        <v>1</v>
      </c>
      <c r="C538">
        <v>102</v>
      </c>
      <c r="D538">
        <v>1</v>
      </c>
      <c r="E538">
        <v>0</v>
      </c>
      <c r="F538">
        <v>0.17925536379068169</v>
      </c>
      <c r="G538">
        <v>-0.48515925567303936</v>
      </c>
      <c r="H538">
        <v>-0.68464128380476175</v>
      </c>
    </row>
    <row r="539" spans="2:8">
      <c r="B539">
        <v>3</v>
      </c>
      <c r="C539">
        <v>24.91781932646775</v>
      </c>
      <c r="D539">
        <v>1</v>
      </c>
      <c r="E539">
        <v>0</v>
      </c>
      <c r="F539">
        <v>-0.18129337376983845</v>
      </c>
      <c r="G539">
        <v>-0.41779146769522202</v>
      </c>
      <c r="H539">
        <v>-0.75082180673532251</v>
      </c>
    </row>
    <row r="540" spans="2:8">
      <c r="B540">
        <v>3</v>
      </c>
      <c r="C540">
        <v>106</v>
      </c>
      <c r="D540">
        <v>3</v>
      </c>
      <c r="E540">
        <v>0</v>
      </c>
      <c r="F540">
        <v>-2.4305260937372425E-3</v>
      </c>
      <c r="G540">
        <v>0.13259678931541447</v>
      </c>
      <c r="H540">
        <v>-9.5848385322333599E-2</v>
      </c>
    </row>
    <row r="541" spans="2:8">
      <c r="B541">
        <v>3</v>
      </c>
      <c r="C541">
        <v>106</v>
      </c>
      <c r="D541">
        <v>3</v>
      </c>
      <c r="E541">
        <v>0</v>
      </c>
      <c r="F541">
        <v>-9.9174896590575976E-2</v>
      </c>
      <c r="G541">
        <v>-0.10439409121647025</v>
      </c>
      <c r="H541">
        <v>7.1088064452303331E-3</v>
      </c>
    </row>
    <row r="542" spans="2:8">
      <c r="B542">
        <v>3</v>
      </c>
      <c r="C542">
        <v>106</v>
      </c>
      <c r="D542">
        <v>3</v>
      </c>
      <c r="E542">
        <v>0</v>
      </c>
      <c r="F542">
        <v>-2.5574551945579917E-2</v>
      </c>
      <c r="G542">
        <v>-0.25108362981731502</v>
      </c>
      <c r="H542">
        <v>-0.21392786377746248</v>
      </c>
    </row>
    <row r="543" spans="2:8">
      <c r="B543">
        <v>3</v>
      </c>
      <c r="C543">
        <v>106</v>
      </c>
      <c r="D543">
        <v>3</v>
      </c>
      <c r="E543">
        <v>0</v>
      </c>
      <c r="F543">
        <v>-0.37325405754005747</v>
      </c>
      <c r="G543">
        <v>-0.39777379356923531</v>
      </c>
      <c r="H543">
        <v>-0.28349934010032729</v>
      </c>
    </row>
    <row r="544" spans="2:8">
      <c r="B544">
        <v>1</v>
      </c>
      <c r="C544">
        <v>102</v>
      </c>
      <c r="D544">
        <v>1</v>
      </c>
      <c r="E544">
        <v>0</v>
      </c>
      <c r="F544">
        <v>0.17470963820789681</v>
      </c>
      <c r="G544">
        <v>-0.28194920606876972</v>
      </c>
      <c r="H544">
        <v>-0.33793033517919352</v>
      </c>
    </row>
    <row r="545" spans="2:8">
      <c r="B545">
        <v>3</v>
      </c>
      <c r="C545">
        <v>106</v>
      </c>
      <c r="D545">
        <v>3</v>
      </c>
      <c r="E545">
        <v>0</v>
      </c>
      <c r="F545">
        <v>-5.7313935435902921E-2</v>
      </c>
      <c r="G545">
        <v>-0.32788034939831284</v>
      </c>
      <c r="H545">
        <v>-0.30359126395783803</v>
      </c>
    </row>
    <row r="546" spans="2:8">
      <c r="B546">
        <v>3</v>
      </c>
      <c r="C546">
        <v>106</v>
      </c>
      <c r="D546">
        <v>3</v>
      </c>
      <c r="E546">
        <v>0</v>
      </c>
      <c r="F546">
        <v>-4.2833123454651977E-2</v>
      </c>
      <c r="G546">
        <v>2.5763584249598264E-3</v>
      </c>
      <c r="H546">
        <v>2.0297761278739963E-2</v>
      </c>
    </row>
    <row r="547" spans="2:8">
      <c r="B547">
        <v>3</v>
      </c>
      <c r="C547">
        <v>104</v>
      </c>
      <c r="D547">
        <v>2</v>
      </c>
      <c r="E547">
        <v>0</v>
      </c>
      <c r="F547">
        <v>-0.21802251069371753</v>
      </c>
      <c r="G547">
        <v>-0.51261457874456851</v>
      </c>
      <c r="H547">
        <v>-0.23724664991540226</v>
      </c>
    </row>
    <row r="548" spans="2:8">
      <c r="B548">
        <v>3</v>
      </c>
      <c r="C548">
        <v>106</v>
      </c>
      <c r="D548">
        <v>3</v>
      </c>
      <c r="E548">
        <v>0</v>
      </c>
      <c r="F548">
        <v>-3.7493474364981114E-2</v>
      </c>
      <c r="G548">
        <v>4.1185552285127131E-2</v>
      </c>
      <c r="H548">
        <v>-0.2738220010884585</v>
      </c>
    </row>
    <row r="549" spans="2:8">
      <c r="B549">
        <v>1</v>
      </c>
      <c r="C549">
        <v>102</v>
      </c>
      <c r="D549">
        <v>1</v>
      </c>
      <c r="E549">
        <v>0</v>
      </c>
      <c r="F549">
        <v>5.5442968694535367E-3</v>
      </c>
      <c r="G549">
        <v>1.8043392916021844E-2</v>
      </c>
      <c r="H549">
        <v>-3.3653639395904919E-2</v>
      </c>
    </row>
    <row r="550" spans="2:8">
      <c r="B550">
        <v>1</v>
      </c>
      <c r="C550">
        <v>102</v>
      </c>
      <c r="D550">
        <v>1</v>
      </c>
      <c r="E550">
        <v>0</v>
      </c>
      <c r="F550">
        <v>8.0965208544321349E-2</v>
      </c>
      <c r="G550">
        <v>-0.11225081759795492</v>
      </c>
      <c r="H550">
        <v>-8.8287104174932352E-2</v>
      </c>
    </row>
    <row r="551" spans="2:8">
      <c r="B551">
        <v>3</v>
      </c>
      <c r="C551">
        <v>106</v>
      </c>
      <c r="D551">
        <v>3</v>
      </c>
      <c r="E551">
        <v>0</v>
      </c>
      <c r="F551">
        <v>-1.4103613248143042E-2</v>
      </c>
      <c r="G551">
        <v>0.11887084621565494</v>
      </c>
      <c r="H551">
        <v>3.5670670270205339E-2</v>
      </c>
    </row>
    <row r="552" spans="2:8">
      <c r="B552">
        <v>3</v>
      </c>
      <c r="C552">
        <v>59.00331985535999</v>
      </c>
      <c r="D552">
        <v>1</v>
      </c>
      <c r="E552">
        <v>0</v>
      </c>
      <c r="F552">
        <v>-0.1850042410061552</v>
      </c>
      <c r="G552">
        <v>-0.44902842766663448</v>
      </c>
      <c r="H552">
        <v>-0.40996680144640008</v>
      </c>
    </row>
    <row r="553" spans="2:8">
      <c r="B553">
        <v>3</v>
      </c>
      <c r="C553">
        <v>106</v>
      </c>
      <c r="D553">
        <v>3</v>
      </c>
      <c r="E553">
        <v>0</v>
      </c>
      <c r="F553">
        <v>-0.10257008314057088</v>
      </c>
      <c r="G553">
        <v>0.16052555713570202</v>
      </c>
      <c r="H553">
        <v>0.13765504705324935</v>
      </c>
    </row>
    <row r="554" spans="2:8">
      <c r="B554">
        <v>3</v>
      </c>
      <c r="C554">
        <v>106</v>
      </c>
      <c r="D554">
        <v>3</v>
      </c>
      <c r="E554">
        <v>0</v>
      </c>
      <c r="F554">
        <v>-9.8091999738622274E-2</v>
      </c>
      <c r="G554">
        <v>-0.22194001276067021</v>
      </c>
      <c r="H554">
        <v>-0.3735458581761274</v>
      </c>
    </row>
    <row r="555" spans="2:8">
      <c r="B555">
        <v>3</v>
      </c>
      <c r="C555">
        <v>106</v>
      </c>
      <c r="D555">
        <v>3</v>
      </c>
      <c r="E555">
        <v>0</v>
      </c>
      <c r="F555">
        <v>-0.11164886919961509</v>
      </c>
      <c r="G555">
        <v>-0.26199978904846316</v>
      </c>
      <c r="H555">
        <v>-9.0108075209584151E-2</v>
      </c>
    </row>
    <row r="556" spans="2:8">
      <c r="B556">
        <v>3</v>
      </c>
      <c r="C556">
        <v>106</v>
      </c>
      <c r="D556">
        <v>3</v>
      </c>
      <c r="E556">
        <v>0</v>
      </c>
      <c r="F556">
        <v>-7.1832717967565157E-2</v>
      </c>
      <c r="G556">
        <v>-3.6570146988458792E-2</v>
      </c>
      <c r="H556">
        <v>0.20086784304846719</v>
      </c>
    </row>
    <row r="557" spans="2:8">
      <c r="B557">
        <v>1</v>
      </c>
      <c r="C557">
        <v>102</v>
      </c>
      <c r="D557">
        <v>1</v>
      </c>
      <c r="E557">
        <v>0</v>
      </c>
      <c r="F557">
        <v>0.1509276991768683</v>
      </c>
      <c r="G557">
        <v>3.9697738244288329E-2</v>
      </c>
      <c r="H557">
        <v>1.4115062219291499E-2</v>
      </c>
    </row>
    <row r="558" spans="2:8">
      <c r="B558">
        <v>3</v>
      </c>
      <c r="C558">
        <v>106</v>
      </c>
      <c r="D558">
        <v>3</v>
      </c>
      <c r="E558">
        <v>0</v>
      </c>
      <c r="F558">
        <v>-0.35552928431404512</v>
      </c>
      <c r="G558">
        <v>-0.36688699300773925</v>
      </c>
      <c r="H558">
        <v>-0.20593567664482473</v>
      </c>
    </row>
    <row r="559" spans="2:8">
      <c r="B559">
        <v>3</v>
      </c>
      <c r="C559">
        <v>106</v>
      </c>
      <c r="D559">
        <v>3</v>
      </c>
      <c r="E559">
        <v>0</v>
      </c>
      <c r="F559">
        <v>-0.2065992843694901</v>
      </c>
      <c r="G559">
        <v>-0.27947905303057441</v>
      </c>
      <c r="H559">
        <v>0.11026063955155987</v>
      </c>
    </row>
    <row r="560" spans="2:8">
      <c r="B560">
        <v>1</v>
      </c>
      <c r="C560">
        <v>102</v>
      </c>
      <c r="D560">
        <v>1</v>
      </c>
      <c r="E560">
        <v>0</v>
      </c>
      <c r="F560">
        <v>5.5967444495569722E-2</v>
      </c>
      <c r="G560">
        <v>-0.53983383803225971</v>
      </c>
      <c r="H560">
        <v>-0.84775845233752178</v>
      </c>
    </row>
    <row r="561" spans="2:8">
      <c r="B561">
        <v>3</v>
      </c>
      <c r="C561">
        <v>38.168297005384666</v>
      </c>
      <c r="D561">
        <v>0</v>
      </c>
      <c r="E561">
        <v>0</v>
      </c>
      <c r="F561">
        <v>-0.53836124975874344</v>
      </c>
      <c r="G561">
        <v>-0.55079248858230223</v>
      </c>
      <c r="H561">
        <v>-0.61831702994615334</v>
      </c>
    </row>
    <row r="562" spans="2:8">
      <c r="B562">
        <v>1</v>
      </c>
      <c r="C562">
        <v>102</v>
      </c>
      <c r="D562">
        <v>1</v>
      </c>
      <c r="E562">
        <v>0</v>
      </c>
      <c r="F562">
        <v>0.30102586488525018</v>
      </c>
      <c r="G562">
        <v>-1.8157163287626638E-2</v>
      </c>
      <c r="H562">
        <v>-0.18411655561771806</v>
      </c>
    </row>
    <row r="563" spans="2:8">
      <c r="B563">
        <v>3</v>
      </c>
      <c r="C563">
        <v>44.386612486800928</v>
      </c>
      <c r="D563">
        <v>2</v>
      </c>
      <c r="E563">
        <v>0</v>
      </c>
      <c r="F563">
        <v>-0.13834240743676873</v>
      </c>
      <c r="G563">
        <v>-0.31963578120660724</v>
      </c>
      <c r="H563">
        <v>-0.55613387513199075</v>
      </c>
    </row>
    <row r="564" spans="2:8">
      <c r="B564">
        <v>3</v>
      </c>
      <c r="C564">
        <v>106</v>
      </c>
      <c r="D564">
        <v>3</v>
      </c>
      <c r="E564">
        <v>0</v>
      </c>
      <c r="F564">
        <v>-0.10708758313205159</v>
      </c>
      <c r="G564">
        <v>-0.10951810922578897</v>
      </c>
      <c r="H564">
        <v>2.5509206183362845E-2</v>
      </c>
    </row>
    <row r="565" spans="2:8">
      <c r="B565">
        <v>3</v>
      </c>
      <c r="C565">
        <v>106</v>
      </c>
      <c r="D565">
        <v>3</v>
      </c>
      <c r="E565">
        <v>0</v>
      </c>
      <c r="F565">
        <v>-8.485392092879962E-2</v>
      </c>
      <c r="G565">
        <v>-0.18402881751937561</v>
      </c>
      <c r="H565">
        <v>-0.18924801214526976</v>
      </c>
    </row>
    <row r="566" spans="2:8">
      <c r="B566">
        <v>3</v>
      </c>
      <c r="C566">
        <v>59.335221207823011</v>
      </c>
      <c r="D566">
        <v>2</v>
      </c>
      <c r="E566">
        <v>0</v>
      </c>
      <c r="F566">
        <v>-0.1555641581044549</v>
      </c>
      <c r="G566">
        <v>-0.18113871005003473</v>
      </c>
      <c r="H566">
        <v>-0.40664778792176992</v>
      </c>
    </row>
    <row r="567" spans="2:8">
      <c r="B567">
        <v>1</v>
      </c>
      <c r="C567">
        <v>102</v>
      </c>
      <c r="D567">
        <v>1</v>
      </c>
      <c r="E567">
        <v>0</v>
      </c>
      <c r="F567">
        <v>5.0632209460083913E-2</v>
      </c>
    </row>
    <row r="568" spans="2:8">
      <c r="B568">
        <v>3</v>
      </c>
      <c r="C568">
        <v>106</v>
      </c>
      <c r="D568">
        <v>3</v>
      </c>
      <c r="E568">
        <v>0</v>
      </c>
      <c r="F568">
        <v>-0.34631662794031071</v>
      </c>
      <c r="G568">
        <v>-0.17160698973241395</v>
      </c>
      <c r="H568">
        <v>-0.20583770826916245</v>
      </c>
    </row>
    <row r="569" spans="2:8">
      <c r="B569">
        <v>1</v>
      </c>
      <c r="C569">
        <v>102</v>
      </c>
      <c r="D569">
        <v>1</v>
      </c>
      <c r="E569">
        <v>0</v>
      </c>
      <c r="F569">
        <v>0.14383644076174831</v>
      </c>
      <c r="G569">
        <v>-0.4230793482371713</v>
      </c>
      <c r="H569">
        <v>-0.30829860229278244</v>
      </c>
    </row>
    <row r="570" spans="2:8">
      <c r="B570">
        <v>3</v>
      </c>
      <c r="C570">
        <v>106</v>
      </c>
      <c r="D570">
        <v>3</v>
      </c>
      <c r="E570">
        <v>0</v>
      </c>
      <c r="F570">
        <v>-1.849989880423367E-2</v>
      </c>
      <c r="G570">
        <v>-6.1333022258885685E-2</v>
      </c>
      <c r="H570">
        <v>-1.592354037927388E-2</v>
      </c>
    </row>
    <row r="571" spans="2:8">
      <c r="B571">
        <v>3</v>
      </c>
      <c r="C571">
        <v>31.970772425512209</v>
      </c>
      <c r="D571">
        <v>2</v>
      </c>
      <c r="E571">
        <v>0</v>
      </c>
      <c r="F571">
        <v>-0.16767769700030946</v>
      </c>
      <c r="G571">
        <v>-0.38570020769402702</v>
      </c>
      <c r="H571">
        <v>-0.68029227574487794</v>
      </c>
    </row>
    <row r="572" spans="2:8">
      <c r="B572">
        <v>3</v>
      </c>
      <c r="C572">
        <v>106</v>
      </c>
      <c r="D572">
        <v>3</v>
      </c>
      <c r="E572">
        <v>0</v>
      </c>
      <c r="F572">
        <v>-0.14523935901874083</v>
      </c>
      <c r="G572">
        <v>-0.1827328333837219</v>
      </c>
      <c r="H572">
        <v>-0.1040538067336136</v>
      </c>
    </row>
    <row r="573" spans="2:8">
      <c r="B573">
        <v>1</v>
      </c>
      <c r="C573">
        <v>102</v>
      </c>
      <c r="D573">
        <v>1</v>
      </c>
      <c r="E573">
        <v>0</v>
      </c>
      <c r="F573">
        <v>2.066566717829784E-2</v>
      </c>
      <c r="G573">
        <v>-0.20580224667872266</v>
      </c>
      <c r="H573">
        <v>-0.35580015757275696</v>
      </c>
    </row>
    <row r="574" spans="2:8">
      <c r="B574">
        <v>3</v>
      </c>
      <c r="C574">
        <v>106</v>
      </c>
      <c r="D574">
        <v>3</v>
      </c>
      <c r="E574">
        <v>0</v>
      </c>
      <c r="F574">
        <v>-0.17329497508359915</v>
      </c>
      <c r="G574">
        <v>-9.2329766539277908E-2</v>
      </c>
      <c r="H574">
        <v>-0.19770161706895958</v>
      </c>
    </row>
    <row r="575" spans="2:8">
      <c r="B575">
        <v>3</v>
      </c>
      <c r="C575">
        <v>106</v>
      </c>
      <c r="D575">
        <v>3</v>
      </c>
      <c r="E575">
        <v>0</v>
      </c>
      <c r="F575">
        <v>-0.1304296504968234</v>
      </c>
      <c r="G575">
        <v>-0.14453326374496636</v>
      </c>
      <c r="H575">
        <v>-1.1558804281168341E-2</v>
      </c>
    </row>
    <row r="576" spans="2:8">
      <c r="B576">
        <v>3</v>
      </c>
      <c r="C576">
        <v>53.081365152888907</v>
      </c>
      <c r="D576">
        <v>2</v>
      </c>
      <c r="E576">
        <v>0</v>
      </c>
      <c r="F576">
        <v>-2.0157920804476388E-2</v>
      </c>
      <c r="G576">
        <v>-0.20516216181063154</v>
      </c>
      <c r="H576">
        <v>-0.46918634847111096</v>
      </c>
    </row>
    <row r="577" spans="2:8">
      <c r="B577">
        <v>3</v>
      </c>
      <c r="C577">
        <v>106</v>
      </c>
      <c r="D577">
        <v>3</v>
      </c>
      <c r="E577">
        <v>0</v>
      </c>
      <c r="F577">
        <v>-4.7122104373327207E-2</v>
      </c>
      <c r="G577">
        <v>-0.14969218751389826</v>
      </c>
      <c r="H577">
        <v>0.11340345276237478</v>
      </c>
    </row>
    <row r="578" spans="2:8">
      <c r="B578">
        <v>3</v>
      </c>
      <c r="C578">
        <v>58.059084379690077</v>
      </c>
      <c r="D578">
        <v>2</v>
      </c>
      <c r="E578">
        <v>0</v>
      </c>
      <c r="F578">
        <v>-0.19746914344242894</v>
      </c>
      <c r="G578">
        <v>-0.29556114318105148</v>
      </c>
      <c r="H578">
        <v>-0.41940915620309926</v>
      </c>
    </row>
    <row r="579" spans="2:8">
      <c r="B579">
        <v>3</v>
      </c>
      <c r="C579">
        <v>106</v>
      </c>
      <c r="D579">
        <v>3</v>
      </c>
      <c r="E579">
        <v>0</v>
      </c>
      <c r="F579">
        <v>-7.6154813439043623E-2</v>
      </c>
      <c r="G579">
        <v>-0.18780368263865874</v>
      </c>
      <c r="H579">
        <v>-0.33815460248750695</v>
      </c>
    </row>
    <row r="580" spans="2:8">
      <c r="B580">
        <v>1</v>
      </c>
      <c r="C580">
        <v>102</v>
      </c>
      <c r="D580">
        <v>1</v>
      </c>
      <c r="E580">
        <v>0</v>
      </c>
      <c r="F580">
        <v>0.18399643308471925</v>
      </c>
      <c r="G580">
        <v>-0.2196877875949097</v>
      </c>
      <c r="H580">
        <v>-0.45058325041419933</v>
      </c>
    </row>
    <row r="581" spans="2:8">
      <c r="B581">
        <v>1</v>
      </c>
      <c r="C581">
        <v>102</v>
      </c>
      <c r="D581">
        <v>1</v>
      </c>
      <c r="E581">
        <v>0</v>
      </c>
      <c r="F581">
        <v>0.18714598643225983</v>
      </c>
      <c r="G581">
        <v>4.5900486326568693E-2</v>
      </c>
      <c r="H581">
        <v>4.4026547268862931E-3</v>
      </c>
    </row>
    <row r="582" spans="2:8">
      <c r="B582">
        <v>3</v>
      </c>
      <c r="C582">
        <v>56.291330266055489</v>
      </c>
      <c r="D582">
        <v>1</v>
      </c>
      <c r="E582">
        <v>0</v>
      </c>
      <c r="F582">
        <v>-7.0199704331705831E-2</v>
      </c>
      <c r="G582">
        <v>-0.42572898864575104</v>
      </c>
      <c r="H582">
        <v>-0.43708669733944511</v>
      </c>
    </row>
    <row r="583" spans="2:8">
      <c r="B583">
        <v>3</v>
      </c>
      <c r="C583">
        <v>106</v>
      </c>
      <c r="D583">
        <v>3</v>
      </c>
      <c r="E583">
        <v>0</v>
      </c>
      <c r="F583">
        <v>-3.5211195315550171E-3</v>
      </c>
      <c r="G583">
        <v>-0.21012040390104508</v>
      </c>
      <c r="H583">
        <v>-0.28300017256212934</v>
      </c>
    </row>
    <row r="584" spans="2:8">
      <c r="B584">
        <v>1</v>
      </c>
      <c r="C584">
        <v>102</v>
      </c>
      <c r="D584">
        <v>1</v>
      </c>
      <c r="E584">
        <v>0</v>
      </c>
      <c r="F584">
        <v>0.12184566615983833</v>
      </c>
      <c r="G584">
        <v>-0.20997266033978498</v>
      </c>
      <c r="H584">
        <v>-0.29016912628294084</v>
      </c>
    </row>
    <row r="585" spans="2:8">
      <c r="B585">
        <v>3</v>
      </c>
      <c r="C585">
        <v>35.723245230409276</v>
      </c>
      <c r="D585">
        <v>1</v>
      </c>
      <c r="E585">
        <v>0</v>
      </c>
      <c r="F585">
        <v>-9.1975059113605026E-2</v>
      </c>
      <c r="G585">
        <v>-0.63033630887234848</v>
      </c>
      <c r="H585">
        <v>-0.64276754769590727</v>
      </c>
    </row>
    <row r="586" spans="2:8">
      <c r="B586">
        <v>1</v>
      </c>
      <c r="C586">
        <v>102</v>
      </c>
      <c r="D586">
        <v>1</v>
      </c>
      <c r="E586">
        <v>0</v>
      </c>
      <c r="F586">
        <v>7.1358580174261957E-2</v>
      </c>
      <c r="G586">
        <v>-0.69377093575427351</v>
      </c>
      <c r="H586">
        <v>-1.0385223904726089</v>
      </c>
    </row>
    <row r="587" spans="2:8">
      <c r="B587">
        <v>3</v>
      </c>
      <c r="C587">
        <v>57.949444026459354</v>
      </c>
      <c r="D587">
        <v>2</v>
      </c>
      <c r="E587">
        <v>0</v>
      </c>
      <c r="F587">
        <v>-0.10086977852879922</v>
      </c>
      <c r="G587">
        <v>-0.23921218596556787</v>
      </c>
      <c r="H587">
        <v>-0.42050555973540643</v>
      </c>
    </row>
    <row r="588" spans="2:8">
      <c r="B588">
        <v>1</v>
      </c>
      <c r="C588">
        <v>102</v>
      </c>
      <c r="D588">
        <v>1</v>
      </c>
      <c r="E588">
        <v>0</v>
      </c>
      <c r="F588">
        <v>0.10975319520296889</v>
      </c>
    </row>
    <row r="589" spans="2:8">
      <c r="B589">
        <v>3</v>
      </c>
      <c r="C589">
        <v>106</v>
      </c>
      <c r="D589">
        <v>3</v>
      </c>
      <c r="E589">
        <v>0</v>
      </c>
      <c r="F589">
        <v>-0.19350571215790466</v>
      </c>
      <c r="G589">
        <v>-0.27835963308670425</v>
      </c>
      <c r="H589">
        <v>-0.37753452967728018</v>
      </c>
    </row>
    <row r="590" spans="2:8">
      <c r="B590">
        <v>1</v>
      </c>
      <c r="C590">
        <v>102</v>
      </c>
      <c r="D590">
        <v>1</v>
      </c>
      <c r="E590">
        <v>0</v>
      </c>
      <c r="F590">
        <v>2.5457868584539051E-2</v>
      </c>
      <c r="G590">
        <v>-0.32397317369176454</v>
      </c>
      <c r="H590">
        <v>-0.45707871969075831</v>
      </c>
    </row>
    <row r="591" spans="2:8">
      <c r="B591">
        <v>3</v>
      </c>
      <c r="C591">
        <v>48.624650234102305</v>
      </c>
      <c r="D591">
        <v>2</v>
      </c>
      <c r="E591">
        <v>0</v>
      </c>
      <c r="F591">
        <v>-0.19113164957900328</v>
      </c>
      <c r="G591">
        <v>-0.14049944011891946</v>
      </c>
      <c r="H591">
        <v>-0.51375349765897693</v>
      </c>
    </row>
    <row r="592" spans="2:8">
      <c r="B592">
        <v>3</v>
      </c>
      <c r="C592">
        <v>104</v>
      </c>
      <c r="D592">
        <v>2</v>
      </c>
      <c r="E592">
        <v>0</v>
      </c>
      <c r="F592">
        <v>-8.9237756978288632E-2</v>
      </c>
      <c r="G592">
        <v>-0.43555438491859921</v>
      </c>
      <c r="H592">
        <v>-0.26084474671070235</v>
      </c>
    </row>
    <row r="593" spans="2:8">
      <c r="B593">
        <v>3</v>
      </c>
      <c r="C593">
        <v>106</v>
      </c>
      <c r="D593">
        <v>3</v>
      </c>
      <c r="E593">
        <v>0</v>
      </c>
      <c r="F593">
        <v>-0.14022055823478963</v>
      </c>
      <c r="G593">
        <v>3.6158825269585475E-3</v>
      </c>
      <c r="H593">
        <v>-5.3698052908944249E-2</v>
      </c>
    </row>
    <row r="594" spans="2:8">
      <c r="B594">
        <v>1</v>
      </c>
      <c r="C594">
        <v>102</v>
      </c>
      <c r="D594">
        <v>1</v>
      </c>
      <c r="E594">
        <v>0</v>
      </c>
      <c r="F594">
        <v>6.6560738670033313E-3</v>
      </c>
      <c r="G594">
        <v>0.14479253673054304</v>
      </c>
      <c r="H594">
        <v>0.2994022731569001</v>
      </c>
    </row>
    <row r="595" spans="2:8">
      <c r="B595">
        <v>3</v>
      </c>
      <c r="C595">
        <v>48.750144506159309</v>
      </c>
      <c r="D595">
        <v>2</v>
      </c>
      <c r="E595">
        <v>0</v>
      </c>
      <c r="F595">
        <v>-0.12679834724437997</v>
      </c>
      <c r="G595">
        <v>-0.29447604424468943</v>
      </c>
      <c r="H595">
        <v>-0.5124985549384069</v>
      </c>
    </row>
    <row r="596" spans="2:8">
      <c r="B596">
        <v>1</v>
      </c>
      <c r="C596">
        <v>102</v>
      </c>
      <c r="D596">
        <v>1</v>
      </c>
      <c r="E596">
        <v>0</v>
      </c>
      <c r="F596">
        <v>6.0090118750110451E-2</v>
      </c>
    </row>
    <row r="597" spans="2:8">
      <c r="B597">
        <v>3</v>
      </c>
      <c r="C597">
        <v>106</v>
      </c>
      <c r="D597">
        <v>3</v>
      </c>
      <c r="E597">
        <v>0</v>
      </c>
      <c r="F597">
        <v>-7.4516148451052283E-2</v>
      </c>
      <c r="G597">
        <v>-5.3850481272754505E-2</v>
      </c>
      <c r="H597">
        <v>-4.830618440330111E-2</v>
      </c>
    </row>
    <row r="598" spans="2:8">
      <c r="B598">
        <v>1</v>
      </c>
      <c r="C598">
        <v>102</v>
      </c>
      <c r="D598">
        <v>1</v>
      </c>
      <c r="E598">
        <v>0</v>
      </c>
      <c r="F598">
        <v>1.0146247933618603E-2</v>
      </c>
      <c r="G598">
        <v>-0.12224856111277504</v>
      </c>
      <c r="H598">
        <v>-0.15944746266689044</v>
      </c>
    </row>
    <row r="599" spans="2:8">
      <c r="B599">
        <v>1</v>
      </c>
      <c r="C599">
        <v>102</v>
      </c>
      <c r="D599">
        <v>1</v>
      </c>
      <c r="E599">
        <v>0</v>
      </c>
      <c r="F599">
        <v>6.3528523334513226E-2</v>
      </c>
      <c r="G599">
        <v>-0.16755914024527982</v>
      </c>
      <c r="H599">
        <v>-0.49210254346551524</v>
      </c>
    </row>
    <row r="600" spans="2:8">
      <c r="B600">
        <v>1</v>
      </c>
      <c r="C600">
        <v>102</v>
      </c>
      <c r="D600">
        <v>1</v>
      </c>
      <c r="E600">
        <v>0</v>
      </c>
      <c r="F600">
        <v>2.7290950877668928E-2</v>
      </c>
      <c r="G600">
        <v>3.078978514528067E-2</v>
      </c>
      <c r="H600">
        <v>-0.12441410086316948</v>
      </c>
    </row>
    <row r="601" spans="2:8">
      <c r="B601">
        <v>1</v>
      </c>
      <c r="C601">
        <v>102</v>
      </c>
      <c r="D601">
        <v>1</v>
      </c>
      <c r="E601">
        <v>0</v>
      </c>
      <c r="F601">
        <v>0.16762685976170838</v>
      </c>
      <c r="G601">
        <v>-0.36784960702804853</v>
      </c>
      <c r="H601">
        <v>-0.59099014768659841</v>
      </c>
    </row>
    <row r="602" spans="2:8">
      <c r="B602">
        <v>3</v>
      </c>
      <c r="C602">
        <v>54.018062843344111</v>
      </c>
      <c r="D602">
        <v>2</v>
      </c>
      <c r="E602">
        <v>0</v>
      </c>
      <c r="F602">
        <v>-0.16425822838550758</v>
      </c>
      <c r="G602">
        <v>-0.36172737182793652</v>
      </c>
      <c r="H602">
        <v>-0.45981937156655889</v>
      </c>
    </row>
    <row r="603" spans="2:8">
      <c r="B603">
        <v>3</v>
      </c>
      <c r="C603">
        <v>106</v>
      </c>
      <c r="D603">
        <v>3</v>
      </c>
      <c r="E603">
        <v>0</v>
      </c>
      <c r="F603">
        <v>-4.1791751999910899E-2</v>
      </c>
      <c r="G603">
        <v>-0.11794656543895447</v>
      </c>
      <c r="H603">
        <v>-0.2295954346385696</v>
      </c>
    </row>
    <row r="604" spans="2:8">
      <c r="B604">
        <v>1</v>
      </c>
      <c r="C604">
        <v>102</v>
      </c>
      <c r="D604">
        <v>1</v>
      </c>
      <c r="E604">
        <v>0</v>
      </c>
      <c r="F604">
        <v>1.9513190226190594E-2</v>
      </c>
      <c r="G604">
        <v>-4.9006219593276577E-2</v>
      </c>
      <c r="H604">
        <v>6.8076757051046238E-2</v>
      </c>
    </row>
    <row r="605" spans="2:8">
      <c r="B605">
        <v>1</v>
      </c>
      <c r="C605">
        <v>102</v>
      </c>
      <c r="D605">
        <v>1</v>
      </c>
      <c r="E605">
        <v>0</v>
      </c>
      <c r="F605">
        <v>3.2183016909887487E-2</v>
      </c>
      <c r="G605">
        <v>-0.18046908717208116</v>
      </c>
      <c r="H605">
        <v>-0.31847330351122782</v>
      </c>
    </row>
    <row r="606" spans="2:8">
      <c r="B606">
        <v>1</v>
      </c>
      <c r="C606">
        <v>102</v>
      </c>
      <c r="D606">
        <v>1</v>
      </c>
      <c r="E606">
        <v>0</v>
      </c>
      <c r="F606">
        <v>0.13829541855223387</v>
      </c>
    </row>
    <row r="607" spans="2:8">
      <c r="B607">
        <v>3</v>
      </c>
      <c r="C607">
        <v>106</v>
      </c>
      <c r="D607">
        <v>3</v>
      </c>
      <c r="E607">
        <v>0</v>
      </c>
      <c r="F607">
        <v>-0.11914910589136249</v>
      </c>
      <c r="G607">
        <v>-0.12267022542291756</v>
      </c>
      <c r="H607">
        <v>-0.32926950979240766</v>
      </c>
    </row>
    <row r="608" spans="2:8">
      <c r="B608">
        <v>3</v>
      </c>
      <c r="C608">
        <v>106</v>
      </c>
      <c r="D608">
        <v>3</v>
      </c>
      <c r="E608">
        <v>0</v>
      </c>
      <c r="F608">
        <v>-0.16633641201961621</v>
      </c>
      <c r="G608">
        <v>-4.4490745859777914E-2</v>
      </c>
      <c r="H608">
        <v>1.1476698635791859E-2</v>
      </c>
    </row>
    <row r="609" spans="2:8">
      <c r="B609">
        <v>1</v>
      </c>
      <c r="C609">
        <v>102</v>
      </c>
      <c r="D609">
        <v>1</v>
      </c>
      <c r="E609">
        <v>0</v>
      </c>
      <c r="F609">
        <v>8.4776150666000236E-2</v>
      </c>
      <c r="G609">
        <v>-2.9684036037498668E-2</v>
      </c>
      <c r="H609">
        <v>-7.2525182920052889E-2</v>
      </c>
    </row>
    <row r="610" spans="2:8">
      <c r="B610">
        <v>1</v>
      </c>
      <c r="C610">
        <v>102</v>
      </c>
      <c r="D610">
        <v>1</v>
      </c>
      <c r="E610">
        <v>0</v>
      </c>
      <c r="F610">
        <v>0.10705978058133717</v>
      </c>
      <c r="G610">
        <v>-0.74517764108301243</v>
      </c>
      <c r="H610">
        <v>-1.0085024006314915</v>
      </c>
    </row>
    <row r="611" spans="2:8">
      <c r="B611">
        <v>3</v>
      </c>
      <c r="C611">
        <v>106</v>
      </c>
      <c r="D611">
        <v>3</v>
      </c>
      <c r="E611">
        <v>0</v>
      </c>
      <c r="F611">
        <v>-6.5895961340603867E-2</v>
      </c>
      <c r="G611">
        <v>-0.16676573986940316</v>
      </c>
      <c r="H611">
        <v>-0.30510814730617181</v>
      </c>
    </row>
    <row r="612" spans="2:8">
      <c r="B612">
        <v>3</v>
      </c>
      <c r="C612">
        <v>106</v>
      </c>
      <c r="D612">
        <v>3</v>
      </c>
      <c r="E612">
        <v>0</v>
      </c>
      <c r="F612">
        <v>-1.6838195997967421E-2</v>
      </c>
      <c r="G612">
        <v>9.2914999205001431E-2</v>
      </c>
      <c r="H612">
        <v>-1.4172583927050092E-2</v>
      </c>
    </row>
    <row r="613" spans="2:8">
      <c r="B613">
        <v>1</v>
      </c>
      <c r="C613">
        <v>102</v>
      </c>
      <c r="D613">
        <v>1</v>
      </c>
      <c r="E613">
        <v>0</v>
      </c>
      <c r="F613">
        <v>0.22462261160777125</v>
      </c>
    </row>
    <row r="614" spans="2:8">
      <c r="B614">
        <v>3</v>
      </c>
      <c r="C614">
        <v>106</v>
      </c>
      <c r="D614">
        <v>3</v>
      </c>
      <c r="E614">
        <v>0</v>
      </c>
      <c r="F614">
        <v>-0.24504568680752861</v>
      </c>
      <c r="G614">
        <v>-0.21958781822298948</v>
      </c>
      <c r="H614">
        <v>-0.37515197632744435</v>
      </c>
    </row>
    <row r="615" spans="2:8">
      <c r="B615">
        <v>1</v>
      </c>
      <c r="C615">
        <v>102</v>
      </c>
      <c r="D615">
        <v>1</v>
      </c>
      <c r="E615">
        <v>0</v>
      </c>
      <c r="F615">
        <v>0.16351304762938013</v>
      </c>
      <c r="G615">
        <v>-0.29749961757931187</v>
      </c>
      <c r="H615">
        <v>-0.49057395901804246</v>
      </c>
    </row>
    <row r="616" spans="2:8">
      <c r="B616">
        <v>3</v>
      </c>
      <c r="C616">
        <v>51.998754338260831</v>
      </c>
      <c r="D616">
        <v>2</v>
      </c>
      <c r="E616">
        <v>0</v>
      </c>
      <c r="F616">
        <v>-4.4458071698792297E-2</v>
      </c>
      <c r="G616">
        <v>-0.13369582867708099</v>
      </c>
      <c r="H616">
        <v>-0.48001245661739167</v>
      </c>
    </row>
    <row r="617" spans="2:8">
      <c r="B617">
        <v>3</v>
      </c>
      <c r="C617">
        <v>106</v>
      </c>
      <c r="D617">
        <v>3</v>
      </c>
      <c r="E617">
        <v>0</v>
      </c>
      <c r="F617">
        <v>-8.1549683005303394E-2</v>
      </c>
      <c r="G617">
        <v>-0.22177024124009301</v>
      </c>
      <c r="H617">
        <v>-7.793380047834475E-2</v>
      </c>
    </row>
    <row r="618" spans="2:8">
      <c r="B618">
        <v>3</v>
      </c>
      <c r="C618">
        <v>106</v>
      </c>
      <c r="D618">
        <v>3</v>
      </c>
      <c r="E618">
        <v>0</v>
      </c>
      <c r="F618">
        <v>-7.7205729909595622E-2</v>
      </c>
      <c r="G618">
        <v>-7.0549656042592321E-2</v>
      </c>
      <c r="H618">
        <v>-8.9049554846826168E-2</v>
      </c>
    </row>
    <row r="619" spans="2:8">
      <c r="B619">
        <v>3</v>
      </c>
      <c r="C619">
        <v>106</v>
      </c>
      <c r="D619">
        <v>3</v>
      </c>
      <c r="E619">
        <v>0</v>
      </c>
      <c r="F619">
        <v>-9.0305207155975148E-2</v>
      </c>
      <c r="G619">
        <v>-0.21710355440035517</v>
      </c>
      <c r="H619">
        <v>-0.3847812514006646</v>
      </c>
    </row>
    <row r="620" spans="2:8">
      <c r="B620">
        <v>3</v>
      </c>
      <c r="C620">
        <v>106</v>
      </c>
      <c r="D620">
        <v>3</v>
      </c>
      <c r="E620">
        <v>0</v>
      </c>
      <c r="F620">
        <v>-5.1407080214830723E-2</v>
      </c>
      <c r="G620">
        <v>8.6830385352797985E-3</v>
      </c>
      <c r="H620">
        <v>-0.13655632048346103</v>
      </c>
    </row>
    <row r="621" spans="2:8">
      <c r="B621">
        <v>3</v>
      </c>
      <c r="C621">
        <v>106</v>
      </c>
      <c r="D621">
        <v>3</v>
      </c>
      <c r="E621">
        <v>0</v>
      </c>
      <c r="F621">
        <v>-0.17906499427738548</v>
      </c>
      <c r="G621">
        <v>-0.25358114272843785</v>
      </c>
      <c r="H621">
        <v>-0.23291547555013986</v>
      </c>
    </row>
    <row r="622" spans="2:8">
      <c r="B622">
        <v>3</v>
      </c>
      <c r="C622">
        <v>106</v>
      </c>
      <c r="D622">
        <v>3</v>
      </c>
      <c r="E622">
        <v>0</v>
      </c>
      <c r="F622">
        <v>-0.11625858253383797</v>
      </c>
      <c r="G622">
        <v>-0.10611233460021947</v>
      </c>
      <c r="H622">
        <v>-0.27940730968381866</v>
      </c>
    </row>
    <row r="623" spans="2:8">
      <c r="B623">
        <v>3</v>
      </c>
      <c r="C623">
        <v>106</v>
      </c>
      <c r="D623">
        <v>3</v>
      </c>
      <c r="E623">
        <v>0</v>
      </c>
      <c r="F623">
        <v>-5.8937216890277561E-2</v>
      </c>
      <c r="G623">
        <v>4.5913064442358702E-3</v>
      </c>
      <c r="H623">
        <v>-0.12583834405258765</v>
      </c>
    </row>
    <row r="624" spans="2:8">
      <c r="B624">
        <v>1</v>
      </c>
      <c r="C624">
        <v>102</v>
      </c>
      <c r="D624">
        <v>1</v>
      </c>
      <c r="E624">
        <v>0</v>
      </c>
      <c r="F624">
        <v>8.3279011683944457E-2</v>
      </c>
      <c r="G624">
        <v>-0.26255772603138783</v>
      </c>
      <c r="H624">
        <v>-0.36762012856402221</v>
      </c>
    </row>
    <row r="625" spans="2:8">
      <c r="B625">
        <v>3</v>
      </c>
      <c r="C625">
        <v>106</v>
      </c>
      <c r="D625">
        <v>3</v>
      </c>
      <c r="E625">
        <v>0</v>
      </c>
      <c r="F625">
        <v>-0.12860911121187169</v>
      </c>
      <c r="G625">
        <v>3.9017748549836632E-2</v>
      </c>
      <c r="H625">
        <v>-8.1043558234905038E-3</v>
      </c>
    </row>
    <row r="626" spans="2:8">
      <c r="B626">
        <v>3</v>
      </c>
      <c r="C626">
        <v>50.298618794033345</v>
      </c>
      <c r="D626">
        <v>2</v>
      </c>
      <c r="E626">
        <v>0</v>
      </c>
      <c r="F626">
        <v>-0.13528644023173</v>
      </c>
      <c r="G626">
        <v>-0.29954466861723761</v>
      </c>
      <c r="H626">
        <v>-0.49701381205966655</v>
      </c>
    </row>
    <row r="627" spans="2:8">
      <c r="B627">
        <v>3</v>
      </c>
      <c r="C627">
        <v>106</v>
      </c>
      <c r="D627">
        <v>3</v>
      </c>
      <c r="E627">
        <v>0</v>
      </c>
      <c r="F627">
        <v>-6.9119383509543648E-3</v>
      </c>
      <c r="G627">
        <v>-4.8703690350865199E-2</v>
      </c>
      <c r="H627">
        <v>-0.12485850378990875</v>
      </c>
    </row>
    <row r="628" spans="2:8">
      <c r="B628">
        <v>3</v>
      </c>
      <c r="C628">
        <v>106</v>
      </c>
      <c r="D628">
        <v>3</v>
      </c>
      <c r="E628">
        <v>0</v>
      </c>
      <c r="F628">
        <v>-8.591501002643108E-2</v>
      </c>
      <c r="G628">
        <v>-6.6401819800240458E-2</v>
      </c>
      <c r="H628">
        <v>0.11759461328447875</v>
      </c>
    </row>
    <row r="629" spans="2:8">
      <c r="B629">
        <v>3</v>
      </c>
      <c r="C629">
        <v>106</v>
      </c>
      <c r="D629">
        <v>3</v>
      </c>
      <c r="E629">
        <v>0</v>
      </c>
      <c r="F629">
        <v>-6.426874736580597E-2</v>
      </c>
      <c r="G629">
        <v>-3.208573045591856E-2</v>
      </c>
      <c r="H629">
        <v>0.15506025597634127</v>
      </c>
    </row>
    <row r="630" spans="2:8">
      <c r="B630">
        <v>3</v>
      </c>
      <c r="C630">
        <v>106</v>
      </c>
      <c r="D630">
        <v>3</v>
      </c>
      <c r="E630">
        <v>0</v>
      </c>
      <c r="F630">
        <v>-0.13160107669864785</v>
      </c>
      <c r="G630">
        <v>6.6943418535860442E-3</v>
      </c>
      <c r="H630">
        <v>-6.3505362478119762E-2</v>
      </c>
    </row>
    <row r="631" spans="2:8">
      <c r="B631">
        <v>1</v>
      </c>
      <c r="C631">
        <v>102</v>
      </c>
      <c r="D631">
        <v>1</v>
      </c>
      <c r="E631">
        <v>0</v>
      </c>
      <c r="F631">
        <v>7.7228629841801788E-2</v>
      </c>
      <c r="G631">
        <v>-0.14327410145586866</v>
      </c>
      <c r="H631">
        <v>-0.26387479144254239</v>
      </c>
    </row>
    <row r="632" spans="2:8">
      <c r="B632">
        <v>3</v>
      </c>
      <c r="C632">
        <v>106</v>
      </c>
      <c r="D632">
        <v>3</v>
      </c>
      <c r="E632">
        <v>0</v>
      </c>
      <c r="F632">
        <v>-0.11450683241663</v>
      </c>
      <c r="G632">
        <v>-0.28084324443624614</v>
      </c>
      <c r="H632">
        <v>-0.15899757827640787</v>
      </c>
    </row>
    <row r="633" spans="2:8">
      <c r="B633">
        <v>1</v>
      </c>
      <c r="C633">
        <v>102</v>
      </c>
      <c r="D633">
        <v>1</v>
      </c>
      <c r="E633">
        <v>0</v>
      </c>
      <c r="F633">
        <v>0.19763144350695613</v>
      </c>
      <c r="G633">
        <v>-0.32678340036047426</v>
      </c>
      <c r="H633">
        <v>-0.532917645167716</v>
      </c>
    </row>
    <row r="634" spans="2:8">
      <c r="B634">
        <v>1</v>
      </c>
      <c r="C634">
        <v>102</v>
      </c>
      <c r="D634">
        <v>1</v>
      </c>
      <c r="E634">
        <v>0</v>
      </c>
      <c r="F634">
        <v>0.15328537393123731</v>
      </c>
      <c r="G634">
        <v>-0.17483634787306412</v>
      </c>
      <c r="H634">
        <v>-0.39060298165636065</v>
      </c>
    </row>
    <row r="635" spans="2:8">
      <c r="B635">
        <v>3</v>
      </c>
      <c r="C635">
        <v>106</v>
      </c>
      <c r="D635">
        <v>3</v>
      </c>
      <c r="E635">
        <v>0</v>
      </c>
      <c r="F635">
        <v>-3.1548689914953194E-2</v>
      </c>
      <c r="G635">
        <v>-9.7444651255557166E-2</v>
      </c>
      <c r="H635">
        <v>-0.19831442978435632</v>
      </c>
    </row>
    <row r="636" spans="2:8">
      <c r="B636">
        <v>3</v>
      </c>
      <c r="C636">
        <v>106</v>
      </c>
      <c r="D636">
        <v>3</v>
      </c>
      <c r="E636">
        <v>0</v>
      </c>
      <c r="F636">
        <v>-0.12206148224114632</v>
      </c>
      <c r="G636">
        <v>-0.13889967823911378</v>
      </c>
      <c r="H636">
        <v>-2.91464830361449E-2</v>
      </c>
    </row>
    <row r="637" spans="2:8">
      <c r="B637">
        <v>1</v>
      </c>
      <c r="C637">
        <v>102</v>
      </c>
      <c r="D637">
        <v>1</v>
      </c>
      <c r="E637">
        <v>0</v>
      </c>
      <c r="F637">
        <v>4.4158362490926154E-2</v>
      </c>
      <c r="G637">
        <v>0.12323104259132887</v>
      </c>
      <c r="H637">
        <v>0.10609558850434571</v>
      </c>
    </row>
    <row r="638" spans="2:8">
      <c r="B638">
        <v>3</v>
      </c>
      <c r="C638">
        <v>106</v>
      </c>
      <c r="D638">
        <v>3</v>
      </c>
      <c r="E638">
        <v>0</v>
      </c>
      <c r="F638">
        <v>-3.5862971668062398E-2</v>
      </c>
      <c r="G638">
        <v>-0.28090865847559093</v>
      </c>
      <c r="H638">
        <v>-0.25545078989105197</v>
      </c>
    </row>
    <row r="639" spans="2:8">
      <c r="B639">
        <v>3</v>
      </c>
      <c r="C639">
        <v>106</v>
      </c>
      <c r="D639">
        <v>3</v>
      </c>
      <c r="E639">
        <v>0</v>
      </c>
      <c r="F639">
        <v>-0.10818986399354458</v>
      </c>
      <c r="G639">
        <v>5.5323183635835556E-2</v>
      </c>
      <c r="H639">
        <v>-0.13580846594316762</v>
      </c>
    </row>
    <row r="640" spans="2:8">
      <c r="B640">
        <v>1</v>
      </c>
      <c r="C640">
        <v>102</v>
      </c>
      <c r="D640">
        <v>1</v>
      </c>
      <c r="E640">
        <v>0</v>
      </c>
      <c r="F640">
        <v>9.9004002806563876E-4</v>
      </c>
      <c r="G640">
        <v>-0.45189090190561454</v>
      </c>
      <c r="H640">
        <v>-0.6387751558270941</v>
      </c>
    </row>
    <row r="641" spans="2:8">
      <c r="B641">
        <v>1</v>
      </c>
      <c r="C641">
        <v>102</v>
      </c>
      <c r="D641">
        <v>1</v>
      </c>
      <c r="E641">
        <v>0</v>
      </c>
      <c r="F641">
        <v>0.10015613885172871</v>
      </c>
      <c r="G641">
        <v>9.4367035417520229E-3</v>
      </c>
      <c r="H641">
        <v>-2.3167909042964435E-2</v>
      </c>
    </row>
    <row r="642" spans="2:8">
      <c r="B642">
        <v>3</v>
      </c>
      <c r="C642">
        <v>106</v>
      </c>
      <c r="D642">
        <v>3</v>
      </c>
      <c r="E642">
        <v>0</v>
      </c>
      <c r="F642">
        <v>-5.3029436003304481E-2</v>
      </c>
      <c r="G642">
        <v>-0.13023516591289991</v>
      </c>
      <c r="H642">
        <v>-0.12357909204589654</v>
      </c>
    </row>
    <row r="643" spans="2:8">
      <c r="B643">
        <v>3</v>
      </c>
      <c r="C643">
        <v>106</v>
      </c>
      <c r="D643">
        <v>3</v>
      </c>
      <c r="E643">
        <v>0</v>
      </c>
      <c r="F643">
        <v>-5.5691128773462391E-2</v>
      </c>
      <c r="G643">
        <v>-0.14599633592943764</v>
      </c>
      <c r="H643">
        <v>-0.27279468317381778</v>
      </c>
    </row>
    <row r="644" spans="2:8">
      <c r="B644">
        <v>3</v>
      </c>
      <c r="C644">
        <v>106</v>
      </c>
      <c r="D644">
        <v>3</v>
      </c>
      <c r="E644">
        <v>0</v>
      </c>
      <c r="F644">
        <v>-0.1621986971650469</v>
      </c>
      <c r="G644">
        <v>-0.21360577737987743</v>
      </c>
      <c r="H644">
        <v>-0.1535156586297671</v>
      </c>
    </row>
    <row r="645" spans="2:8">
      <c r="B645">
        <v>3</v>
      </c>
      <c r="C645">
        <v>58.552988508868594</v>
      </c>
      <c r="D645">
        <v>2</v>
      </c>
      <c r="E645">
        <v>0</v>
      </c>
      <c r="F645">
        <v>-0.16088897218287629</v>
      </c>
      <c r="G645">
        <v>-0.33995396646026149</v>
      </c>
      <c r="H645">
        <v>-0.41447011491131402</v>
      </c>
    </row>
    <row r="646" spans="2:8">
      <c r="B646">
        <v>1</v>
      </c>
      <c r="C646">
        <v>102</v>
      </c>
      <c r="D646">
        <v>1</v>
      </c>
      <c r="E646">
        <v>0</v>
      </c>
      <c r="F646">
        <v>6.7021463606221146E-2</v>
      </c>
      <c r="G646">
        <v>-0.24342850418160722</v>
      </c>
      <c r="H646">
        <v>-0.3395297492665037</v>
      </c>
    </row>
    <row r="647" spans="2:8">
      <c r="B647">
        <v>1</v>
      </c>
      <c r="C647">
        <v>102</v>
      </c>
      <c r="D647">
        <v>1</v>
      </c>
      <c r="E647">
        <v>0</v>
      </c>
      <c r="F647">
        <v>0.19225723203996023</v>
      </c>
      <c r="G647">
        <v>-4.1482803950920761E-3</v>
      </c>
      <c r="H647">
        <v>-6.4415860368606678E-2</v>
      </c>
    </row>
    <row r="648" spans="2:8">
      <c r="B648">
        <v>3</v>
      </c>
      <c r="C648">
        <v>106</v>
      </c>
      <c r="D648">
        <v>3</v>
      </c>
      <c r="E648">
        <v>0</v>
      </c>
      <c r="F648">
        <v>-0.19992922768784666</v>
      </c>
      <c r="G648">
        <v>-0.11665021600390217</v>
      </c>
      <c r="H648">
        <v>-8.9359265126233281E-2</v>
      </c>
    </row>
    <row r="649" spans="2:8">
      <c r="B649">
        <v>1</v>
      </c>
      <c r="C649">
        <v>102</v>
      </c>
      <c r="D649">
        <v>1</v>
      </c>
      <c r="E649">
        <v>0</v>
      </c>
      <c r="F649">
        <v>4.028926851394863E-2</v>
      </c>
      <c r="G649">
        <v>-0.25426376445029053</v>
      </c>
      <c r="H649">
        <v>-0.16865379303099509</v>
      </c>
    </row>
    <row r="650" spans="2:8">
      <c r="B650">
        <v>3</v>
      </c>
      <c r="C650">
        <v>44.02516428646571</v>
      </c>
      <c r="D650">
        <v>2</v>
      </c>
      <c r="E650">
        <v>0</v>
      </c>
      <c r="F650">
        <v>-0.26020368851810521</v>
      </c>
      <c r="G650">
        <v>-0.39549012874983536</v>
      </c>
      <c r="H650">
        <v>-0.55974835713534288</v>
      </c>
    </row>
    <row r="651" spans="2:8">
      <c r="B651">
        <v>1</v>
      </c>
      <c r="C651">
        <v>102</v>
      </c>
      <c r="D651">
        <v>1</v>
      </c>
      <c r="E651">
        <v>0</v>
      </c>
      <c r="F651">
        <v>3.0321242483787012E-2</v>
      </c>
      <c r="G651">
        <v>0.15857119520959043</v>
      </c>
      <c r="H651">
        <v>0.15027627480334385</v>
      </c>
    </row>
    <row r="652" spans="2:8">
      <c r="B652">
        <v>3</v>
      </c>
      <c r="C652">
        <v>106</v>
      </c>
      <c r="D652">
        <v>3</v>
      </c>
      <c r="E652">
        <v>0</v>
      </c>
      <c r="F652">
        <v>-0.21088144149850199</v>
      </c>
      <c r="G652">
        <v>-0.29679645152493306</v>
      </c>
      <c r="H652">
        <v>-0.27728326129874237</v>
      </c>
    </row>
    <row r="653" spans="2:8">
      <c r="B653">
        <v>3</v>
      </c>
      <c r="C653">
        <v>106</v>
      </c>
      <c r="D653">
        <v>3</v>
      </c>
      <c r="E653">
        <v>0</v>
      </c>
      <c r="F653">
        <v>-5.0367834405279414E-2</v>
      </c>
      <c r="G653">
        <v>-0.11463658177108539</v>
      </c>
      <c r="H653">
        <v>-8.2453564861197856E-2</v>
      </c>
    </row>
    <row r="654" spans="2:8">
      <c r="B654">
        <v>1</v>
      </c>
      <c r="C654">
        <v>102</v>
      </c>
      <c r="D654">
        <v>1</v>
      </c>
      <c r="E654">
        <v>0</v>
      </c>
      <c r="F654">
        <v>4.9355344661206203E-2</v>
      </c>
      <c r="G654">
        <v>-5.3303616162740805E-2</v>
      </c>
      <c r="H654">
        <v>-5.5425994070578487E-2</v>
      </c>
    </row>
    <row r="655" spans="2:8">
      <c r="B655">
        <v>3</v>
      </c>
      <c r="C655">
        <v>106</v>
      </c>
      <c r="D655">
        <v>3</v>
      </c>
      <c r="E655">
        <v>0</v>
      </c>
      <c r="F655">
        <v>-4.8745172827974394E-2</v>
      </c>
      <c r="G655">
        <v>2.8483457013827478E-2</v>
      </c>
      <c r="H655">
        <v>-9.0665648877535171E-2</v>
      </c>
    </row>
    <row r="656" spans="2:8">
      <c r="B656">
        <v>3</v>
      </c>
      <c r="C656">
        <v>106</v>
      </c>
      <c r="D656">
        <v>3</v>
      </c>
      <c r="E656">
        <v>0</v>
      </c>
      <c r="F656">
        <v>-6.8568511642260868E-2</v>
      </c>
      <c r="G656">
        <v>-0.18307534405889075</v>
      </c>
      <c r="H656">
        <v>-0.34941175607850705</v>
      </c>
    </row>
    <row r="657" spans="2:8">
      <c r="B657">
        <v>3</v>
      </c>
      <c r="C657">
        <v>106</v>
      </c>
      <c r="D657">
        <v>3</v>
      </c>
      <c r="E657">
        <v>0</v>
      </c>
      <c r="F657">
        <v>-0.11738465446602601</v>
      </c>
      <c r="G657">
        <v>8.0246789040930119E-2</v>
      </c>
      <c r="H657">
        <v>0.16502293970693041</v>
      </c>
    </row>
    <row r="658" spans="2:8">
      <c r="B658">
        <v>1</v>
      </c>
      <c r="C658">
        <v>102</v>
      </c>
      <c r="D658">
        <v>1</v>
      </c>
      <c r="E658">
        <v>0</v>
      </c>
      <c r="F658">
        <v>2.9134593442941448E-2</v>
      </c>
      <c r="G658">
        <v>-6.6747032444743906E-2</v>
      </c>
      <c r="H658">
        <v>0.1414686447998566</v>
      </c>
    </row>
    <row r="659" spans="2:8">
      <c r="B659">
        <v>1</v>
      </c>
      <c r="C659">
        <v>102</v>
      </c>
      <c r="D659">
        <v>1</v>
      </c>
      <c r="E659">
        <v>0</v>
      </c>
      <c r="F659">
        <v>3.8141972856746364E-3</v>
      </c>
      <c r="G659">
        <v>7.105498418406489E-2</v>
      </c>
      <c r="H659">
        <v>3.8166234262213675E-2</v>
      </c>
    </row>
    <row r="660" spans="2:8">
      <c r="B660">
        <v>3</v>
      </c>
      <c r="C660">
        <v>57.916684001442015</v>
      </c>
      <c r="D660">
        <v>1</v>
      </c>
      <c r="E660">
        <v>0</v>
      </c>
      <c r="F660">
        <v>-0.28193348174646593</v>
      </c>
      <c r="G660">
        <v>-0.40399496398761225</v>
      </c>
      <c r="H660">
        <v>-0.42083315998557985</v>
      </c>
    </row>
    <row r="661" spans="2:8">
      <c r="B661">
        <v>1</v>
      </c>
      <c r="C661">
        <v>102</v>
      </c>
      <c r="D661">
        <v>1</v>
      </c>
      <c r="E661">
        <v>0</v>
      </c>
      <c r="F661">
        <v>6.1426348584854656E-2</v>
      </c>
      <c r="G661">
        <v>-0.123137528340659</v>
      </c>
      <c r="H661">
        <v>-0.2344726992339983</v>
      </c>
    </row>
    <row r="662" spans="2:8">
      <c r="B662">
        <v>1</v>
      </c>
      <c r="C662">
        <v>102</v>
      </c>
      <c r="D662">
        <v>1</v>
      </c>
      <c r="E662">
        <v>0</v>
      </c>
      <c r="F662">
        <v>0.24626773144616942</v>
      </c>
      <c r="G662">
        <v>-8.6894438153762979E-2</v>
      </c>
      <c r="H662">
        <v>-0.12217894918075904</v>
      </c>
    </row>
    <row r="663" spans="2:8">
      <c r="B663">
        <v>3</v>
      </c>
      <c r="C663">
        <v>106</v>
      </c>
      <c r="D663">
        <v>3</v>
      </c>
      <c r="E663">
        <v>0</v>
      </c>
      <c r="F663">
        <v>-0.27473991513256196</v>
      </c>
      <c r="G663">
        <v>-0.38292977912610626</v>
      </c>
      <c r="H663">
        <v>-0.21941673149672616</v>
      </c>
    </row>
    <row r="664" spans="2:8">
      <c r="B664">
        <v>3</v>
      </c>
      <c r="C664">
        <v>51.720751903194781</v>
      </c>
      <c r="D664">
        <v>0</v>
      </c>
      <c r="E664">
        <v>0</v>
      </c>
      <c r="F664">
        <v>-0.43932444929732545</v>
      </c>
      <c r="G664">
        <v>-0.43833440926925982</v>
      </c>
      <c r="H664">
        <v>-0.48279248096805222</v>
      </c>
    </row>
    <row r="665" spans="2:8">
      <c r="B665">
        <v>3</v>
      </c>
      <c r="C665">
        <v>106</v>
      </c>
      <c r="D665">
        <v>3</v>
      </c>
      <c r="E665">
        <v>0</v>
      </c>
      <c r="F665">
        <v>-0.16978800790921739</v>
      </c>
      <c r="G665">
        <v>-6.9631869057488693E-2</v>
      </c>
      <c r="H665">
        <v>-0.15118155206279216</v>
      </c>
    </row>
    <row r="666" spans="2:8">
      <c r="B666">
        <v>3</v>
      </c>
      <c r="C666">
        <v>106</v>
      </c>
      <c r="D666">
        <v>3</v>
      </c>
      <c r="E666">
        <v>0</v>
      </c>
      <c r="F666">
        <v>-2.8860704419486183E-2</v>
      </c>
      <c r="G666">
        <v>-8.1890140422790761E-2</v>
      </c>
      <c r="H666">
        <v>-0.15909587033238626</v>
      </c>
    </row>
    <row r="667" spans="2:8">
      <c r="B667">
        <v>3</v>
      </c>
      <c r="C667">
        <v>106</v>
      </c>
      <c r="D667">
        <v>3</v>
      </c>
      <c r="E667">
        <v>0</v>
      </c>
      <c r="F667">
        <v>-2.12181086272158E-2</v>
      </c>
      <c r="G667">
        <v>-7.6909237400678149E-2</v>
      </c>
      <c r="H667">
        <v>-0.1672144445566533</v>
      </c>
    </row>
    <row r="668" spans="2:8">
      <c r="B668">
        <v>1</v>
      </c>
      <c r="C668">
        <v>102</v>
      </c>
      <c r="D668">
        <v>1</v>
      </c>
      <c r="E668">
        <v>0</v>
      </c>
      <c r="F668">
        <v>0.32270951716587276</v>
      </c>
      <c r="G668">
        <v>-0.10466642205002015</v>
      </c>
      <c r="H668">
        <v>7.543077613402864E-2</v>
      </c>
    </row>
    <row r="669" spans="2:8">
      <c r="B669">
        <v>3</v>
      </c>
      <c r="C669">
        <v>27.368973487429443</v>
      </c>
      <c r="D669">
        <v>1</v>
      </c>
      <c r="E669">
        <v>0</v>
      </c>
      <c r="F669">
        <v>-0.38635629866544385</v>
      </c>
      <c r="G669">
        <v>-0.5472452708483202</v>
      </c>
      <c r="H669">
        <v>-0.72631026512570551</v>
      </c>
    </row>
    <row r="670" spans="2:8">
      <c r="B670">
        <v>3</v>
      </c>
      <c r="C670">
        <v>106</v>
      </c>
      <c r="D670">
        <v>3</v>
      </c>
      <c r="E670">
        <v>0</v>
      </c>
      <c r="F670">
        <v>-0.18730150346885091</v>
      </c>
      <c r="G670">
        <v>-0.12028003986262971</v>
      </c>
      <c r="H670">
        <v>-0.23653862239646761</v>
      </c>
    </row>
    <row r="671" spans="2:8">
      <c r="B671">
        <v>1</v>
      </c>
      <c r="C671">
        <v>102</v>
      </c>
      <c r="D671">
        <v>1</v>
      </c>
      <c r="E671">
        <v>0</v>
      </c>
      <c r="F671">
        <v>1.1270320855011054E-2</v>
      </c>
      <c r="G671">
        <v>-0.35783276861163305</v>
      </c>
      <c r="H671">
        <v>-0.31878058191830139</v>
      </c>
    </row>
    <row r="672" spans="2:8">
      <c r="B672">
        <v>3</v>
      </c>
      <c r="C672">
        <v>106</v>
      </c>
      <c r="D672">
        <v>3</v>
      </c>
      <c r="E672">
        <v>0</v>
      </c>
      <c r="F672">
        <v>-0.14142994310310245</v>
      </c>
      <c r="G672">
        <v>-0.34135917079094924</v>
      </c>
      <c r="H672">
        <v>-0.25808015910700477</v>
      </c>
    </row>
    <row r="673" spans="2:8">
      <c r="B673">
        <v>1</v>
      </c>
      <c r="C673">
        <v>102</v>
      </c>
      <c r="D673">
        <v>1</v>
      </c>
      <c r="E673">
        <v>0</v>
      </c>
      <c r="F673">
        <v>0.1170970393363318</v>
      </c>
      <c r="G673">
        <v>0.16851533841340902</v>
      </c>
      <c r="H673">
        <v>0.14623026818557902</v>
      </c>
    </row>
    <row r="674" spans="2:8">
      <c r="B674">
        <v>3</v>
      </c>
      <c r="C674">
        <v>39.096172752230338</v>
      </c>
      <c r="D674">
        <v>1</v>
      </c>
      <c r="E674">
        <v>0</v>
      </c>
      <c r="F674">
        <v>-0.21354814372786149</v>
      </c>
      <c r="G674">
        <v>-0.47375183224596656</v>
      </c>
      <c r="H674">
        <v>-0.6090382724776966</v>
      </c>
    </row>
    <row r="675" spans="2:8">
      <c r="B675">
        <v>1</v>
      </c>
      <c r="C675">
        <v>102</v>
      </c>
      <c r="D675">
        <v>1</v>
      </c>
      <c r="E675">
        <v>0</v>
      </c>
      <c r="F675">
        <v>7.2766972939340577E-2</v>
      </c>
      <c r="G675">
        <v>-0.3626246631270178</v>
      </c>
      <c r="H675">
        <v>-0.33382035651110381</v>
      </c>
    </row>
    <row r="676" spans="2:8">
      <c r="B676">
        <v>1</v>
      </c>
      <c r="C676">
        <v>102</v>
      </c>
      <c r="D676">
        <v>1</v>
      </c>
      <c r="E676">
        <v>0</v>
      </c>
      <c r="F676">
        <v>0.1570581570093888</v>
      </c>
      <c r="G676">
        <v>-0.29301962908245077</v>
      </c>
      <c r="H676">
        <v>-0.18547640659018874</v>
      </c>
    </row>
    <row r="677" spans="2:8">
      <c r="B677">
        <v>3</v>
      </c>
      <c r="C677">
        <v>106</v>
      </c>
      <c r="D677">
        <v>3</v>
      </c>
      <c r="E677">
        <v>0</v>
      </c>
      <c r="F677">
        <v>-0.1484036599939782</v>
      </c>
      <c r="G677">
        <v>-0.19877149439925759</v>
      </c>
      <c r="H677">
        <v>-0.26304024176506358</v>
      </c>
    </row>
    <row r="678" spans="2:8">
      <c r="B678">
        <v>3</v>
      </c>
      <c r="C678">
        <v>106</v>
      </c>
      <c r="D678">
        <v>3</v>
      </c>
      <c r="E678">
        <v>0</v>
      </c>
      <c r="F678">
        <v>-8.0494095288049378E-2</v>
      </c>
      <c r="G678">
        <v>-3.1138750626843192E-2</v>
      </c>
      <c r="H678">
        <v>-0.16273982732549094</v>
      </c>
    </row>
    <row r="679" spans="2:8">
      <c r="B679">
        <v>3</v>
      </c>
      <c r="C679">
        <v>106</v>
      </c>
      <c r="D679">
        <v>3</v>
      </c>
      <c r="E679">
        <v>0</v>
      </c>
      <c r="F679">
        <v>-0.17191888720450429</v>
      </c>
      <c r="G679">
        <v>-0.22066406003247865</v>
      </c>
      <c r="H679">
        <v>-0.14343543019067678</v>
      </c>
    </row>
    <row r="680" spans="2:8">
      <c r="B680">
        <v>1</v>
      </c>
      <c r="C680">
        <v>102</v>
      </c>
      <c r="D680">
        <v>1</v>
      </c>
      <c r="E680">
        <v>0</v>
      </c>
      <c r="F680">
        <v>0.10441089408077357</v>
      </c>
      <c r="G680">
        <v>-0.37781783720949164</v>
      </c>
      <c r="H680">
        <v>-0.46842117433802699</v>
      </c>
    </row>
    <row r="681" spans="2:8">
      <c r="B681">
        <v>1</v>
      </c>
      <c r="C681">
        <v>102</v>
      </c>
      <c r="D681">
        <v>1</v>
      </c>
      <c r="E681">
        <v>0</v>
      </c>
      <c r="F681">
        <v>5.2638905554251908E-2</v>
      </c>
    </row>
    <row r="682" spans="2:8">
      <c r="B682">
        <v>1</v>
      </c>
      <c r="C682">
        <v>102</v>
      </c>
      <c r="D682">
        <v>1</v>
      </c>
      <c r="E682">
        <v>0</v>
      </c>
      <c r="F682">
        <v>5.8019592695087191E-2</v>
      </c>
      <c r="G682">
        <v>-0.11153248664232224</v>
      </c>
      <c r="H682">
        <v>-0.10425984401104565</v>
      </c>
    </row>
    <row r="683" spans="2:8">
      <c r="B683">
        <v>1</v>
      </c>
      <c r="C683">
        <v>102</v>
      </c>
      <c r="D683">
        <v>1</v>
      </c>
      <c r="E683">
        <v>0</v>
      </c>
      <c r="F683">
        <v>4.2216877344290887E-2</v>
      </c>
      <c r="G683">
        <v>0.21455523995832701</v>
      </c>
      <c r="H683">
        <v>0.21695695026342102</v>
      </c>
    </row>
    <row r="684" spans="2:8">
      <c r="B684">
        <v>1</v>
      </c>
      <c r="C684">
        <v>102</v>
      </c>
      <c r="D684">
        <v>1</v>
      </c>
      <c r="E684">
        <v>0</v>
      </c>
      <c r="F684">
        <v>9.3525960770555777E-2</v>
      </c>
    </row>
    <row r="685" spans="2:8">
      <c r="B685">
        <v>3</v>
      </c>
      <c r="C685">
        <v>106</v>
      </c>
      <c r="D685">
        <v>3</v>
      </c>
      <c r="E685">
        <v>0</v>
      </c>
      <c r="F685">
        <v>-4.0165044122653731E-2</v>
      </c>
      <c r="G685">
        <v>2.1261304462200835E-2</v>
      </c>
      <c r="H685">
        <v>6.5419666953127023E-2</v>
      </c>
    </row>
    <row r="686" spans="2:8">
      <c r="B686">
        <v>3</v>
      </c>
      <c r="C686">
        <v>106</v>
      </c>
      <c r="D686">
        <v>3</v>
      </c>
      <c r="E686">
        <v>0</v>
      </c>
      <c r="F686">
        <v>-9.4723905950573603E-2</v>
      </c>
      <c r="G686">
        <v>0.15154382549559606</v>
      </c>
      <c r="H686">
        <v>0.11568085382753367</v>
      </c>
    </row>
    <row r="687" spans="2:8">
      <c r="B687">
        <v>3</v>
      </c>
      <c r="C687">
        <v>57.853318138760244</v>
      </c>
      <c r="D687">
        <v>2</v>
      </c>
      <c r="E687">
        <v>0</v>
      </c>
      <c r="F687">
        <v>-3.8537039486291114E-2</v>
      </c>
      <c r="G687">
        <v>-0.31327695461885302</v>
      </c>
      <c r="H687">
        <v>-0.42146681861239754</v>
      </c>
    </row>
    <row r="688" spans="2:8">
      <c r="B688">
        <v>3</v>
      </c>
      <c r="C688">
        <v>31.992052800082931</v>
      </c>
      <c r="D688">
        <v>1</v>
      </c>
      <c r="E688">
        <v>0</v>
      </c>
      <c r="F688">
        <v>-0.24174506272991089</v>
      </c>
      <c r="G688">
        <v>-0.6810695120272362</v>
      </c>
      <c r="H688">
        <v>-0.68007947199917063</v>
      </c>
    </row>
    <row r="689" spans="2:8">
      <c r="B689">
        <v>1</v>
      </c>
      <c r="C689">
        <v>102</v>
      </c>
      <c r="D689">
        <v>1</v>
      </c>
      <c r="E689">
        <v>0</v>
      </c>
      <c r="F689">
        <v>2.0906806034991514E-3</v>
      </c>
      <c r="G689">
        <v>-0.28801125414625112</v>
      </c>
      <c r="H689">
        <v>-0.40078230704204254</v>
      </c>
    </row>
    <row r="690" spans="2:8">
      <c r="B690">
        <v>3</v>
      </c>
      <c r="C690">
        <v>106</v>
      </c>
      <c r="D690">
        <v>3</v>
      </c>
      <c r="E690">
        <v>0</v>
      </c>
      <c r="F690">
        <v>-0.11276246000788578</v>
      </c>
      <c r="G690">
        <v>-0.14162316442737208</v>
      </c>
      <c r="H690">
        <v>-0.19465260043067656</v>
      </c>
    </row>
    <row r="691" spans="2:8">
      <c r="B691">
        <v>1</v>
      </c>
      <c r="C691">
        <v>102</v>
      </c>
      <c r="D691">
        <v>1</v>
      </c>
      <c r="E691">
        <v>0</v>
      </c>
      <c r="F691">
        <v>1.480079519584541E-2</v>
      </c>
    </row>
    <row r="692" spans="2:8">
      <c r="B692">
        <v>1</v>
      </c>
      <c r="C692">
        <v>102</v>
      </c>
      <c r="D692">
        <v>1</v>
      </c>
      <c r="E692">
        <v>0</v>
      </c>
      <c r="F692">
        <v>4.7374804912061107E-2</v>
      </c>
    </row>
    <row r="693" spans="2:8">
      <c r="B693">
        <v>1</v>
      </c>
      <c r="C693">
        <v>102</v>
      </c>
      <c r="D693">
        <v>1</v>
      </c>
      <c r="E693">
        <v>0</v>
      </c>
      <c r="F693">
        <v>7.4985390134382129E-2</v>
      </c>
      <c r="G693">
        <v>-9.932536851254474E-2</v>
      </c>
      <c r="H693">
        <v>-0.19988842169664012</v>
      </c>
    </row>
    <row r="694" spans="2:8">
      <c r="B694">
        <v>3</v>
      </c>
      <c r="C694">
        <v>106</v>
      </c>
      <c r="D694">
        <v>3</v>
      </c>
      <c r="E694">
        <v>0</v>
      </c>
      <c r="F694">
        <v>-7.2321255789095141E-4</v>
      </c>
      <c r="G694">
        <v>-0.18802471602674201</v>
      </c>
      <c r="H694">
        <v>-0.12100325242052089</v>
      </c>
    </row>
    <row r="695" spans="2:8">
      <c r="B695">
        <v>3</v>
      </c>
      <c r="C695">
        <v>106</v>
      </c>
      <c r="D695">
        <v>3</v>
      </c>
      <c r="E695">
        <v>0</v>
      </c>
      <c r="F695">
        <v>-0.25064506528265262</v>
      </c>
      <c r="G695">
        <v>-0.23937474442764159</v>
      </c>
      <c r="H695">
        <v>-4.7117512387681353E-2</v>
      </c>
    </row>
    <row r="696" spans="2:8">
      <c r="B696">
        <v>1</v>
      </c>
      <c r="C696">
        <v>102</v>
      </c>
      <c r="D696">
        <v>1</v>
      </c>
      <c r="E696">
        <v>0</v>
      </c>
      <c r="F696">
        <v>1.5938404019922896E-2</v>
      </c>
      <c r="G696">
        <v>-2.6357702631543054E-2</v>
      </c>
      <c r="H696">
        <v>0.2216069471720804</v>
      </c>
    </row>
    <row r="697" spans="2:8">
      <c r="B697">
        <v>3</v>
      </c>
      <c r="C697">
        <v>106</v>
      </c>
      <c r="D697">
        <v>3</v>
      </c>
      <c r="E697">
        <v>0</v>
      </c>
      <c r="F697">
        <v>-0.15684519963921906</v>
      </c>
      <c r="G697">
        <v>-3.9748160302887289E-2</v>
      </c>
      <c r="H697">
        <v>5.411082110613637E-4</v>
      </c>
    </row>
    <row r="698" spans="2:8">
      <c r="B698">
        <v>1</v>
      </c>
      <c r="C698">
        <v>102</v>
      </c>
      <c r="D698">
        <v>1</v>
      </c>
      <c r="E698">
        <v>0</v>
      </c>
      <c r="F698">
        <v>0.21337335569147425</v>
      </c>
      <c r="G698">
        <v>-0.30370923120564269</v>
      </c>
      <c r="H698">
        <v>-0.36826870132437878</v>
      </c>
    </row>
    <row r="699" spans="2:8">
      <c r="B699">
        <v>1</v>
      </c>
      <c r="C699">
        <v>102</v>
      </c>
      <c r="D699">
        <v>1</v>
      </c>
      <c r="E699">
        <v>0</v>
      </c>
      <c r="F699">
        <v>0.12675323609331521</v>
      </c>
      <c r="G699">
        <v>0.17465675585561508</v>
      </c>
      <c r="H699">
        <v>0.16834433664393872</v>
      </c>
    </row>
    <row r="700" spans="2:8">
      <c r="B700">
        <v>1</v>
      </c>
      <c r="C700">
        <v>102</v>
      </c>
      <c r="D700">
        <v>1</v>
      </c>
      <c r="E700">
        <v>0</v>
      </c>
      <c r="F700">
        <v>8.3975267782286436E-3</v>
      </c>
      <c r="G700">
        <v>-6.9653512902330642E-2</v>
      </c>
      <c r="H700">
        <v>-9.6289818323337245E-2</v>
      </c>
    </row>
    <row r="701" spans="2:8">
      <c r="B701">
        <v>3</v>
      </c>
      <c r="C701">
        <v>47.543510340299399</v>
      </c>
      <c r="D701">
        <v>1</v>
      </c>
      <c r="E701">
        <v>0</v>
      </c>
      <c r="F701">
        <v>-0.32579340219774849</v>
      </c>
      <c r="G701">
        <v>-0.47419706219172669</v>
      </c>
      <c r="H701">
        <v>-0.524564896597006</v>
      </c>
    </row>
    <row r="702" spans="2:8">
      <c r="B702">
        <v>1</v>
      </c>
      <c r="C702">
        <v>102</v>
      </c>
      <c r="D702">
        <v>1</v>
      </c>
      <c r="E702">
        <v>0</v>
      </c>
      <c r="F702">
        <v>0.11893313301656214</v>
      </c>
    </row>
    <row r="703" spans="2:8">
      <c r="B703">
        <v>1</v>
      </c>
      <c r="C703">
        <v>102</v>
      </c>
      <c r="D703">
        <v>1</v>
      </c>
      <c r="E703">
        <v>0</v>
      </c>
      <c r="F703">
        <v>2.2472557073536365E-2</v>
      </c>
      <c r="G703">
        <v>-0.25575343406514828</v>
      </c>
      <c r="H703">
        <v>-2.9804434124110948E-2</v>
      </c>
    </row>
    <row r="704" spans="2:8">
      <c r="B704">
        <v>1</v>
      </c>
      <c r="C704">
        <v>102</v>
      </c>
      <c r="D704">
        <v>1</v>
      </c>
      <c r="E704">
        <v>0</v>
      </c>
      <c r="F704">
        <v>0.20711361655058572</v>
      </c>
      <c r="G704">
        <v>-0.13948206437043661</v>
      </c>
      <c r="H704">
        <v>-0.18527075283077302</v>
      </c>
    </row>
    <row r="705" spans="2:8">
      <c r="B705">
        <v>3</v>
      </c>
      <c r="C705">
        <v>106</v>
      </c>
      <c r="D705">
        <v>3</v>
      </c>
      <c r="E705">
        <v>0</v>
      </c>
      <c r="F705">
        <v>-0.22081446418951159</v>
      </c>
      <c r="G705">
        <v>-0.16817555863525968</v>
      </c>
      <c r="H705">
        <v>-0.28556021310128576</v>
      </c>
    </row>
    <row r="706" spans="2:8">
      <c r="B706">
        <v>1</v>
      </c>
      <c r="C706">
        <v>102</v>
      </c>
      <c r="D706">
        <v>1</v>
      </c>
      <c r="E706">
        <v>0</v>
      </c>
      <c r="F706">
        <v>9.1079767713850027E-2</v>
      </c>
    </row>
    <row r="707" spans="2:8">
      <c r="B707">
        <v>1</v>
      </c>
      <c r="C707">
        <v>102</v>
      </c>
      <c r="D707">
        <v>1</v>
      </c>
      <c r="E707">
        <v>0</v>
      </c>
      <c r="F707">
        <v>8.7137836947371483E-2</v>
      </c>
    </row>
    <row r="708" spans="2:8">
      <c r="B708">
        <v>3</v>
      </c>
      <c r="C708">
        <v>106</v>
      </c>
      <c r="D708">
        <v>3</v>
      </c>
      <c r="E708">
        <v>0</v>
      </c>
      <c r="F708">
        <v>-2.7218971793912333E-2</v>
      </c>
      <c r="G708">
        <v>6.6306988976643347E-2</v>
      </c>
      <c r="H708">
        <v>-0.2156264927698226</v>
      </c>
    </row>
    <row r="709" spans="2:8">
      <c r="B709">
        <v>3</v>
      </c>
      <c r="C709">
        <v>106</v>
      </c>
      <c r="D709">
        <v>3</v>
      </c>
      <c r="E709">
        <v>0</v>
      </c>
      <c r="F709">
        <v>-0.13647598414822629</v>
      </c>
      <c r="G709">
        <v>-0.17664102827088002</v>
      </c>
      <c r="H709">
        <v>-0.1152146796860254</v>
      </c>
    </row>
    <row r="710" spans="2:8">
      <c r="B710">
        <v>1</v>
      </c>
      <c r="C710">
        <v>102</v>
      </c>
      <c r="D710">
        <v>1</v>
      </c>
      <c r="E710">
        <v>0</v>
      </c>
      <c r="F710">
        <v>9.6006820354372094E-2</v>
      </c>
      <c r="G710">
        <v>1.8206879582532941E-2</v>
      </c>
      <c r="H710">
        <v>5.3810705606057857E-2</v>
      </c>
    </row>
    <row r="711" spans="2:8">
      <c r="B711">
        <v>3</v>
      </c>
      <c r="C711">
        <v>52.786443586060791</v>
      </c>
      <c r="D711">
        <v>2</v>
      </c>
      <c r="E711">
        <v>0</v>
      </c>
      <c r="F711">
        <v>-0.15885860952053893</v>
      </c>
      <c r="G711">
        <v>-0.1973956490068301</v>
      </c>
      <c r="H711">
        <v>-0.47213556413939206</v>
      </c>
    </row>
    <row r="712" spans="2:8">
      <c r="B712">
        <v>3</v>
      </c>
      <c r="C712">
        <v>26.427866230877541</v>
      </c>
      <c r="D712">
        <v>2</v>
      </c>
      <c r="E712">
        <v>0</v>
      </c>
      <c r="F712">
        <v>-5.4651825663988129E-2</v>
      </c>
      <c r="G712">
        <v>-0.29639688839389911</v>
      </c>
      <c r="H712">
        <v>-0.73572133769122461</v>
      </c>
    </row>
    <row r="713" spans="2:8">
      <c r="B713">
        <v>1</v>
      </c>
      <c r="C713">
        <v>102</v>
      </c>
      <c r="D713">
        <v>1</v>
      </c>
      <c r="E713">
        <v>0</v>
      </c>
      <c r="F713">
        <v>6.565095614037518E-2</v>
      </c>
    </row>
    <row r="714" spans="2:8">
      <c r="B714">
        <v>3</v>
      </c>
      <c r="C714">
        <v>106</v>
      </c>
      <c r="D714">
        <v>3</v>
      </c>
      <c r="E714">
        <v>0</v>
      </c>
      <c r="F714">
        <v>-8.7574503389362568E-2</v>
      </c>
      <c r="G714">
        <v>-0.20033696339724827</v>
      </c>
      <c r="H714">
        <v>-0.22919766781673431</v>
      </c>
    </row>
    <row r="715" spans="2:8">
      <c r="B715">
        <v>1</v>
      </c>
      <c r="C715">
        <v>102</v>
      </c>
      <c r="D715">
        <v>1</v>
      </c>
      <c r="E715">
        <v>0</v>
      </c>
      <c r="F715">
        <v>5.4662309970732209E-2</v>
      </c>
      <c r="G715">
        <v>-0.30432962044123896</v>
      </c>
      <c r="H715">
        <v>-0.24424976845810889</v>
      </c>
    </row>
    <row r="716" spans="2:8">
      <c r="B716">
        <v>3</v>
      </c>
      <c r="C716">
        <v>106</v>
      </c>
      <c r="D716">
        <v>3</v>
      </c>
      <c r="E716">
        <v>0</v>
      </c>
      <c r="F716">
        <v>-6.1601746524511322E-2</v>
      </c>
      <c r="G716">
        <v>-1.4226941612450134E-2</v>
      </c>
      <c r="H716">
        <v>0.30848257555342251</v>
      </c>
    </row>
    <row r="717" spans="2:8">
      <c r="B717">
        <v>3</v>
      </c>
      <c r="C717">
        <v>106</v>
      </c>
      <c r="D717">
        <v>3</v>
      </c>
      <c r="E717">
        <v>0</v>
      </c>
      <c r="F717">
        <v>-2.9910974460346868E-2</v>
      </c>
      <c r="G717">
        <v>4.5074415674035251E-2</v>
      </c>
      <c r="H717">
        <v>-0.34128188299140855</v>
      </c>
    </row>
    <row r="718" spans="2:8">
      <c r="B718">
        <v>3</v>
      </c>
      <c r="C718">
        <v>50.299869299347684</v>
      </c>
      <c r="D718">
        <v>2</v>
      </c>
      <c r="E718">
        <v>0</v>
      </c>
      <c r="F718">
        <v>-0.30897659097978125</v>
      </c>
      <c r="G718">
        <v>-0.30969980353767224</v>
      </c>
      <c r="H718">
        <v>-0.49700130700652317</v>
      </c>
    </row>
    <row r="719" spans="2:8">
      <c r="B719">
        <v>1</v>
      </c>
      <c r="C719">
        <v>102</v>
      </c>
      <c r="D719">
        <v>1</v>
      </c>
      <c r="E719">
        <v>0</v>
      </c>
      <c r="F719">
        <v>9.7614869174656796E-2</v>
      </c>
      <c r="G719">
        <v>-0.46649868404553668</v>
      </c>
      <c r="H719">
        <v>-0.72003300885321309</v>
      </c>
    </row>
    <row r="720" spans="2:8">
      <c r="B720">
        <v>1</v>
      </c>
      <c r="C720">
        <v>102</v>
      </c>
      <c r="D720">
        <v>1</v>
      </c>
      <c r="E720">
        <v>0</v>
      </c>
      <c r="F720">
        <v>6.9178827183220271E-2</v>
      </c>
      <c r="G720">
        <v>-0.47382614630404085</v>
      </c>
      <c r="H720">
        <v>-0.58976756167998945</v>
      </c>
    </row>
    <row r="721" spans="2:8">
      <c r="B721">
        <v>1</v>
      </c>
      <c r="C721">
        <v>102</v>
      </c>
      <c r="D721">
        <v>1</v>
      </c>
      <c r="E721">
        <v>0</v>
      </c>
      <c r="F721">
        <v>1.3031557455944502E-2</v>
      </c>
      <c r="G721">
        <v>-0.23720550420859607</v>
      </c>
      <c r="H721">
        <v>-0.33917215704259351</v>
      </c>
    </row>
    <row r="722" spans="2:8">
      <c r="B722">
        <v>3</v>
      </c>
      <c r="C722">
        <v>58.537996627108647</v>
      </c>
      <c r="D722">
        <v>1</v>
      </c>
      <c r="E722">
        <v>0</v>
      </c>
      <c r="F722">
        <v>-0.41444524569252633</v>
      </c>
      <c r="G722">
        <v>-0.20107189000105222</v>
      </c>
      <c r="H722">
        <v>-0.41462003372891354</v>
      </c>
    </row>
    <row r="723" spans="2:8">
      <c r="B723">
        <v>1</v>
      </c>
      <c r="C723">
        <v>102</v>
      </c>
      <c r="D723">
        <v>1</v>
      </c>
      <c r="E723">
        <v>0</v>
      </c>
      <c r="F723">
        <v>0.21760750881741572</v>
      </c>
      <c r="G723">
        <v>-0.35092397201870973</v>
      </c>
      <c r="H723">
        <v>-0.47299425154251551</v>
      </c>
    </row>
    <row r="724" spans="2:8">
      <c r="B724">
        <v>3</v>
      </c>
      <c r="C724">
        <v>106</v>
      </c>
      <c r="D724">
        <v>3</v>
      </c>
      <c r="E724">
        <v>0</v>
      </c>
      <c r="F724">
        <v>-9.6405531892256799E-2</v>
      </c>
      <c r="G724">
        <v>-8.8008005114028204E-2</v>
      </c>
      <c r="H724">
        <v>6.9050151895360595E-2</v>
      </c>
    </row>
    <row r="725" spans="2:8">
      <c r="B725">
        <v>1</v>
      </c>
      <c r="C725">
        <v>102</v>
      </c>
      <c r="D725">
        <v>1</v>
      </c>
      <c r="E725">
        <v>0</v>
      </c>
      <c r="F725">
        <v>8.9530390531325471E-2</v>
      </c>
      <c r="G725">
        <v>-0.45149958190509626</v>
      </c>
      <c r="H725">
        <v>-0.43230727847176081</v>
      </c>
    </row>
    <row r="726" spans="2:8">
      <c r="B726">
        <v>3</v>
      </c>
      <c r="C726">
        <v>106</v>
      </c>
      <c r="D726">
        <v>3</v>
      </c>
      <c r="E726">
        <v>0</v>
      </c>
      <c r="F726">
        <v>-0.14332822917744792</v>
      </c>
      <c r="G726">
        <v>-2.4395096160885886E-2</v>
      </c>
      <c r="H726">
        <v>-0.10488919144893516</v>
      </c>
    </row>
    <row r="727" spans="2:8">
      <c r="B727">
        <v>3</v>
      </c>
      <c r="C727">
        <v>106</v>
      </c>
      <c r="D727">
        <v>3</v>
      </c>
      <c r="E727">
        <v>0</v>
      </c>
      <c r="F727">
        <v>-9.3649200100165933E-2</v>
      </c>
      <c r="G727">
        <v>-7.1176643026629585E-2</v>
      </c>
      <c r="H727">
        <v>-0.24309553023113392</v>
      </c>
    </row>
    <row r="728" spans="2:8">
      <c r="B728">
        <v>3</v>
      </c>
      <c r="C728">
        <v>106</v>
      </c>
      <c r="D728">
        <v>3</v>
      </c>
      <c r="E728">
        <v>0</v>
      </c>
      <c r="F728">
        <v>-0.12564345877740743</v>
      </c>
      <c r="G728">
        <v>8.1470157773178259E-2</v>
      </c>
      <c r="H728">
        <v>0.18588105185395187</v>
      </c>
    </row>
    <row r="729" spans="2:8">
      <c r="B729">
        <v>3</v>
      </c>
      <c r="C729">
        <v>106</v>
      </c>
      <c r="D729">
        <v>3</v>
      </c>
      <c r="E729">
        <v>0</v>
      </c>
      <c r="F729">
        <v>-3.3184192283219158E-2</v>
      </c>
      <c r="G729">
        <v>-0.25399865647273068</v>
      </c>
      <c r="H729">
        <v>-0.20135975091847888</v>
      </c>
    </row>
    <row r="730" spans="2:8">
      <c r="B730">
        <v>3</v>
      </c>
      <c r="C730">
        <v>106</v>
      </c>
      <c r="D730">
        <v>3</v>
      </c>
      <c r="E730">
        <v>0</v>
      </c>
      <c r="F730">
        <v>-7.9935127239500452E-3</v>
      </c>
      <c r="G730">
        <v>8.3086254989900007E-2</v>
      </c>
      <c r="H730">
        <v>0.14110584768498727</v>
      </c>
    </row>
    <row r="731" spans="2:8">
      <c r="B731">
        <v>1</v>
      </c>
      <c r="C731">
        <v>102</v>
      </c>
      <c r="D731">
        <v>1</v>
      </c>
      <c r="E731">
        <v>0</v>
      </c>
      <c r="F731">
        <v>0.14733295476377964</v>
      </c>
      <c r="G731">
        <v>-0.4203747109867062</v>
      </c>
      <c r="H731">
        <v>-0.41594792129661162</v>
      </c>
    </row>
    <row r="732" spans="2:8">
      <c r="B732">
        <v>3</v>
      </c>
      <c r="C732">
        <v>106</v>
      </c>
      <c r="D732">
        <v>3</v>
      </c>
      <c r="E732">
        <v>0</v>
      </c>
      <c r="F732">
        <v>-0.13343840391699641</v>
      </c>
      <c r="G732">
        <v>-0.1606573757109088</v>
      </c>
      <c r="H732">
        <v>-6.7131414940352976E-2</v>
      </c>
    </row>
    <row r="733" spans="2:8">
      <c r="B733">
        <v>3</v>
      </c>
      <c r="C733">
        <v>106</v>
      </c>
      <c r="D733">
        <v>3</v>
      </c>
      <c r="E733">
        <v>0</v>
      </c>
      <c r="F733">
        <v>-0.12092167582594121</v>
      </c>
      <c r="G733">
        <v>-0.25739765997416753</v>
      </c>
      <c r="H733">
        <v>-0.29756270409682134</v>
      </c>
    </row>
    <row r="734" spans="2:8">
      <c r="B734">
        <v>3</v>
      </c>
      <c r="C734">
        <v>106</v>
      </c>
      <c r="D734">
        <v>3</v>
      </c>
      <c r="E734">
        <v>0</v>
      </c>
      <c r="F734">
        <v>-4.6082170269602485E-2</v>
      </c>
      <c r="G734">
        <v>4.9924650084769533E-2</v>
      </c>
      <c r="H734">
        <v>-4.4799255865803994E-2</v>
      </c>
    </row>
    <row r="735" spans="2:8">
      <c r="B735">
        <v>1</v>
      </c>
      <c r="C735">
        <v>102</v>
      </c>
      <c r="D735">
        <v>1</v>
      </c>
      <c r="E735">
        <v>0</v>
      </c>
      <c r="F735">
        <v>3.4056356199820462E-2</v>
      </c>
      <c r="G735">
        <v>-0.22795748337538949</v>
      </c>
      <c r="H735">
        <v>-0.38847820820962992</v>
      </c>
    </row>
    <row r="736" spans="2:8">
      <c r="B736">
        <v>3</v>
      </c>
      <c r="C736">
        <v>106</v>
      </c>
      <c r="D736">
        <v>3</v>
      </c>
      <c r="E736">
        <v>0</v>
      </c>
      <c r="F736">
        <v>-9.6779882867262818E-3</v>
      </c>
      <c r="G736">
        <v>-6.4329813950714271E-2</v>
      </c>
      <c r="H736">
        <v>-0.30607487668062522</v>
      </c>
    </row>
    <row r="737" spans="2:8">
      <c r="B737">
        <v>3</v>
      </c>
      <c r="C737">
        <v>106</v>
      </c>
      <c r="D737">
        <v>3</v>
      </c>
      <c r="E737">
        <v>0</v>
      </c>
      <c r="F737">
        <v>-0.20404233470741026</v>
      </c>
      <c r="G737">
        <v>-0.13839137856703501</v>
      </c>
      <c r="H737">
        <v>-0.13630069796353578</v>
      </c>
    </row>
    <row r="738" spans="2:8">
      <c r="B738">
        <v>3</v>
      </c>
      <c r="C738">
        <v>106</v>
      </c>
      <c r="D738">
        <v>3</v>
      </c>
      <c r="E738">
        <v>0</v>
      </c>
      <c r="F738">
        <v>-6.3227087967963599E-2</v>
      </c>
      <c r="G738">
        <v>-0.15080159135732601</v>
      </c>
      <c r="H738">
        <v>-0.26356405136521177</v>
      </c>
    </row>
    <row r="739" spans="2:8">
      <c r="B739">
        <v>1</v>
      </c>
      <c r="C739">
        <v>102</v>
      </c>
      <c r="D739">
        <v>1</v>
      </c>
      <c r="E739">
        <v>0</v>
      </c>
      <c r="F739">
        <v>0.10273656663294894</v>
      </c>
    </row>
    <row r="740" spans="2:8">
      <c r="B740">
        <v>3</v>
      </c>
      <c r="C740">
        <v>106</v>
      </c>
      <c r="D740">
        <v>3</v>
      </c>
      <c r="E740">
        <v>0</v>
      </c>
      <c r="F740">
        <v>-0.17546132790586519</v>
      </c>
      <c r="G740">
        <v>-0.23706307443037644</v>
      </c>
      <c r="H740">
        <v>-0.18968826951831541</v>
      </c>
    </row>
    <row r="741" spans="2:8">
      <c r="B741">
        <v>3</v>
      </c>
      <c r="C741">
        <v>106</v>
      </c>
      <c r="D741">
        <v>3</v>
      </c>
      <c r="E741">
        <v>0</v>
      </c>
      <c r="F741">
        <v>-1.5771781451584151E-2</v>
      </c>
      <c r="G741">
        <v>-4.5682755911931008E-2</v>
      </c>
      <c r="H741">
        <v>2.9302634222451225E-2</v>
      </c>
    </row>
    <row r="742" spans="2:8">
      <c r="B742">
        <v>3</v>
      </c>
      <c r="C742">
        <v>106</v>
      </c>
      <c r="D742">
        <v>3</v>
      </c>
      <c r="E742">
        <v>0</v>
      </c>
      <c r="F742">
        <v>-5.9977323181716918E-2</v>
      </c>
      <c r="G742">
        <v>-0.36895391416149809</v>
      </c>
      <c r="H742">
        <v>-0.3696771267193889</v>
      </c>
    </row>
    <row r="743" spans="2:8">
      <c r="B743">
        <v>3</v>
      </c>
      <c r="C743">
        <v>106</v>
      </c>
      <c r="D743">
        <v>3</v>
      </c>
      <c r="E743">
        <v>0</v>
      </c>
      <c r="F743">
        <v>-0.14647047370233451</v>
      </c>
      <c r="G743">
        <v>-4.8855604527677718E-2</v>
      </c>
      <c r="H743">
        <v>-0.29950066981033036</v>
      </c>
    </row>
    <row r="744" spans="2:8">
      <c r="B744">
        <v>1</v>
      </c>
      <c r="C744">
        <v>102</v>
      </c>
      <c r="D744">
        <v>1</v>
      </c>
      <c r="E744">
        <v>0</v>
      </c>
      <c r="F744">
        <v>0.14164521098595301</v>
      </c>
      <c r="G744">
        <v>-1.6698533789052936E-2</v>
      </c>
      <c r="H744">
        <v>3.9994381665145969E-2</v>
      </c>
    </row>
    <row r="745" spans="2:8">
      <c r="B745">
        <v>3</v>
      </c>
      <c r="C745">
        <v>55.638008560125861</v>
      </c>
      <c r="D745">
        <v>2</v>
      </c>
      <c r="E745">
        <v>0</v>
      </c>
      <c r="F745">
        <v>-0.29980627221546691</v>
      </c>
      <c r="G745">
        <v>-0.28677471475952232</v>
      </c>
      <c r="H745">
        <v>-0.44361991439874138</v>
      </c>
    </row>
    <row r="746" spans="2:8">
      <c r="B746">
        <v>3</v>
      </c>
      <c r="C746">
        <v>51.237201066056301</v>
      </c>
      <c r="D746">
        <v>1</v>
      </c>
      <c r="E746">
        <v>0</v>
      </c>
      <c r="F746">
        <v>-0.28655609933838483</v>
      </c>
      <c r="G746">
        <v>-0.70100134503091127</v>
      </c>
      <c r="H746">
        <v>-0.48762798933943702</v>
      </c>
    </row>
    <row r="747" spans="2:8">
      <c r="B747">
        <v>3</v>
      </c>
      <c r="C747">
        <v>106</v>
      </c>
      <c r="D747">
        <v>3</v>
      </c>
      <c r="E747">
        <v>0</v>
      </c>
      <c r="F747">
        <v>-0.33303033904010054</v>
      </c>
      <c r="G747">
        <v>-0.11542283022268478</v>
      </c>
      <c r="H747">
        <v>1.1330405870630377E-2</v>
      </c>
    </row>
    <row r="748" spans="2:8">
      <c r="B748">
        <v>3</v>
      </c>
      <c r="C748">
        <v>106</v>
      </c>
      <c r="D748">
        <v>3</v>
      </c>
      <c r="E748">
        <v>0</v>
      </c>
      <c r="F748">
        <v>-0.22844517463774819</v>
      </c>
      <c r="G748">
        <v>-0.32485070653000486</v>
      </c>
      <c r="H748">
        <v>-0.31645317975177628</v>
      </c>
    </row>
    <row r="749" spans="2:8">
      <c r="B749">
        <v>1</v>
      </c>
      <c r="C749">
        <v>102</v>
      </c>
      <c r="D749">
        <v>1</v>
      </c>
      <c r="E749">
        <v>0</v>
      </c>
      <c r="F749">
        <v>0.11150289766170067</v>
      </c>
      <c r="G749">
        <v>-4.2433892150046698E-2</v>
      </c>
      <c r="H749">
        <v>-0.11829235852401786</v>
      </c>
    </row>
    <row r="750" spans="2:8">
      <c r="B750">
        <v>1</v>
      </c>
      <c r="C750">
        <v>102</v>
      </c>
      <c r="D750">
        <v>1</v>
      </c>
      <c r="E750">
        <v>0</v>
      </c>
      <c r="F750">
        <v>3.7155766039852531E-2</v>
      </c>
      <c r="G750">
        <v>-0.18418075240926182</v>
      </c>
      <c r="H750">
        <v>-0.19691119548330904</v>
      </c>
    </row>
    <row r="751" spans="2:8">
      <c r="B751">
        <v>1</v>
      </c>
      <c r="C751">
        <v>102</v>
      </c>
      <c r="D751">
        <v>1</v>
      </c>
      <c r="E751">
        <v>0</v>
      </c>
      <c r="F751">
        <v>0.11427445346890795</v>
      </c>
      <c r="G751">
        <v>-8.6878317920994166E-2</v>
      </c>
      <c r="H751">
        <v>-0.18190241794555062</v>
      </c>
    </row>
    <row r="752" spans="2:8">
      <c r="B752">
        <v>3</v>
      </c>
      <c r="C752">
        <v>106</v>
      </c>
      <c r="D752">
        <v>3</v>
      </c>
      <c r="E752">
        <v>0</v>
      </c>
      <c r="F752">
        <v>-7.8848531932428259E-2</v>
      </c>
      <c r="G752">
        <v>-0.2044919907098357</v>
      </c>
      <c r="H752">
        <v>2.6216258407500536E-3</v>
      </c>
    </row>
    <row r="753" spans="2:8">
      <c r="B753">
        <v>1</v>
      </c>
      <c r="C753">
        <v>102</v>
      </c>
      <c r="D753">
        <v>1</v>
      </c>
      <c r="E753">
        <v>0</v>
      </c>
      <c r="F753">
        <v>2.4289085440474856E-2</v>
      </c>
      <c r="G753">
        <v>-4.1251214716207164E-2</v>
      </c>
      <c r="H753">
        <v>-0.13263379414011159</v>
      </c>
    </row>
    <row r="754" spans="2:8">
      <c r="B754">
        <v>1</v>
      </c>
      <c r="C754">
        <v>102</v>
      </c>
      <c r="D754">
        <v>1</v>
      </c>
      <c r="E754">
        <v>0</v>
      </c>
      <c r="F754">
        <v>1.7721402853780044E-2</v>
      </c>
    </row>
    <row r="755" spans="2:8">
      <c r="B755">
        <v>1</v>
      </c>
      <c r="C755">
        <v>102</v>
      </c>
      <c r="D755">
        <v>1</v>
      </c>
      <c r="E755">
        <v>0</v>
      </c>
      <c r="F755">
        <v>0.27536792882916622</v>
      </c>
      <c r="G755">
        <v>-0.27886074315791054</v>
      </c>
      <c r="H755">
        <v>-0.38989449938347448</v>
      </c>
    </row>
    <row r="756" spans="2:8">
      <c r="B756">
        <v>3</v>
      </c>
      <c r="C756">
        <v>52.433507091550545</v>
      </c>
      <c r="D756">
        <v>1</v>
      </c>
      <c r="E756">
        <v>0</v>
      </c>
      <c r="F756">
        <v>-0.31500755337358566</v>
      </c>
      <c r="G756">
        <v>-0.44844595729058206</v>
      </c>
      <c r="H756">
        <v>-0.47566492908449454</v>
      </c>
    </row>
    <row r="757" spans="2:8">
      <c r="B757">
        <v>3</v>
      </c>
      <c r="C757">
        <v>48.842173042392112</v>
      </c>
      <c r="D757">
        <v>2</v>
      </c>
      <c r="E757">
        <v>0</v>
      </c>
      <c r="F757">
        <v>-0.25418060960191136</v>
      </c>
      <c r="G757">
        <v>-0.37510228542785251</v>
      </c>
      <c r="H757">
        <v>-0.51157826957607888</v>
      </c>
    </row>
    <row r="758" spans="2:8">
      <c r="B758">
        <v>1</v>
      </c>
      <c r="C758">
        <v>102</v>
      </c>
      <c r="D758">
        <v>1</v>
      </c>
      <c r="E758">
        <v>0</v>
      </c>
      <c r="F758">
        <v>0.20122804041049808</v>
      </c>
      <c r="G758">
        <v>-0.22743280024238804</v>
      </c>
      <c r="H758">
        <v>-0.27293927825883996</v>
      </c>
    </row>
    <row r="759" spans="2:8">
      <c r="B759">
        <v>3</v>
      </c>
      <c r="C759">
        <v>106</v>
      </c>
      <c r="D759">
        <v>3</v>
      </c>
      <c r="E759">
        <v>0</v>
      </c>
      <c r="F759">
        <v>-8.3200175945449692E-2</v>
      </c>
      <c r="G759">
        <v>-4.914381974562932E-2</v>
      </c>
      <c r="H759">
        <v>-0.20800242926616816</v>
      </c>
    </row>
    <row r="760" spans="2:8">
      <c r="B760">
        <v>1</v>
      </c>
      <c r="C760">
        <v>102</v>
      </c>
      <c r="D760">
        <v>1</v>
      </c>
      <c r="E760">
        <v>0</v>
      </c>
      <c r="F760">
        <v>3.9061626220234388E-2</v>
      </c>
      <c r="G760">
        <v>-0.34628236833715748</v>
      </c>
      <c r="H760">
        <v>-0.48926656609929908</v>
      </c>
    </row>
    <row r="761" spans="2:8">
      <c r="B761">
        <v>3</v>
      </c>
      <c r="C761">
        <v>106</v>
      </c>
      <c r="D761">
        <v>3</v>
      </c>
      <c r="E761">
        <v>0</v>
      </c>
      <c r="F761">
        <v>-2.2870510082452594E-2</v>
      </c>
      <c r="G761">
        <v>-0.22691284478986293</v>
      </c>
      <c r="H761">
        <v>-0.16126188864948779</v>
      </c>
    </row>
    <row r="762" spans="2:8">
      <c r="B762">
        <v>3</v>
      </c>
      <c r="C762">
        <v>106</v>
      </c>
      <c r="D762">
        <v>3</v>
      </c>
      <c r="E762">
        <v>0</v>
      </c>
      <c r="F762">
        <v>-0.15160584541545727</v>
      </c>
      <c r="G762">
        <v>-0.21483293338342099</v>
      </c>
      <c r="H762">
        <v>-0.30240743677278326</v>
      </c>
    </row>
    <row r="763" spans="2:8">
      <c r="B763">
        <v>1</v>
      </c>
      <c r="C763">
        <v>102</v>
      </c>
      <c r="D763">
        <v>1</v>
      </c>
      <c r="E763">
        <v>0</v>
      </c>
      <c r="F763">
        <v>0.17189171383887905</v>
      </c>
      <c r="G763">
        <v>-0.5080037107462041</v>
      </c>
      <c r="H763">
        <v>-0.40738414249453947</v>
      </c>
    </row>
    <row r="764" spans="2:8">
      <c r="B764">
        <v>1</v>
      </c>
      <c r="C764">
        <v>102</v>
      </c>
      <c r="D764">
        <v>1</v>
      </c>
      <c r="E764">
        <v>0</v>
      </c>
      <c r="F764">
        <v>0.23743799003692587</v>
      </c>
      <c r="G764">
        <v>0.11667024150234578</v>
      </c>
      <c r="H764">
        <v>0.25284716160238296</v>
      </c>
    </row>
    <row r="765" spans="2:8">
      <c r="B765">
        <v>3</v>
      </c>
      <c r="C765">
        <v>106</v>
      </c>
      <c r="D765">
        <v>3</v>
      </c>
      <c r="E765">
        <v>0</v>
      </c>
      <c r="F765">
        <v>-0.10991602386305176</v>
      </c>
      <c r="G765">
        <v>-0.12568780531463594</v>
      </c>
      <c r="H765">
        <v>-0.15559877977498263</v>
      </c>
    </row>
    <row r="766" spans="2:8">
      <c r="B766">
        <v>1</v>
      </c>
      <c r="C766">
        <v>102</v>
      </c>
      <c r="D766">
        <v>1</v>
      </c>
      <c r="E766">
        <v>0</v>
      </c>
      <c r="F766">
        <v>0.16095131636291457</v>
      </c>
    </row>
    <row r="767" spans="2:8">
      <c r="B767">
        <v>1</v>
      </c>
      <c r="C767">
        <v>102</v>
      </c>
      <c r="D767">
        <v>1</v>
      </c>
      <c r="E767">
        <v>0</v>
      </c>
      <c r="F767">
        <v>0.38973969258213426</v>
      </c>
      <c r="G767">
        <v>-0.20170413312287819</v>
      </c>
      <c r="H767">
        <v>-0.34975736418541237</v>
      </c>
    </row>
    <row r="768" spans="2:8">
      <c r="B768">
        <v>3</v>
      </c>
      <c r="C768">
        <v>106</v>
      </c>
      <c r="D768">
        <v>3</v>
      </c>
      <c r="E768">
        <v>0</v>
      </c>
      <c r="F768">
        <v>-0.15357728391881334</v>
      </c>
      <c r="G768">
        <v>-1.1932072932860343E-2</v>
      </c>
      <c r="H768">
        <v>5.7246754250359848E-2</v>
      </c>
    </row>
    <row r="769" spans="2:8">
      <c r="B769">
        <v>3</v>
      </c>
      <c r="C769">
        <v>106</v>
      </c>
      <c r="D769">
        <v>3</v>
      </c>
      <c r="E769">
        <v>0</v>
      </c>
      <c r="F769">
        <v>-6.7524541363851179E-2</v>
      </c>
      <c r="G769">
        <v>-0.36733081357931802</v>
      </c>
      <c r="H769">
        <v>-0.3542992561233736</v>
      </c>
    </row>
    <row r="770" spans="2:8">
      <c r="B770">
        <v>1</v>
      </c>
      <c r="C770">
        <v>102</v>
      </c>
      <c r="D770">
        <v>1</v>
      </c>
      <c r="E770">
        <v>0</v>
      </c>
      <c r="F770">
        <v>0.12481721591275541</v>
      </c>
      <c r="G770">
        <v>-0.40733024287149566</v>
      </c>
      <c r="H770">
        <v>-0.64848728580119785</v>
      </c>
    </row>
    <row r="771" spans="2:8">
      <c r="B771">
        <v>3</v>
      </c>
      <c r="C771">
        <v>104</v>
      </c>
      <c r="D771">
        <v>2</v>
      </c>
      <c r="E771">
        <v>0</v>
      </c>
      <c r="F771">
        <v>-0.23649809392538346</v>
      </c>
      <c r="G771">
        <v>-0.56952843296548394</v>
      </c>
      <c r="H771">
        <v>-0.3519209241480683</v>
      </c>
    </row>
    <row r="772" spans="2:8">
      <c r="B772">
        <v>1</v>
      </c>
      <c r="C772">
        <v>102</v>
      </c>
      <c r="D772">
        <v>1</v>
      </c>
      <c r="E772">
        <v>0</v>
      </c>
      <c r="F772">
        <v>0.13502731540915169</v>
      </c>
      <c r="G772">
        <v>-0.45010445460347015</v>
      </c>
      <c r="H772">
        <v>-0.53166227708924785</v>
      </c>
    </row>
    <row r="773" spans="2:8">
      <c r="B773">
        <v>3</v>
      </c>
      <c r="C773">
        <v>106</v>
      </c>
      <c r="D773">
        <v>3</v>
      </c>
      <c r="E773">
        <v>0</v>
      </c>
      <c r="F773">
        <v>-5.2191946258942964E-3</v>
      </c>
      <c r="G773">
        <v>0.10628370303580631</v>
      </c>
      <c r="H773">
        <v>0.19581409356713184</v>
      </c>
    </row>
    <row r="774" spans="2:8">
      <c r="B774">
        <v>3</v>
      </c>
      <c r="C774">
        <v>106</v>
      </c>
      <c r="D774">
        <v>3</v>
      </c>
      <c r="E774">
        <v>0</v>
      </c>
      <c r="F774">
        <v>-0.22550907787173513</v>
      </c>
      <c r="G774">
        <v>-0.18835331183188272</v>
      </c>
      <c r="H774">
        <v>-0.33168154100933067</v>
      </c>
    </row>
    <row r="775" spans="2:8">
      <c r="B775">
        <v>3</v>
      </c>
      <c r="C775">
        <v>106</v>
      </c>
      <c r="D775">
        <v>3</v>
      </c>
      <c r="E775">
        <v>0</v>
      </c>
      <c r="F775">
        <v>-2.4519736029177942E-2</v>
      </c>
      <c r="G775">
        <v>8.9754717439729972E-2</v>
      </c>
      <c r="H775">
        <v>-3.894482660435958E-3</v>
      </c>
    </row>
    <row r="776" spans="2:8">
      <c r="B776">
        <v>3</v>
      </c>
      <c r="C776">
        <v>106</v>
      </c>
      <c r="D776">
        <v>3</v>
      </c>
      <c r="E776">
        <v>0</v>
      </c>
      <c r="F776">
        <v>-3.4230718536748549E-2</v>
      </c>
      <c r="G776">
        <v>-0.1130792504691768</v>
      </c>
      <c r="H776">
        <v>-0.23872270924658423</v>
      </c>
    </row>
    <row r="777" spans="2:8">
      <c r="B777">
        <v>3</v>
      </c>
      <c r="C777">
        <v>106</v>
      </c>
      <c r="D777">
        <v>3</v>
      </c>
      <c r="E777">
        <v>0</v>
      </c>
      <c r="F777">
        <v>-0.27056641396240988</v>
      </c>
      <c r="G777">
        <v>-0.24627732852193515</v>
      </c>
      <c r="H777">
        <v>-0.27946152080515424</v>
      </c>
    </row>
    <row r="778" spans="2:8">
      <c r="B778">
        <v>1</v>
      </c>
      <c r="C778">
        <v>102</v>
      </c>
      <c r="D778">
        <v>1</v>
      </c>
      <c r="E778">
        <v>0</v>
      </c>
      <c r="F778">
        <v>4.5409481879611788E-2</v>
      </c>
      <c r="G778">
        <v>-0.24234932962439071</v>
      </c>
      <c r="H778">
        <v>-0.24587884465140183</v>
      </c>
    </row>
    <row r="779" spans="2:8">
      <c r="B779">
        <v>3</v>
      </c>
      <c r="C779">
        <v>106</v>
      </c>
      <c r="D779">
        <v>3</v>
      </c>
      <c r="E779">
        <v>0</v>
      </c>
      <c r="F779">
        <v>-0.29459206805085092</v>
      </c>
      <c r="G779">
        <v>-1.9224139221684707E-2</v>
      </c>
      <c r="H779">
        <v>0.12810881554209494</v>
      </c>
    </row>
    <row r="780" spans="2:8">
      <c r="B780">
        <v>1</v>
      </c>
      <c r="C780">
        <v>102</v>
      </c>
      <c r="D780">
        <v>1</v>
      </c>
      <c r="E780">
        <v>0</v>
      </c>
      <c r="F780">
        <v>7.8679026650108314E-2</v>
      </c>
      <c r="G780">
        <v>-5.5265463216338712E-2</v>
      </c>
      <c r="H780">
        <v>-1.9333134538628106E-2</v>
      </c>
    </row>
    <row r="781" spans="2:8">
      <c r="B781">
        <v>1</v>
      </c>
      <c r="C781">
        <v>102</v>
      </c>
      <c r="D781">
        <v>1</v>
      </c>
      <c r="E781">
        <v>0</v>
      </c>
      <c r="F781">
        <v>0.12982935249064692</v>
      </c>
    </row>
    <row r="782" spans="2:8">
      <c r="B782">
        <v>3</v>
      </c>
      <c r="C782">
        <v>106</v>
      </c>
      <c r="D782">
        <v>3</v>
      </c>
      <c r="E782">
        <v>0</v>
      </c>
      <c r="F782">
        <v>-0.10537185052968177</v>
      </c>
      <c r="G782">
        <v>9.5856189880816178E-2</v>
      </c>
      <c r="H782">
        <v>4.9774019611213756E-2</v>
      </c>
    </row>
    <row r="783" spans="2:8">
      <c r="B783">
        <v>1</v>
      </c>
      <c r="C783">
        <v>102</v>
      </c>
      <c r="D783">
        <v>1</v>
      </c>
      <c r="E783">
        <v>0</v>
      </c>
      <c r="F783">
        <v>0.13297445946379799</v>
      </c>
      <c r="G783">
        <v>-6.2896041326172408E-2</v>
      </c>
      <c r="H783">
        <v>-0.14745081756894882</v>
      </c>
    </row>
    <row r="784" spans="2:8">
      <c r="B784">
        <v>3</v>
      </c>
      <c r="C784">
        <v>106</v>
      </c>
      <c r="D784">
        <v>3</v>
      </c>
      <c r="E784">
        <v>0</v>
      </c>
      <c r="F784">
        <v>-0.26402418666047933</v>
      </c>
      <c r="G784">
        <v>-0.22496256044024479</v>
      </c>
      <c r="H784">
        <v>-0.23464054872697115</v>
      </c>
    </row>
    <row r="785" spans="2:8">
      <c r="B785">
        <v>1</v>
      </c>
      <c r="C785">
        <v>102</v>
      </c>
      <c r="D785">
        <v>1</v>
      </c>
      <c r="E785">
        <v>0</v>
      </c>
      <c r="F785">
        <v>0.26309564027627291</v>
      </c>
      <c r="G785">
        <v>-0.28083406671629146</v>
      </c>
      <c r="H785">
        <v>-8.7625916789572877E-2</v>
      </c>
    </row>
    <row r="786" spans="2:8">
      <c r="B786">
        <v>3</v>
      </c>
      <c r="C786">
        <v>106</v>
      </c>
      <c r="D786">
        <v>3</v>
      </c>
      <c r="E786">
        <v>0</v>
      </c>
      <c r="F786">
        <v>-0.1238480130220479</v>
      </c>
      <c r="G786">
        <v>-0.27545385843750519</v>
      </c>
      <c r="H786">
        <v>-0.33868094640546886</v>
      </c>
    </row>
    <row r="787" spans="2:8">
      <c r="B787">
        <v>3</v>
      </c>
      <c r="C787">
        <v>106</v>
      </c>
      <c r="D787">
        <v>3</v>
      </c>
      <c r="E787">
        <v>0</v>
      </c>
      <c r="F787">
        <v>-0.15035091984884813</v>
      </c>
      <c r="G787">
        <v>2.154079399003091E-2</v>
      </c>
      <c r="H787">
        <v>0.12427736062297993</v>
      </c>
    </row>
    <row r="788" spans="2:8">
      <c r="B788">
        <v>1</v>
      </c>
      <c r="C788">
        <v>102</v>
      </c>
      <c r="D788">
        <v>1</v>
      </c>
      <c r="E788">
        <v>0</v>
      </c>
      <c r="F788">
        <v>3.5262570979106428E-2</v>
      </c>
      <c r="G788">
        <v>-3.5808668748789713E-2</v>
      </c>
      <c r="H788">
        <v>-2.8838373406133294E-2</v>
      </c>
    </row>
    <row r="789" spans="2:8">
      <c r="B789">
        <v>3</v>
      </c>
      <c r="C789">
        <v>106</v>
      </c>
      <c r="D789">
        <v>3</v>
      </c>
      <c r="E789">
        <v>0</v>
      </c>
      <c r="F789">
        <v>-0.23339446819561188</v>
      </c>
      <c r="G789">
        <v>-0.34331049205866343</v>
      </c>
      <c r="H789">
        <v>-0.35908227351024752</v>
      </c>
    </row>
    <row r="790" spans="2:8">
      <c r="B790">
        <v>3</v>
      </c>
      <c r="C790">
        <v>106</v>
      </c>
      <c r="D790">
        <v>3</v>
      </c>
      <c r="E790">
        <v>0</v>
      </c>
      <c r="F790">
        <v>-1.1357708693694148E-2</v>
      </c>
      <c r="G790">
        <v>0.14959360766922039</v>
      </c>
      <c r="H790">
        <v>8.96162844875035E-2</v>
      </c>
    </row>
    <row r="791" spans="2:8">
      <c r="B791">
        <v>3</v>
      </c>
      <c r="C791">
        <v>106</v>
      </c>
      <c r="D791">
        <v>3</v>
      </c>
      <c r="E791">
        <v>0</v>
      </c>
      <c r="F791">
        <v>-7.2879768661084296E-2</v>
      </c>
      <c r="G791">
        <v>0.31685992392104995</v>
      </c>
      <c r="H791">
        <v>0.17038945021871554</v>
      </c>
    </row>
    <row r="792" spans="2:8">
      <c r="B792">
        <v>3</v>
      </c>
      <c r="C792">
        <v>106</v>
      </c>
      <c r="D792">
        <v>3</v>
      </c>
      <c r="E792">
        <v>0</v>
      </c>
      <c r="F792">
        <v>-0.10366215352462642</v>
      </c>
      <c r="G792">
        <v>-0.25723943744343958</v>
      </c>
      <c r="H792">
        <v>-0.11559422645748667</v>
      </c>
    </row>
    <row r="793" spans="2:8">
      <c r="B793">
        <v>3</v>
      </c>
      <c r="C793">
        <v>106</v>
      </c>
      <c r="D793">
        <v>3</v>
      </c>
      <c r="E793">
        <v>0</v>
      </c>
      <c r="F793">
        <v>-1.2431238823558694E-2</v>
      </c>
      <c r="G793">
        <v>-7.9955780187409745E-2</v>
      </c>
      <c r="H793">
        <v>-0.37976205240287669</v>
      </c>
    </row>
    <row r="794" spans="2:8">
      <c r="B794">
        <v>1</v>
      </c>
      <c r="C794">
        <v>102</v>
      </c>
      <c r="D794">
        <v>1</v>
      </c>
      <c r="E794">
        <v>0</v>
      </c>
      <c r="F794">
        <v>0.17925536379068169</v>
      </c>
      <c r="G794">
        <v>-0.48515925567303936</v>
      </c>
      <c r="H794">
        <v>-0.68464128380476175</v>
      </c>
    </row>
    <row r="795" spans="2:8">
      <c r="B795">
        <v>3</v>
      </c>
      <c r="C795">
        <v>24.91781932646775</v>
      </c>
      <c r="D795">
        <v>1</v>
      </c>
      <c r="E795">
        <v>0</v>
      </c>
      <c r="F795">
        <v>-0.18129337376983845</v>
      </c>
      <c r="G795">
        <v>-0.41779146769522202</v>
      </c>
      <c r="H795">
        <v>-0.75082180673532251</v>
      </c>
    </row>
    <row r="796" spans="2:8">
      <c r="B796">
        <v>3</v>
      </c>
      <c r="C796">
        <v>106</v>
      </c>
      <c r="D796">
        <v>3</v>
      </c>
      <c r="E796">
        <v>0</v>
      </c>
      <c r="F796">
        <v>-2.4305260937372425E-3</v>
      </c>
      <c r="G796">
        <v>0.13259678931541447</v>
      </c>
      <c r="H796">
        <v>-9.5848385322333599E-2</v>
      </c>
    </row>
    <row r="797" spans="2:8">
      <c r="B797">
        <v>3</v>
      </c>
      <c r="C797">
        <v>106</v>
      </c>
      <c r="D797">
        <v>3</v>
      </c>
      <c r="E797">
        <v>0</v>
      </c>
      <c r="F797">
        <v>-9.9174896590575976E-2</v>
      </c>
      <c r="G797">
        <v>-0.10439409121647025</v>
      </c>
      <c r="H797">
        <v>7.1088064452303331E-3</v>
      </c>
    </row>
    <row r="798" spans="2:8">
      <c r="B798">
        <v>3</v>
      </c>
      <c r="C798">
        <v>106</v>
      </c>
      <c r="D798">
        <v>3</v>
      </c>
      <c r="E798">
        <v>0</v>
      </c>
      <c r="F798">
        <v>-2.5574551945579917E-2</v>
      </c>
      <c r="G798">
        <v>-0.25108362981731502</v>
      </c>
      <c r="H798">
        <v>-0.21392786377746248</v>
      </c>
    </row>
    <row r="799" spans="2:8">
      <c r="B799">
        <v>3</v>
      </c>
      <c r="C799">
        <v>106</v>
      </c>
      <c r="D799">
        <v>3</v>
      </c>
      <c r="E799">
        <v>0</v>
      </c>
      <c r="F799">
        <v>-0.37325405754005747</v>
      </c>
      <c r="G799">
        <v>-0.39777379356923531</v>
      </c>
      <c r="H799">
        <v>-0.28349934010032729</v>
      </c>
    </row>
    <row r="800" spans="2:8">
      <c r="B800">
        <v>1</v>
      </c>
      <c r="C800">
        <v>102</v>
      </c>
      <c r="D800">
        <v>1</v>
      </c>
      <c r="E800">
        <v>0</v>
      </c>
      <c r="F800">
        <v>0.17470963820789681</v>
      </c>
      <c r="G800">
        <v>-0.28194920606876972</v>
      </c>
      <c r="H800">
        <v>-0.33793033517919352</v>
      </c>
    </row>
    <row r="801" spans="2:8">
      <c r="B801">
        <v>3</v>
      </c>
      <c r="C801">
        <v>106</v>
      </c>
      <c r="D801">
        <v>3</v>
      </c>
      <c r="E801">
        <v>0</v>
      </c>
      <c r="F801">
        <v>-5.7313935435902921E-2</v>
      </c>
      <c r="G801">
        <v>-0.32788034939831284</v>
      </c>
      <c r="H801">
        <v>-0.30359126395783803</v>
      </c>
    </row>
    <row r="802" spans="2:8">
      <c r="B802">
        <v>3</v>
      </c>
      <c r="C802">
        <v>106</v>
      </c>
      <c r="D802">
        <v>3</v>
      </c>
      <c r="E802">
        <v>0</v>
      </c>
      <c r="F802">
        <v>-4.2833123454651977E-2</v>
      </c>
      <c r="G802">
        <v>2.5763584249598264E-3</v>
      </c>
      <c r="H802">
        <v>2.0297761278739963E-2</v>
      </c>
    </row>
    <row r="803" spans="2:8">
      <c r="B803">
        <v>3</v>
      </c>
      <c r="C803">
        <v>104</v>
      </c>
      <c r="D803">
        <v>2</v>
      </c>
      <c r="E803">
        <v>0</v>
      </c>
      <c r="F803">
        <v>-0.21802251069371753</v>
      </c>
      <c r="G803">
        <v>-0.51261457874456851</v>
      </c>
      <c r="H803">
        <v>-0.23724664991540226</v>
      </c>
    </row>
    <row r="804" spans="2:8">
      <c r="B804">
        <v>3</v>
      </c>
      <c r="C804">
        <v>106</v>
      </c>
      <c r="D804">
        <v>3</v>
      </c>
      <c r="E804">
        <v>0</v>
      </c>
      <c r="F804">
        <v>-3.7493474364981114E-2</v>
      </c>
      <c r="G804">
        <v>4.1185552285127131E-2</v>
      </c>
      <c r="H804">
        <v>-0.2738220010884585</v>
      </c>
    </row>
    <row r="805" spans="2:8">
      <c r="B805">
        <v>1</v>
      </c>
      <c r="C805">
        <v>102</v>
      </c>
      <c r="D805">
        <v>1</v>
      </c>
      <c r="E805">
        <v>0</v>
      </c>
      <c r="F805">
        <v>5.5442968694535367E-3</v>
      </c>
      <c r="G805">
        <v>1.8043392916021844E-2</v>
      </c>
      <c r="H805">
        <v>-3.3653639395904919E-2</v>
      </c>
    </row>
    <row r="806" spans="2:8">
      <c r="B806">
        <v>1</v>
      </c>
      <c r="C806">
        <v>102</v>
      </c>
      <c r="D806">
        <v>1</v>
      </c>
      <c r="E806">
        <v>0</v>
      </c>
      <c r="F806">
        <v>8.0965208544321349E-2</v>
      </c>
      <c r="G806">
        <v>-0.11225081759795492</v>
      </c>
      <c r="H806">
        <v>-8.8287104174932352E-2</v>
      </c>
    </row>
    <row r="807" spans="2:8">
      <c r="B807">
        <v>3</v>
      </c>
      <c r="C807">
        <v>106</v>
      </c>
      <c r="D807">
        <v>3</v>
      </c>
      <c r="E807">
        <v>0</v>
      </c>
      <c r="F807">
        <v>-1.4103613248143042E-2</v>
      </c>
      <c r="G807">
        <v>0.11887084621565494</v>
      </c>
      <c r="H807">
        <v>3.5670670270205339E-2</v>
      </c>
    </row>
    <row r="808" spans="2:8">
      <c r="B808">
        <v>3</v>
      </c>
      <c r="C808">
        <v>59.00331985535999</v>
      </c>
      <c r="D808">
        <v>1</v>
      </c>
      <c r="E808">
        <v>0</v>
      </c>
      <c r="F808">
        <v>-0.1850042410061552</v>
      </c>
      <c r="G808">
        <v>-0.44902842766663448</v>
      </c>
      <c r="H808">
        <v>-0.40996680144640008</v>
      </c>
    </row>
    <row r="809" spans="2:8">
      <c r="B809">
        <v>3</v>
      </c>
      <c r="C809">
        <v>106</v>
      </c>
      <c r="D809">
        <v>3</v>
      </c>
      <c r="E809">
        <v>0</v>
      </c>
      <c r="F809">
        <v>-0.10257008314057088</v>
      </c>
      <c r="G809">
        <v>0.16052555713570202</v>
      </c>
      <c r="H809">
        <v>0.13765504705324935</v>
      </c>
    </row>
    <row r="810" spans="2:8">
      <c r="B810">
        <v>3</v>
      </c>
      <c r="C810">
        <v>106</v>
      </c>
      <c r="D810">
        <v>3</v>
      </c>
      <c r="E810">
        <v>0</v>
      </c>
      <c r="F810">
        <v>-9.8091999738622274E-2</v>
      </c>
      <c r="G810">
        <v>-0.22194001276067021</v>
      </c>
      <c r="H810">
        <v>-0.3735458581761274</v>
      </c>
    </row>
    <row r="811" spans="2:8">
      <c r="B811">
        <v>3</v>
      </c>
      <c r="C811">
        <v>106</v>
      </c>
      <c r="D811">
        <v>3</v>
      </c>
      <c r="E811">
        <v>0</v>
      </c>
      <c r="F811">
        <v>-0.11164886919961509</v>
      </c>
      <c r="G811">
        <v>-0.26199978904846316</v>
      </c>
      <c r="H811">
        <v>-9.0108075209584151E-2</v>
      </c>
    </row>
    <row r="812" spans="2:8">
      <c r="B812">
        <v>3</v>
      </c>
      <c r="C812">
        <v>106</v>
      </c>
      <c r="D812">
        <v>3</v>
      </c>
      <c r="E812">
        <v>0</v>
      </c>
      <c r="F812">
        <v>-7.1832717967565157E-2</v>
      </c>
      <c r="G812">
        <v>-3.6570146988458792E-2</v>
      </c>
      <c r="H812">
        <v>0.20086784304846719</v>
      </c>
    </row>
    <row r="813" spans="2:8">
      <c r="B813">
        <v>1</v>
      </c>
      <c r="C813">
        <v>102</v>
      </c>
      <c r="D813">
        <v>1</v>
      </c>
      <c r="E813">
        <v>0</v>
      </c>
      <c r="F813">
        <v>0.1509276991768683</v>
      </c>
      <c r="G813">
        <v>3.9697738244288329E-2</v>
      </c>
      <c r="H813">
        <v>1.4115062219291499E-2</v>
      </c>
    </row>
    <row r="814" spans="2:8">
      <c r="B814">
        <v>3</v>
      </c>
      <c r="C814">
        <v>106</v>
      </c>
      <c r="D814">
        <v>3</v>
      </c>
      <c r="E814">
        <v>0</v>
      </c>
      <c r="F814">
        <v>-0.35552928431404512</v>
      </c>
      <c r="G814">
        <v>-0.36688699300773925</v>
      </c>
      <c r="H814">
        <v>-0.20593567664482473</v>
      </c>
    </row>
    <row r="815" spans="2:8">
      <c r="B815">
        <v>3</v>
      </c>
      <c r="C815">
        <v>106</v>
      </c>
      <c r="D815">
        <v>3</v>
      </c>
      <c r="E815">
        <v>0</v>
      </c>
      <c r="F815">
        <v>-0.2065992843694901</v>
      </c>
      <c r="G815">
        <v>-0.27947905303057441</v>
      </c>
      <c r="H815">
        <v>0.11026063955155987</v>
      </c>
    </row>
    <row r="816" spans="2:8">
      <c r="B816">
        <v>1</v>
      </c>
      <c r="C816">
        <v>102</v>
      </c>
      <c r="D816">
        <v>1</v>
      </c>
      <c r="E816">
        <v>0</v>
      </c>
      <c r="F816">
        <v>5.5967444495569722E-2</v>
      </c>
      <c r="G816">
        <v>-0.53983383803225971</v>
      </c>
      <c r="H816">
        <v>-0.84775845233752178</v>
      </c>
    </row>
    <row r="817" spans="2:8">
      <c r="B817">
        <v>3</v>
      </c>
      <c r="C817">
        <v>38.168297005384666</v>
      </c>
      <c r="D817">
        <v>0</v>
      </c>
      <c r="E817">
        <v>0</v>
      </c>
      <c r="F817">
        <v>-0.53836124975874344</v>
      </c>
      <c r="G817">
        <v>-0.55079248858230223</v>
      </c>
      <c r="H817">
        <v>-0.61831702994615334</v>
      </c>
    </row>
    <row r="818" spans="2:8">
      <c r="B818">
        <v>1</v>
      </c>
      <c r="C818">
        <v>102</v>
      </c>
      <c r="D818">
        <v>1</v>
      </c>
      <c r="E818">
        <v>0</v>
      </c>
      <c r="F818">
        <v>0.30102586488525018</v>
      </c>
      <c r="G818">
        <v>-1.8157163287626638E-2</v>
      </c>
      <c r="H818">
        <v>-0.18411655561771806</v>
      </c>
    </row>
    <row r="819" spans="2:8">
      <c r="B819">
        <v>3</v>
      </c>
      <c r="C819">
        <v>44.386612486800928</v>
      </c>
      <c r="D819">
        <v>2</v>
      </c>
      <c r="E819">
        <v>0</v>
      </c>
      <c r="F819">
        <v>-0.13834240743676873</v>
      </c>
      <c r="G819">
        <v>-0.31963578120660724</v>
      </c>
      <c r="H819">
        <v>-0.55613387513199075</v>
      </c>
    </row>
    <row r="820" spans="2:8">
      <c r="B820">
        <v>3</v>
      </c>
      <c r="C820">
        <v>106</v>
      </c>
      <c r="D820">
        <v>3</v>
      </c>
      <c r="E820">
        <v>0</v>
      </c>
      <c r="F820">
        <v>-0.10708758313205159</v>
      </c>
      <c r="G820">
        <v>-0.10951810922578897</v>
      </c>
      <c r="H820">
        <v>2.5509206183362845E-2</v>
      </c>
    </row>
    <row r="821" spans="2:8">
      <c r="B821">
        <v>3</v>
      </c>
      <c r="C821">
        <v>106</v>
      </c>
      <c r="D821">
        <v>3</v>
      </c>
      <c r="E821">
        <v>0</v>
      </c>
      <c r="F821">
        <v>-8.485392092879962E-2</v>
      </c>
      <c r="G821">
        <v>-0.18402881751937561</v>
      </c>
      <c r="H821">
        <v>-0.18924801214526976</v>
      </c>
    </row>
    <row r="822" spans="2:8">
      <c r="B822">
        <v>3</v>
      </c>
      <c r="C822">
        <v>59.335221207823011</v>
      </c>
      <c r="D822">
        <v>2</v>
      </c>
      <c r="E822">
        <v>0</v>
      </c>
      <c r="F822">
        <v>-0.1555641581044549</v>
      </c>
      <c r="G822">
        <v>-0.18113871005003473</v>
      </c>
      <c r="H822">
        <v>-0.40664778792176992</v>
      </c>
    </row>
    <row r="823" spans="2:8">
      <c r="B823">
        <v>1</v>
      </c>
      <c r="C823">
        <v>102</v>
      </c>
      <c r="D823">
        <v>1</v>
      </c>
      <c r="E823">
        <v>0</v>
      </c>
      <c r="F823">
        <v>5.0632209460083913E-2</v>
      </c>
    </row>
    <row r="824" spans="2:8">
      <c r="B824">
        <v>3</v>
      </c>
      <c r="C824">
        <v>106</v>
      </c>
      <c r="D824">
        <v>3</v>
      </c>
      <c r="E824">
        <v>0</v>
      </c>
      <c r="F824">
        <v>-0.34631662794031071</v>
      </c>
      <c r="G824">
        <v>-0.17160698973241395</v>
      </c>
      <c r="H824">
        <v>-0.20583770826916245</v>
      </c>
    </row>
    <row r="825" spans="2:8">
      <c r="B825">
        <v>1</v>
      </c>
      <c r="C825">
        <v>102</v>
      </c>
      <c r="D825">
        <v>1</v>
      </c>
      <c r="E825">
        <v>0</v>
      </c>
      <c r="F825">
        <v>0.14383644076174831</v>
      </c>
      <c r="G825">
        <v>-0.4230793482371713</v>
      </c>
      <c r="H825">
        <v>-0.30829860229278244</v>
      </c>
    </row>
    <row r="826" spans="2:8">
      <c r="B826">
        <v>3</v>
      </c>
      <c r="C826">
        <v>106</v>
      </c>
      <c r="D826">
        <v>3</v>
      </c>
      <c r="E826">
        <v>0</v>
      </c>
      <c r="F826">
        <v>-1.849989880423367E-2</v>
      </c>
      <c r="G826">
        <v>-6.1333022258885685E-2</v>
      </c>
      <c r="H826">
        <v>-1.592354037927388E-2</v>
      </c>
    </row>
    <row r="827" spans="2:8">
      <c r="B827">
        <v>3</v>
      </c>
      <c r="C827">
        <v>31.970772425512209</v>
      </c>
      <c r="D827">
        <v>2</v>
      </c>
      <c r="E827">
        <v>0</v>
      </c>
      <c r="F827">
        <v>-0.16767769700030946</v>
      </c>
      <c r="G827">
        <v>-0.38570020769402702</v>
      </c>
      <c r="H827">
        <v>-0.68029227574487794</v>
      </c>
    </row>
    <row r="828" spans="2:8">
      <c r="B828">
        <v>3</v>
      </c>
      <c r="C828">
        <v>106</v>
      </c>
      <c r="D828">
        <v>3</v>
      </c>
      <c r="E828">
        <v>0</v>
      </c>
      <c r="F828">
        <v>-0.14523935901874083</v>
      </c>
      <c r="G828">
        <v>-0.1827328333837219</v>
      </c>
      <c r="H828">
        <v>-0.1040538067336136</v>
      </c>
    </row>
    <row r="829" spans="2:8">
      <c r="B829">
        <v>1</v>
      </c>
      <c r="C829">
        <v>102</v>
      </c>
      <c r="D829">
        <v>1</v>
      </c>
      <c r="E829">
        <v>0</v>
      </c>
      <c r="F829">
        <v>2.066566717829784E-2</v>
      </c>
      <c r="G829">
        <v>-0.20580224667872266</v>
      </c>
      <c r="H829">
        <v>-0.35580015757275696</v>
      </c>
    </row>
    <row r="830" spans="2:8">
      <c r="B830">
        <v>3</v>
      </c>
      <c r="C830">
        <v>106</v>
      </c>
      <c r="D830">
        <v>3</v>
      </c>
      <c r="E830">
        <v>0</v>
      </c>
      <c r="F830">
        <v>-0.17329497508359915</v>
      </c>
      <c r="G830">
        <v>-9.2329766539277908E-2</v>
      </c>
      <c r="H830">
        <v>-0.19770161706895958</v>
      </c>
    </row>
    <row r="831" spans="2:8">
      <c r="B831">
        <v>3</v>
      </c>
      <c r="C831">
        <v>106</v>
      </c>
      <c r="D831">
        <v>3</v>
      </c>
      <c r="E831">
        <v>0</v>
      </c>
      <c r="F831">
        <v>-0.1304296504968234</v>
      </c>
      <c r="G831">
        <v>-0.14453326374496636</v>
      </c>
      <c r="H831">
        <v>-1.1558804281168341E-2</v>
      </c>
    </row>
    <row r="832" spans="2:8">
      <c r="B832">
        <v>3</v>
      </c>
      <c r="C832">
        <v>53.081365152888907</v>
      </c>
      <c r="D832">
        <v>2</v>
      </c>
      <c r="E832">
        <v>0</v>
      </c>
      <c r="F832">
        <v>-2.0157920804476388E-2</v>
      </c>
      <c r="G832">
        <v>-0.20516216181063154</v>
      </c>
      <c r="H832">
        <v>-0.46918634847111096</v>
      </c>
    </row>
    <row r="833" spans="2:8">
      <c r="B833">
        <v>3</v>
      </c>
      <c r="C833">
        <v>106</v>
      </c>
      <c r="D833">
        <v>3</v>
      </c>
      <c r="E833">
        <v>0</v>
      </c>
      <c r="F833">
        <v>-4.7122104373327207E-2</v>
      </c>
      <c r="G833">
        <v>-0.14969218751389826</v>
      </c>
      <c r="H833">
        <v>0.11340345276237478</v>
      </c>
    </row>
    <row r="834" spans="2:8">
      <c r="B834">
        <v>3</v>
      </c>
      <c r="C834">
        <v>58.059084379690077</v>
      </c>
      <c r="D834">
        <v>2</v>
      </c>
      <c r="E834">
        <v>0</v>
      </c>
      <c r="F834">
        <v>-0.19746914344242894</v>
      </c>
      <c r="G834">
        <v>-0.29556114318105148</v>
      </c>
      <c r="H834">
        <v>-0.41940915620309926</v>
      </c>
    </row>
    <row r="835" spans="2:8">
      <c r="B835">
        <v>3</v>
      </c>
      <c r="C835">
        <v>106</v>
      </c>
      <c r="D835">
        <v>3</v>
      </c>
      <c r="E835">
        <v>0</v>
      </c>
      <c r="F835">
        <v>-7.6154813439043623E-2</v>
      </c>
      <c r="G835">
        <v>-0.18780368263865874</v>
      </c>
      <c r="H835">
        <v>-0.33815460248750695</v>
      </c>
    </row>
    <row r="836" spans="2:8">
      <c r="B836">
        <v>1</v>
      </c>
      <c r="C836">
        <v>102</v>
      </c>
      <c r="D836">
        <v>1</v>
      </c>
      <c r="E836">
        <v>0</v>
      </c>
      <c r="F836">
        <v>0.18399643308471925</v>
      </c>
      <c r="G836">
        <v>-0.2196877875949097</v>
      </c>
      <c r="H836">
        <v>-0.45058325041419933</v>
      </c>
    </row>
    <row r="837" spans="2:8">
      <c r="B837">
        <v>1</v>
      </c>
      <c r="C837">
        <v>102</v>
      </c>
      <c r="D837">
        <v>1</v>
      </c>
      <c r="E837">
        <v>0</v>
      </c>
      <c r="F837">
        <v>0.18714598643225983</v>
      </c>
      <c r="G837">
        <v>4.5900486326568693E-2</v>
      </c>
      <c r="H837">
        <v>4.4026547268862931E-3</v>
      </c>
    </row>
    <row r="838" spans="2:8">
      <c r="B838">
        <v>3</v>
      </c>
      <c r="C838">
        <v>56.291330266055489</v>
      </c>
      <c r="D838">
        <v>1</v>
      </c>
      <c r="E838">
        <v>0</v>
      </c>
      <c r="F838">
        <v>-7.0199704331705831E-2</v>
      </c>
      <c r="G838">
        <v>-0.42572898864575104</v>
      </c>
      <c r="H838">
        <v>-0.43708669733944511</v>
      </c>
    </row>
    <row r="839" spans="2:8">
      <c r="B839">
        <v>3</v>
      </c>
      <c r="C839">
        <v>106</v>
      </c>
      <c r="D839">
        <v>3</v>
      </c>
      <c r="E839">
        <v>0</v>
      </c>
      <c r="F839">
        <v>-3.5211195315550171E-3</v>
      </c>
      <c r="G839">
        <v>-0.21012040390104508</v>
      </c>
      <c r="H839">
        <v>-0.28300017256212934</v>
      </c>
    </row>
    <row r="840" spans="2:8">
      <c r="B840">
        <v>1</v>
      </c>
      <c r="C840">
        <v>102</v>
      </c>
      <c r="D840">
        <v>1</v>
      </c>
      <c r="E840">
        <v>0</v>
      </c>
      <c r="F840">
        <v>0.12184566615983833</v>
      </c>
      <c r="G840">
        <v>-0.20997266033978498</v>
      </c>
      <c r="H840">
        <v>-0.29016912628294084</v>
      </c>
    </row>
    <row r="841" spans="2:8">
      <c r="B841">
        <v>3</v>
      </c>
      <c r="C841">
        <v>35.723245230409276</v>
      </c>
      <c r="D841">
        <v>1</v>
      </c>
      <c r="E841">
        <v>0</v>
      </c>
      <c r="F841">
        <v>-9.1975059113605026E-2</v>
      </c>
      <c r="G841">
        <v>-0.63033630887234848</v>
      </c>
      <c r="H841">
        <v>-0.64276754769590727</v>
      </c>
    </row>
    <row r="842" spans="2:8">
      <c r="B842">
        <v>1</v>
      </c>
      <c r="C842">
        <v>102</v>
      </c>
      <c r="D842">
        <v>1</v>
      </c>
      <c r="E842">
        <v>0</v>
      </c>
      <c r="F842">
        <v>7.1358580174261957E-2</v>
      </c>
      <c r="G842">
        <v>-0.69377093575427351</v>
      </c>
      <c r="H842">
        <v>-1.0385223904726089</v>
      </c>
    </row>
    <row r="843" spans="2:8">
      <c r="B843">
        <v>3</v>
      </c>
      <c r="C843">
        <v>57.949444026459354</v>
      </c>
      <c r="D843">
        <v>2</v>
      </c>
      <c r="E843">
        <v>0</v>
      </c>
      <c r="F843">
        <v>-0.10086977852879922</v>
      </c>
      <c r="G843">
        <v>-0.23921218596556787</v>
      </c>
      <c r="H843">
        <v>-0.42050555973540643</v>
      </c>
    </row>
    <row r="844" spans="2:8">
      <c r="B844">
        <v>1</v>
      </c>
      <c r="C844">
        <v>102</v>
      </c>
      <c r="D844">
        <v>1</v>
      </c>
      <c r="E844">
        <v>0</v>
      </c>
      <c r="F844">
        <v>0.10975319520296889</v>
      </c>
    </row>
    <row r="845" spans="2:8">
      <c r="B845">
        <v>3</v>
      </c>
      <c r="C845">
        <v>106</v>
      </c>
      <c r="D845">
        <v>3</v>
      </c>
      <c r="E845">
        <v>0</v>
      </c>
      <c r="F845">
        <v>-0.19350571215790466</v>
      </c>
      <c r="G845">
        <v>-0.27835963308670425</v>
      </c>
      <c r="H845">
        <v>-0.37753452967728018</v>
      </c>
    </row>
    <row r="846" spans="2:8">
      <c r="B846">
        <v>1</v>
      </c>
      <c r="C846">
        <v>102</v>
      </c>
      <c r="D846">
        <v>1</v>
      </c>
      <c r="E846">
        <v>0</v>
      </c>
      <c r="F846">
        <v>2.5457868584539051E-2</v>
      </c>
      <c r="G846">
        <v>-0.32397317369176454</v>
      </c>
      <c r="H846">
        <v>-0.45707871969075831</v>
      </c>
    </row>
    <row r="847" spans="2:8">
      <c r="B847">
        <v>3</v>
      </c>
      <c r="C847">
        <v>48.624650234102305</v>
      </c>
      <c r="D847">
        <v>2</v>
      </c>
      <c r="E847">
        <v>0</v>
      </c>
      <c r="F847">
        <v>-0.19113164957900328</v>
      </c>
      <c r="G847">
        <v>-0.14049944011891946</v>
      </c>
      <c r="H847">
        <v>-0.51375349765897693</v>
      </c>
    </row>
    <row r="848" spans="2:8">
      <c r="B848">
        <v>3</v>
      </c>
      <c r="C848">
        <v>104</v>
      </c>
      <c r="D848">
        <v>2</v>
      </c>
      <c r="E848">
        <v>0</v>
      </c>
      <c r="F848">
        <v>-8.9237756978288632E-2</v>
      </c>
      <c r="G848">
        <v>-0.43555438491859921</v>
      </c>
      <c r="H848">
        <v>-0.26084474671070235</v>
      </c>
    </row>
    <row r="849" spans="2:8">
      <c r="B849">
        <v>3</v>
      </c>
      <c r="C849">
        <v>106</v>
      </c>
      <c r="D849">
        <v>3</v>
      </c>
      <c r="E849">
        <v>0</v>
      </c>
      <c r="F849">
        <v>-0.14022055823478963</v>
      </c>
      <c r="G849">
        <v>3.6158825269585475E-3</v>
      </c>
      <c r="H849">
        <v>-5.3698052908944249E-2</v>
      </c>
    </row>
    <row r="850" spans="2:8">
      <c r="B850">
        <v>1</v>
      </c>
      <c r="C850">
        <v>102</v>
      </c>
      <c r="D850">
        <v>1</v>
      </c>
      <c r="E850">
        <v>0</v>
      </c>
      <c r="F850">
        <v>6.6560738670033313E-3</v>
      </c>
      <c r="G850">
        <v>0.14479253673054304</v>
      </c>
      <c r="H850">
        <v>0.2994022731569001</v>
      </c>
    </row>
    <row r="851" spans="2:8">
      <c r="B851">
        <v>3</v>
      </c>
      <c r="C851">
        <v>48.750144506159309</v>
      </c>
      <c r="D851">
        <v>2</v>
      </c>
      <c r="E851">
        <v>0</v>
      </c>
      <c r="F851">
        <v>-0.12679834724437997</v>
      </c>
      <c r="G851">
        <v>-0.29447604424468943</v>
      </c>
      <c r="H851">
        <v>-0.5124985549384069</v>
      </c>
    </row>
    <row r="852" spans="2:8">
      <c r="B852">
        <v>1</v>
      </c>
      <c r="C852">
        <v>102</v>
      </c>
      <c r="D852">
        <v>1</v>
      </c>
      <c r="E852">
        <v>0</v>
      </c>
      <c r="F852">
        <v>6.0090118750110451E-2</v>
      </c>
    </row>
    <row r="853" spans="2:8">
      <c r="B853">
        <v>3</v>
      </c>
      <c r="C853">
        <v>106</v>
      </c>
      <c r="D853">
        <v>3</v>
      </c>
      <c r="E853">
        <v>0</v>
      </c>
      <c r="F853">
        <v>-7.4516148451052283E-2</v>
      </c>
      <c r="G853">
        <v>-5.3850481272754505E-2</v>
      </c>
      <c r="H853">
        <v>-4.830618440330111E-2</v>
      </c>
    </row>
    <row r="854" spans="2:8">
      <c r="B854">
        <v>1</v>
      </c>
      <c r="C854">
        <v>102</v>
      </c>
      <c r="D854">
        <v>1</v>
      </c>
      <c r="E854">
        <v>0</v>
      </c>
      <c r="F854">
        <v>1.0146247933618603E-2</v>
      </c>
      <c r="G854">
        <v>-0.12224856111277504</v>
      </c>
      <c r="H854">
        <v>-0.15944746266689044</v>
      </c>
    </row>
    <row r="855" spans="2:8">
      <c r="B855">
        <v>1</v>
      </c>
      <c r="C855">
        <v>102</v>
      </c>
      <c r="D855">
        <v>1</v>
      </c>
      <c r="E855">
        <v>0</v>
      </c>
      <c r="F855">
        <v>6.3528523334513226E-2</v>
      </c>
      <c r="G855">
        <v>-0.16755914024527982</v>
      </c>
      <c r="H855">
        <v>-0.49210254346551524</v>
      </c>
    </row>
    <row r="856" spans="2:8">
      <c r="B856">
        <v>1</v>
      </c>
      <c r="C856">
        <v>102</v>
      </c>
      <c r="D856">
        <v>1</v>
      </c>
      <c r="E856">
        <v>0</v>
      </c>
      <c r="F856">
        <v>2.7290950877668928E-2</v>
      </c>
      <c r="G856">
        <v>3.078978514528067E-2</v>
      </c>
      <c r="H856">
        <v>-0.12441410086316948</v>
      </c>
    </row>
    <row r="857" spans="2:8">
      <c r="B857">
        <v>1</v>
      </c>
      <c r="C857">
        <v>102</v>
      </c>
      <c r="D857">
        <v>1</v>
      </c>
      <c r="E857">
        <v>0</v>
      </c>
      <c r="F857">
        <v>0.16762685976170838</v>
      </c>
      <c r="G857">
        <v>-0.36784960702804853</v>
      </c>
      <c r="H857">
        <v>-0.59099014768659841</v>
      </c>
    </row>
    <row r="858" spans="2:8">
      <c r="B858">
        <v>3</v>
      </c>
      <c r="C858">
        <v>54.018062843344111</v>
      </c>
      <c r="D858">
        <v>2</v>
      </c>
      <c r="E858">
        <v>0</v>
      </c>
      <c r="F858">
        <v>-0.16425822838550758</v>
      </c>
      <c r="G858">
        <v>-0.36172737182793652</v>
      </c>
      <c r="H858">
        <v>-0.45981937156655889</v>
      </c>
    </row>
    <row r="859" spans="2:8">
      <c r="B859">
        <v>3</v>
      </c>
      <c r="C859">
        <v>106</v>
      </c>
      <c r="D859">
        <v>3</v>
      </c>
      <c r="E859">
        <v>0</v>
      </c>
      <c r="F859">
        <v>-4.1791751999910899E-2</v>
      </c>
      <c r="G859">
        <v>-0.11794656543895447</v>
      </c>
      <c r="H859">
        <v>-0.2295954346385696</v>
      </c>
    </row>
    <row r="860" spans="2:8">
      <c r="B860">
        <v>1</v>
      </c>
      <c r="C860">
        <v>102</v>
      </c>
      <c r="D860">
        <v>1</v>
      </c>
      <c r="E860">
        <v>0</v>
      </c>
      <c r="F860">
        <v>1.9513190226190594E-2</v>
      </c>
      <c r="G860">
        <v>-4.9006219593276577E-2</v>
      </c>
      <c r="H860">
        <v>6.8076757051046238E-2</v>
      </c>
    </row>
    <row r="861" spans="2:8">
      <c r="B861">
        <v>1</v>
      </c>
      <c r="C861">
        <v>102</v>
      </c>
      <c r="D861">
        <v>1</v>
      </c>
      <c r="E861">
        <v>0</v>
      </c>
      <c r="F861">
        <v>3.2183016909887487E-2</v>
      </c>
      <c r="G861">
        <v>-0.18046908717208116</v>
      </c>
      <c r="H861">
        <v>-0.31847330351122782</v>
      </c>
    </row>
    <row r="862" spans="2:8">
      <c r="B862">
        <v>1</v>
      </c>
      <c r="C862">
        <v>102</v>
      </c>
      <c r="D862">
        <v>1</v>
      </c>
      <c r="E862">
        <v>0</v>
      </c>
      <c r="F862">
        <v>0.13829541855223387</v>
      </c>
      <c r="G862">
        <v>-0.22633284311446877</v>
      </c>
      <c r="H862">
        <v>-0.4928885062453468</v>
      </c>
    </row>
    <row r="863" spans="2:8">
      <c r="B863">
        <v>3</v>
      </c>
      <c r="C863">
        <v>106</v>
      </c>
      <c r="D863">
        <v>3</v>
      </c>
      <c r="E863">
        <v>0</v>
      </c>
      <c r="F863">
        <v>-0.11914910589136249</v>
      </c>
      <c r="G863">
        <v>-0.12267022542291756</v>
      </c>
      <c r="H863">
        <v>-0.32926950979240766</v>
      </c>
    </row>
    <row r="864" spans="2:8">
      <c r="B864">
        <v>3</v>
      </c>
      <c r="C864">
        <v>106</v>
      </c>
      <c r="D864">
        <v>3</v>
      </c>
      <c r="E864">
        <v>0</v>
      </c>
      <c r="F864">
        <v>-0.16633641201961621</v>
      </c>
      <c r="G864">
        <v>-4.4490745859777914E-2</v>
      </c>
      <c r="H864">
        <v>1.1476698635791859E-2</v>
      </c>
    </row>
    <row r="865" spans="2:8">
      <c r="B865">
        <v>1</v>
      </c>
      <c r="C865">
        <v>102</v>
      </c>
      <c r="D865">
        <v>1</v>
      </c>
      <c r="E865">
        <v>0</v>
      </c>
      <c r="F865">
        <v>8.4776150666000236E-2</v>
      </c>
      <c r="G865">
        <v>8.9375043359565795E-2</v>
      </c>
      <c r="H865">
        <v>4.6533896477011664E-2</v>
      </c>
    </row>
    <row r="866" spans="2:8">
      <c r="B866">
        <v>1</v>
      </c>
      <c r="C866">
        <v>102</v>
      </c>
      <c r="D866">
        <v>1</v>
      </c>
      <c r="E866">
        <v>0</v>
      </c>
      <c r="F866">
        <v>0.10705978058133717</v>
      </c>
      <c r="G866">
        <v>-0.74517764108301243</v>
      </c>
      <c r="H866">
        <v>-1.0085024006314915</v>
      </c>
    </row>
    <row r="867" spans="2:8">
      <c r="B867">
        <v>3</v>
      </c>
      <c r="C867">
        <v>106</v>
      </c>
      <c r="D867">
        <v>3</v>
      </c>
      <c r="E867">
        <v>0</v>
      </c>
      <c r="F867">
        <v>-6.5895961340603867E-2</v>
      </c>
      <c r="G867">
        <v>-0.16676573986940316</v>
      </c>
      <c r="H867">
        <v>-0.30510814730617181</v>
      </c>
    </row>
    <row r="868" spans="2:8">
      <c r="B868">
        <v>3</v>
      </c>
      <c r="C868">
        <v>106</v>
      </c>
      <c r="D868">
        <v>3</v>
      </c>
      <c r="E868">
        <v>0</v>
      </c>
      <c r="F868">
        <v>-1.6838195997967421E-2</v>
      </c>
      <c r="G868">
        <v>9.2914999205001431E-2</v>
      </c>
      <c r="H868">
        <v>-1.4172583927050092E-2</v>
      </c>
    </row>
    <row r="869" spans="2:8">
      <c r="B869">
        <v>1</v>
      </c>
      <c r="C869">
        <v>102</v>
      </c>
      <c r="D869">
        <v>1</v>
      </c>
      <c r="E869">
        <v>0</v>
      </c>
      <c r="F869">
        <v>0.22462261160777125</v>
      </c>
    </row>
    <row r="870" spans="2:8">
      <c r="B870">
        <v>3</v>
      </c>
      <c r="C870">
        <v>106</v>
      </c>
      <c r="D870">
        <v>3</v>
      </c>
      <c r="E870">
        <v>0</v>
      </c>
      <c r="F870">
        <v>-0.24504568680752861</v>
      </c>
      <c r="G870">
        <v>-0.21958781822298948</v>
      </c>
      <c r="H870">
        <v>-0.37515197632744435</v>
      </c>
    </row>
    <row r="871" spans="2:8">
      <c r="B871">
        <v>1</v>
      </c>
      <c r="C871">
        <v>102</v>
      </c>
      <c r="D871">
        <v>1</v>
      </c>
      <c r="E871">
        <v>0</v>
      </c>
      <c r="F871">
        <v>0.16351304762938013</v>
      </c>
      <c r="G871">
        <v>-0.29749961757931187</v>
      </c>
      <c r="H871">
        <v>5.4645635761746509E-3</v>
      </c>
    </row>
    <row r="872" spans="2:8">
      <c r="B872">
        <v>3</v>
      </c>
      <c r="C872">
        <v>51.998754338260831</v>
      </c>
      <c r="D872">
        <v>2</v>
      </c>
      <c r="E872">
        <v>0</v>
      </c>
      <c r="F872">
        <v>-4.4458071698792297E-2</v>
      </c>
      <c r="G872">
        <v>-0.13369582867708099</v>
      </c>
      <c r="H872">
        <v>-0.48001245661739167</v>
      </c>
    </row>
    <row r="873" spans="2:8">
      <c r="B873">
        <v>3</v>
      </c>
      <c r="C873">
        <v>106</v>
      </c>
      <c r="D873">
        <v>3</v>
      </c>
      <c r="E873">
        <v>0</v>
      </c>
      <c r="F873">
        <v>-8.1549683005303394E-2</v>
      </c>
      <c r="G873">
        <v>-0.22177024124009301</v>
      </c>
      <c r="H873">
        <v>-7.793380047834475E-2</v>
      </c>
    </row>
    <row r="874" spans="2:8">
      <c r="B874">
        <v>3</v>
      </c>
      <c r="C874">
        <v>106</v>
      </c>
      <c r="D874">
        <v>3</v>
      </c>
      <c r="E874">
        <v>0</v>
      </c>
      <c r="F874">
        <v>-7.7205729909595622E-2</v>
      </c>
      <c r="G874">
        <v>-7.0549656042592321E-2</v>
      </c>
      <c r="H874">
        <v>-8.9049554846826168E-2</v>
      </c>
    </row>
    <row r="875" spans="2:8">
      <c r="B875">
        <v>3</v>
      </c>
      <c r="C875">
        <v>106</v>
      </c>
      <c r="D875">
        <v>3</v>
      </c>
      <c r="E875">
        <v>0</v>
      </c>
      <c r="F875">
        <v>-9.0305207155975148E-2</v>
      </c>
      <c r="G875">
        <v>-0.21710355440035517</v>
      </c>
      <c r="H875">
        <v>-0.3847812514006646</v>
      </c>
    </row>
    <row r="876" spans="2:8">
      <c r="B876">
        <v>3</v>
      </c>
      <c r="C876">
        <v>106</v>
      </c>
      <c r="D876">
        <v>3</v>
      </c>
      <c r="E876">
        <v>0</v>
      </c>
      <c r="F876">
        <v>-5.1407080214830723E-2</v>
      </c>
      <c r="G876">
        <v>8.6830385352797985E-3</v>
      </c>
      <c r="H876">
        <v>-0.13655632048346103</v>
      </c>
    </row>
    <row r="877" spans="2:8">
      <c r="B877">
        <v>3</v>
      </c>
      <c r="C877">
        <v>106</v>
      </c>
      <c r="D877">
        <v>3</v>
      </c>
      <c r="E877">
        <v>0</v>
      </c>
      <c r="F877">
        <v>-0.17906499427738548</v>
      </c>
      <c r="G877">
        <v>-0.25358114272843785</v>
      </c>
      <c r="H877">
        <v>-0.23291547555013986</v>
      </c>
    </row>
    <row r="878" spans="2:8">
      <c r="B878">
        <v>3</v>
      </c>
      <c r="C878">
        <v>106</v>
      </c>
      <c r="D878">
        <v>3</v>
      </c>
      <c r="E878">
        <v>0</v>
      </c>
      <c r="F878">
        <v>-0.11625858253383797</v>
      </c>
      <c r="G878">
        <v>-0.10611233460021947</v>
      </c>
      <c r="H878">
        <v>-0.27940730968381866</v>
      </c>
    </row>
    <row r="879" spans="2:8">
      <c r="B879">
        <v>3</v>
      </c>
      <c r="C879">
        <v>106</v>
      </c>
      <c r="D879">
        <v>3</v>
      </c>
      <c r="E879">
        <v>0</v>
      </c>
      <c r="F879">
        <v>-5.8937216890277561E-2</v>
      </c>
      <c r="G879">
        <v>4.5913064442358702E-3</v>
      </c>
      <c r="H879">
        <v>-0.12583834405258765</v>
      </c>
    </row>
    <row r="880" spans="2:8">
      <c r="B880">
        <v>1</v>
      </c>
      <c r="C880">
        <v>102</v>
      </c>
      <c r="D880">
        <v>1</v>
      </c>
      <c r="E880">
        <v>0</v>
      </c>
      <c r="F880">
        <v>8.3279011683944457E-2</v>
      </c>
      <c r="G880">
        <v>-0.26255772603138783</v>
      </c>
      <c r="H880">
        <v>-0.46889347014584715</v>
      </c>
    </row>
    <row r="881" spans="2:8">
      <c r="B881">
        <v>3</v>
      </c>
      <c r="C881">
        <v>106</v>
      </c>
      <c r="D881">
        <v>3</v>
      </c>
      <c r="E881">
        <v>0</v>
      </c>
      <c r="F881">
        <v>-0.12860911121187169</v>
      </c>
      <c r="G881">
        <v>3.9017748549836632E-2</v>
      </c>
      <c r="H881">
        <v>-8.1043558234905038E-3</v>
      </c>
    </row>
    <row r="882" spans="2:8">
      <c r="B882">
        <v>3</v>
      </c>
      <c r="C882">
        <v>50.298618794033345</v>
      </c>
      <c r="D882">
        <v>2</v>
      </c>
      <c r="E882">
        <v>0</v>
      </c>
      <c r="F882">
        <v>-0.13528644023173</v>
      </c>
      <c r="G882">
        <v>-0.29954466861723761</v>
      </c>
      <c r="H882">
        <v>-0.49701381205966655</v>
      </c>
    </row>
    <row r="883" spans="2:8">
      <c r="B883">
        <v>3</v>
      </c>
      <c r="C883">
        <v>106</v>
      </c>
      <c r="D883">
        <v>3</v>
      </c>
      <c r="E883">
        <v>0</v>
      </c>
      <c r="F883">
        <v>-6.9119383509543648E-3</v>
      </c>
      <c r="G883">
        <v>-4.8703690350865199E-2</v>
      </c>
      <c r="H883">
        <v>-0.12485850378990875</v>
      </c>
    </row>
    <row r="884" spans="2:8">
      <c r="B884">
        <v>3</v>
      </c>
      <c r="C884">
        <v>106</v>
      </c>
      <c r="D884">
        <v>3</v>
      </c>
      <c r="E884">
        <v>0</v>
      </c>
      <c r="F884">
        <v>-8.591501002643108E-2</v>
      </c>
      <c r="G884">
        <v>-6.6401819800240458E-2</v>
      </c>
      <c r="H884">
        <v>0.11759461328447875</v>
      </c>
    </row>
    <row r="885" spans="2:8">
      <c r="B885">
        <v>3</v>
      </c>
      <c r="C885">
        <v>106</v>
      </c>
      <c r="D885">
        <v>3</v>
      </c>
      <c r="E885">
        <v>0</v>
      </c>
      <c r="F885">
        <v>-6.426874736580597E-2</v>
      </c>
      <c r="G885">
        <v>-3.208573045591856E-2</v>
      </c>
      <c r="H885">
        <v>0.15506025597634127</v>
      </c>
    </row>
    <row r="886" spans="2:8">
      <c r="B886">
        <v>3</v>
      </c>
      <c r="C886">
        <v>106</v>
      </c>
      <c r="D886">
        <v>3</v>
      </c>
      <c r="E886">
        <v>0</v>
      </c>
      <c r="F886">
        <v>-0.13160107669864785</v>
      </c>
      <c r="G886">
        <v>6.6943418535860442E-3</v>
      </c>
      <c r="H886">
        <v>-6.3505362478119762E-2</v>
      </c>
    </row>
    <row r="887" spans="2:8">
      <c r="B887">
        <v>1</v>
      </c>
      <c r="C887">
        <v>102</v>
      </c>
      <c r="D887">
        <v>1</v>
      </c>
      <c r="E887">
        <v>0</v>
      </c>
      <c r="F887">
        <v>7.7228629841801788E-2</v>
      </c>
      <c r="G887">
        <v>-0.14327410145586866</v>
      </c>
      <c r="H887">
        <v>-0.37440616820481198</v>
      </c>
    </row>
    <row r="888" spans="2:8">
      <c r="B888">
        <v>3</v>
      </c>
      <c r="C888">
        <v>106</v>
      </c>
      <c r="D888">
        <v>3</v>
      </c>
      <c r="E888">
        <v>0</v>
      </c>
      <c r="F888">
        <v>-0.11450683241663</v>
      </c>
      <c r="G888">
        <v>-0.28084324443624614</v>
      </c>
      <c r="H888">
        <v>-0.15899757827640787</v>
      </c>
    </row>
    <row r="889" spans="2:8">
      <c r="B889">
        <v>1</v>
      </c>
      <c r="C889">
        <v>102</v>
      </c>
      <c r="D889">
        <v>1</v>
      </c>
      <c r="E889">
        <v>0</v>
      </c>
      <c r="F889">
        <v>0.19763144350695613</v>
      </c>
      <c r="G889">
        <v>-0.32678340036047426</v>
      </c>
      <c r="H889">
        <v>-8.8481526390154663E-2</v>
      </c>
    </row>
    <row r="890" spans="2:8">
      <c r="B890">
        <v>1</v>
      </c>
      <c r="C890">
        <v>102</v>
      </c>
      <c r="D890">
        <v>1</v>
      </c>
      <c r="E890">
        <v>0</v>
      </c>
      <c r="F890">
        <v>0.15328537393123731</v>
      </c>
      <c r="G890">
        <v>-0.17483634787306412</v>
      </c>
      <c r="H890">
        <v>3.6888755130376497E-2</v>
      </c>
    </row>
    <row r="891" spans="2:8">
      <c r="B891">
        <v>3</v>
      </c>
      <c r="C891">
        <v>106</v>
      </c>
      <c r="D891">
        <v>3</v>
      </c>
      <c r="E891">
        <v>0</v>
      </c>
      <c r="F891">
        <v>-3.1548689914953194E-2</v>
      </c>
      <c r="G891">
        <v>-9.7444651255557166E-2</v>
      </c>
      <c r="H891">
        <v>-0.19831442978435632</v>
      </c>
    </row>
    <row r="892" spans="2:8">
      <c r="B892">
        <v>3</v>
      </c>
      <c r="C892">
        <v>106</v>
      </c>
      <c r="D892">
        <v>3</v>
      </c>
      <c r="E892">
        <v>0</v>
      </c>
      <c r="F892">
        <v>-0.12206148224114632</v>
      </c>
      <c r="G892">
        <v>-0.13889967823911378</v>
      </c>
      <c r="H892">
        <v>-2.91464830361449E-2</v>
      </c>
    </row>
    <row r="893" spans="2:8">
      <c r="B893">
        <v>1</v>
      </c>
      <c r="C893">
        <v>102</v>
      </c>
      <c r="D893">
        <v>1</v>
      </c>
      <c r="E893">
        <v>0</v>
      </c>
      <c r="F893">
        <v>4.4158362490926154E-2</v>
      </c>
      <c r="G893">
        <v>0.12323104259132887</v>
      </c>
      <c r="H893">
        <v>2.3620905940501927E-2</v>
      </c>
    </row>
    <row r="894" spans="2:8">
      <c r="B894">
        <v>3</v>
      </c>
      <c r="C894">
        <v>106</v>
      </c>
      <c r="D894">
        <v>3</v>
      </c>
      <c r="E894">
        <v>0</v>
      </c>
      <c r="F894">
        <v>-3.5862971668062398E-2</v>
      </c>
      <c r="G894">
        <v>-0.28090865847559093</v>
      </c>
      <c r="H894">
        <v>-0.25545078989105197</v>
      </c>
    </row>
    <row r="895" spans="2:8">
      <c r="B895">
        <v>3</v>
      </c>
      <c r="C895">
        <v>106</v>
      </c>
      <c r="D895">
        <v>3</v>
      </c>
      <c r="E895">
        <v>0</v>
      </c>
      <c r="F895">
        <v>-0.10818986399354458</v>
      </c>
      <c r="G895">
        <v>5.5323183635835556E-2</v>
      </c>
      <c r="H895">
        <v>-0.13580846594316762</v>
      </c>
    </row>
    <row r="896" spans="2:8">
      <c r="B896">
        <v>1</v>
      </c>
      <c r="C896">
        <v>102</v>
      </c>
      <c r="D896">
        <v>1</v>
      </c>
      <c r="E896">
        <v>0</v>
      </c>
      <c r="F896">
        <v>9.9004002806563876E-4</v>
      </c>
      <c r="G896">
        <v>-0.45189090190561454</v>
      </c>
      <c r="H896">
        <v>-5.4001701258839879E-2</v>
      </c>
    </row>
    <row r="897" spans="2:8">
      <c r="B897">
        <v>1</v>
      </c>
      <c r="C897">
        <v>102</v>
      </c>
      <c r="D897">
        <v>1</v>
      </c>
      <c r="E897">
        <v>0</v>
      </c>
      <c r="F897">
        <v>0.10015613885172871</v>
      </c>
      <c r="G897">
        <v>0.12508655864826301</v>
      </c>
      <c r="H897">
        <v>9.2481946063546663E-2</v>
      </c>
    </row>
    <row r="898" spans="2:8">
      <c r="B898">
        <v>3</v>
      </c>
      <c r="C898">
        <v>106</v>
      </c>
      <c r="D898">
        <v>3</v>
      </c>
      <c r="E898">
        <v>0</v>
      </c>
      <c r="F898">
        <v>-5.3029436003304481E-2</v>
      </c>
      <c r="G898">
        <v>-0.13023516591289991</v>
      </c>
      <c r="H898">
        <v>-0.12357909204589654</v>
      </c>
    </row>
    <row r="899" spans="2:8">
      <c r="B899">
        <v>3</v>
      </c>
      <c r="C899">
        <v>106</v>
      </c>
      <c r="D899">
        <v>3</v>
      </c>
      <c r="E899">
        <v>0</v>
      </c>
      <c r="F899">
        <v>-5.5691128773462391E-2</v>
      </c>
      <c r="G899">
        <v>-0.14599633592943764</v>
      </c>
      <c r="H899">
        <v>-0.27279468317381778</v>
      </c>
    </row>
    <row r="900" spans="2:8">
      <c r="B900">
        <v>3</v>
      </c>
      <c r="C900">
        <v>106</v>
      </c>
      <c r="D900">
        <v>3</v>
      </c>
      <c r="E900">
        <v>0</v>
      </c>
      <c r="F900">
        <v>-0.1621986971650469</v>
      </c>
      <c r="G900">
        <v>-0.21360577737987743</v>
      </c>
      <c r="H900">
        <v>-0.1535156586297671</v>
      </c>
    </row>
    <row r="901" spans="2:8">
      <c r="B901">
        <v>3</v>
      </c>
      <c r="C901">
        <v>58.552988508868594</v>
      </c>
      <c r="D901">
        <v>2</v>
      </c>
      <c r="E901">
        <v>0</v>
      </c>
      <c r="F901">
        <v>-0.16088897218287629</v>
      </c>
      <c r="G901">
        <v>-0.33995396646026149</v>
      </c>
      <c r="H901">
        <v>-0.41447011491131402</v>
      </c>
    </row>
    <row r="902" spans="2:8">
      <c r="B902">
        <v>1</v>
      </c>
      <c r="C902">
        <v>102</v>
      </c>
      <c r="D902">
        <v>1</v>
      </c>
      <c r="E902">
        <v>0</v>
      </c>
      <c r="F902">
        <v>6.7021463606221146E-2</v>
      </c>
      <c r="G902">
        <v>-0.24342850418160722</v>
      </c>
      <c r="H902">
        <v>-0.43668977875814963</v>
      </c>
    </row>
    <row r="903" spans="2:8">
      <c r="B903">
        <v>1</v>
      </c>
      <c r="C903">
        <v>102</v>
      </c>
      <c r="D903">
        <v>1</v>
      </c>
      <c r="E903">
        <v>0</v>
      </c>
      <c r="F903">
        <v>0.19225723203996023</v>
      </c>
      <c r="G903">
        <v>-4.1482803950920761E-3</v>
      </c>
      <c r="H903">
        <v>-0.15111444932078633</v>
      </c>
    </row>
    <row r="904" spans="2:8">
      <c r="B904">
        <v>3</v>
      </c>
      <c r="C904">
        <v>106</v>
      </c>
      <c r="D904">
        <v>3</v>
      </c>
      <c r="E904">
        <v>0</v>
      </c>
      <c r="F904">
        <v>-0.19992922768784666</v>
      </c>
      <c r="G904">
        <v>-0.11665021600390217</v>
      </c>
      <c r="H904">
        <v>-8.9359265126233281E-2</v>
      </c>
    </row>
    <row r="905" spans="2:8">
      <c r="B905">
        <v>1</v>
      </c>
      <c r="C905">
        <v>102</v>
      </c>
      <c r="D905">
        <v>1</v>
      </c>
      <c r="E905">
        <v>0</v>
      </c>
      <c r="F905">
        <v>4.028926851394863E-2</v>
      </c>
    </row>
    <row r="906" spans="2:8">
      <c r="B906">
        <v>3</v>
      </c>
      <c r="C906">
        <v>44.02516428646571</v>
      </c>
      <c r="D906">
        <v>2</v>
      </c>
      <c r="E906">
        <v>0</v>
      </c>
      <c r="F906">
        <v>-0.26020368851810521</v>
      </c>
      <c r="G906">
        <v>-0.39549012874983536</v>
      </c>
      <c r="H906">
        <v>-0.55974835713534288</v>
      </c>
    </row>
    <row r="907" spans="2:8">
      <c r="B907">
        <v>1</v>
      </c>
      <c r="C907">
        <v>102</v>
      </c>
      <c r="D907">
        <v>1</v>
      </c>
      <c r="E907">
        <v>0</v>
      </c>
      <c r="F907">
        <v>3.0321242483787012E-2</v>
      </c>
      <c r="G907">
        <v>0.15857119520959043</v>
      </c>
      <c r="H907">
        <v>6.7837075973144728E-2</v>
      </c>
    </row>
    <row r="908" spans="2:8">
      <c r="B908">
        <v>3</v>
      </c>
      <c r="C908">
        <v>106</v>
      </c>
      <c r="D908">
        <v>3</v>
      </c>
      <c r="E908">
        <v>0</v>
      </c>
      <c r="F908">
        <v>-0.21088144149850199</v>
      </c>
      <c r="G908">
        <v>-0.29679645152493306</v>
      </c>
      <c r="H908">
        <v>-0.27728326129874237</v>
      </c>
    </row>
    <row r="909" spans="2:8">
      <c r="B909">
        <v>3</v>
      </c>
      <c r="C909">
        <v>106</v>
      </c>
      <c r="D909">
        <v>3</v>
      </c>
      <c r="E909">
        <v>0</v>
      </c>
      <c r="F909">
        <v>-5.0367834405279414E-2</v>
      </c>
      <c r="G909">
        <v>-0.11463658177108539</v>
      </c>
      <c r="H909">
        <v>-8.2453564861197856E-2</v>
      </c>
    </row>
    <row r="910" spans="2:8">
      <c r="B910">
        <v>1</v>
      </c>
      <c r="C910">
        <v>102</v>
      </c>
      <c r="D910">
        <v>1</v>
      </c>
      <c r="E910">
        <v>0</v>
      </c>
      <c r="F910">
        <v>4.9355344661206203E-2</v>
      </c>
      <c r="G910">
        <v>-5.3303616162740805E-2</v>
      </c>
      <c r="H910">
        <v>-0.13798809908353132</v>
      </c>
    </row>
    <row r="911" spans="2:8">
      <c r="B911">
        <v>3</v>
      </c>
      <c r="C911">
        <v>106</v>
      </c>
      <c r="D911">
        <v>3</v>
      </c>
      <c r="E911">
        <v>0</v>
      </c>
      <c r="F911">
        <v>-4.8745172827974394E-2</v>
      </c>
      <c r="G911">
        <v>2.8483457013827478E-2</v>
      </c>
      <c r="H911">
        <v>-9.0665648877535171E-2</v>
      </c>
    </row>
    <row r="912" spans="2:8">
      <c r="B912">
        <v>3</v>
      </c>
      <c r="C912">
        <v>106</v>
      </c>
      <c r="D912">
        <v>3</v>
      </c>
      <c r="E912">
        <v>0</v>
      </c>
      <c r="F912">
        <v>-6.8568511642260868E-2</v>
      </c>
      <c r="G912">
        <v>-0.18307534405889075</v>
      </c>
      <c r="H912">
        <v>-0.34941175607850705</v>
      </c>
    </row>
    <row r="913" spans="2:8">
      <c r="B913">
        <v>3</v>
      </c>
      <c r="C913">
        <v>106</v>
      </c>
      <c r="D913">
        <v>3</v>
      </c>
      <c r="E913">
        <v>0</v>
      </c>
      <c r="F913">
        <v>-0.11738465446602601</v>
      </c>
      <c r="G913">
        <v>8.0246789040930119E-2</v>
      </c>
      <c r="H913">
        <v>0.16502293970693041</v>
      </c>
    </row>
    <row r="914" spans="2:8">
      <c r="B914">
        <v>1</v>
      </c>
      <c r="C914">
        <v>102</v>
      </c>
      <c r="D914">
        <v>1</v>
      </c>
      <c r="E914">
        <v>0</v>
      </c>
      <c r="F914">
        <v>2.9134593442941448E-2</v>
      </c>
      <c r="G914">
        <v>-6.6747032444743906E-2</v>
      </c>
      <c r="H914">
        <v>-1.3901781878576871E-2</v>
      </c>
    </row>
    <row r="915" spans="2:8">
      <c r="B915">
        <v>1</v>
      </c>
      <c r="C915">
        <v>102</v>
      </c>
      <c r="D915">
        <v>1</v>
      </c>
      <c r="E915">
        <v>0</v>
      </c>
      <c r="F915">
        <v>3.8141972856746364E-3</v>
      </c>
      <c r="G915">
        <v>7.105498418406489E-2</v>
      </c>
      <c r="H915">
        <v>-4.5023936239825202E-2</v>
      </c>
    </row>
    <row r="916" spans="2:8">
      <c r="B916">
        <v>3</v>
      </c>
      <c r="C916">
        <v>57.916684001442015</v>
      </c>
      <c r="D916">
        <v>1</v>
      </c>
      <c r="E916">
        <v>0</v>
      </c>
      <c r="F916">
        <v>-0.28193348174646593</v>
      </c>
      <c r="G916">
        <v>-0.40399496398761225</v>
      </c>
      <c r="H916">
        <v>-0.42083315998557985</v>
      </c>
    </row>
    <row r="917" spans="2:8">
      <c r="B917">
        <v>1</v>
      </c>
      <c r="C917">
        <v>102</v>
      </c>
      <c r="D917">
        <v>1</v>
      </c>
      <c r="E917">
        <v>0</v>
      </c>
      <c r="F917">
        <v>6.1426348584854656E-2</v>
      </c>
      <c r="G917">
        <v>-0.123137528340659</v>
      </c>
      <c r="H917">
        <v>-0.33911804048070715</v>
      </c>
    </row>
    <row r="918" spans="2:8">
      <c r="B918">
        <v>1</v>
      </c>
      <c r="C918">
        <v>102</v>
      </c>
      <c r="D918">
        <v>1</v>
      </c>
      <c r="E918">
        <v>0</v>
      </c>
      <c r="F918">
        <v>0.24626773144616942</v>
      </c>
    </row>
    <row r="919" spans="2:8">
      <c r="B919">
        <v>3</v>
      </c>
      <c r="C919">
        <v>106</v>
      </c>
      <c r="D919">
        <v>3</v>
      </c>
      <c r="E919">
        <v>0</v>
      </c>
      <c r="F919">
        <v>-0.27473991513256196</v>
      </c>
      <c r="G919">
        <v>-0.38292977912610626</v>
      </c>
      <c r="H919">
        <v>-0.21941673149672616</v>
      </c>
    </row>
    <row r="920" spans="2:8">
      <c r="B920">
        <v>3</v>
      </c>
      <c r="C920">
        <v>51.720751903194781</v>
      </c>
      <c r="D920">
        <v>0</v>
      </c>
      <c r="E920">
        <v>0</v>
      </c>
      <c r="F920">
        <v>-0.43932444929732545</v>
      </c>
      <c r="G920">
        <v>-0.43833440926925982</v>
      </c>
      <c r="H920">
        <v>-0.48279248096805222</v>
      </c>
    </row>
    <row r="921" spans="2:8">
      <c r="B921">
        <v>3</v>
      </c>
      <c r="C921">
        <v>106</v>
      </c>
      <c r="D921">
        <v>3</v>
      </c>
      <c r="E921">
        <v>0</v>
      </c>
      <c r="F921">
        <v>-0.16978800790921739</v>
      </c>
      <c r="G921">
        <v>-6.9631869057488693E-2</v>
      </c>
      <c r="H921">
        <v>-0.15118155206279216</v>
      </c>
    </row>
    <row r="922" spans="2:8">
      <c r="B922">
        <v>3</v>
      </c>
      <c r="C922">
        <v>106</v>
      </c>
      <c r="D922">
        <v>3</v>
      </c>
      <c r="E922">
        <v>0</v>
      </c>
      <c r="F922">
        <v>-2.8860704419486183E-2</v>
      </c>
      <c r="G922">
        <v>-8.1890140422790761E-2</v>
      </c>
      <c r="H922">
        <v>-0.15909587033238626</v>
      </c>
    </row>
    <row r="923" spans="2:8">
      <c r="B923">
        <v>3</v>
      </c>
      <c r="C923">
        <v>106</v>
      </c>
      <c r="D923">
        <v>3</v>
      </c>
      <c r="E923">
        <v>0</v>
      </c>
      <c r="F923">
        <v>-2.12181086272158E-2</v>
      </c>
      <c r="G923">
        <v>-7.6909237400678149E-2</v>
      </c>
      <c r="H923">
        <v>-0.1672144445566533</v>
      </c>
    </row>
    <row r="924" spans="2:8">
      <c r="B924">
        <v>1</v>
      </c>
      <c r="C924">
        <v>102</v>
      </c>
      <c r="D924">
        <v>1</v>
      </c>
      <c r="E924">
        <v>0</v>
      </c>
      <c r="F924">
        <v>0.32270951716587276</v>
      </c>
      <c r="G924">
        <v>-0.10466642205002015</v>
      </c>
      <c r="H924">
        <v>-6.2251453184591472E-2</v>
      </c>
    </row>
    <row r="925" spans="2:8">
      <c r="B925">
        <v>3</v>
      </c>
      <c r="C925">
        <v>27.368973487429443</v>
      </c>
      <c r="D925">
        <v>1</v>
      </c>
      <c r="E925">
        <v>0</v>
      </c>
      <c r="F925">
        <v>-0.38635629866544385</v>
      </c>
      <c r="G925">
        <v>-0.5472452708483202</v>
      </c>
      <c r="H925">
        <v>-0.72631026512570551</v>
      </c>
    </row>
    <row r="926" spans="2:8">
      <c r="B926">
        <v>3</v>
      </c>
      <c r="C926">
        <v>106</v>
      </c>
      <c r="D926">
        <v>3</v>
      </c>
      <c r="E926">
        <v>0</v>
      </c>
      <c r="F926">
        <v>-0.18730150346885091</v>
      </c>
      <c r="G926">
        <v>-0.12028003986262971</v>
      </c>
      <c r="H926">
        <v>-0.23653862239646761</v>
      </c>
    </row>
    <row r="927" spans="2:8">
      <c r="B927">
        <v>1</v>
      </c>
      <c r="C927">
        <v>102</v>
      </c>
      <c r="D927">
        <v>1</v>
      </c>
      <c r="E927">
        <v>0</v>
      </c>
      <c r="F927">
        <v>1.1270320855011054E-2</v>
      </c>
    </row>
    <row r="928" spans="2:8">
      <c r="B928">
        <v>3</v>
      </c>
      <c r="C928">
        <v>106</v>
      </c>
      <c r="D928">
        <v>3</v>
      </c>
      <c r="E928">
        <v>0</v>
      </c>
      <c r="F928">
        <v>-0.14142994310310245</v>
      </c>
      <c r="G928">
        <v>-0.34135917079094924</v>
      </c>
      <c r="H928">
        <v>-0.25808015910700477</v>
      </c>
    </row>
    <row r="929" spans="2:8">
      <c r="B929">
        <v>1</v>
      </c>
      <c r="C929">
        <v>102</v>
      </c>
      <c r="D929">
        <v>1</v>
      </c>
      <c r="E929">
        <v>0</v>
      </c>
      <c r="F929">
        <v>0.1170970393363318</v>
      </c>
    </row>
    <row r="930" spans="2:8">
      <c r="B930">
        <v>3</v>
      </c>
      <c r="C930">
        <v>39.096172752230338</v>
      </c>
      <c r="D930">
        <v>1</v>
      </c>
      <c r="E930">
        <v>0</v>
      </c>
      <c r="F930">
        <v>-0.21354814372786149</v>
      </c>
      <c r="G930">
        <v>-0.47375183224596656</v>
      </c>
      <c r="H930">
        <v>-0.6090382724776966</v>
      </c>
    </row>
    <row r="931" spans="2:8">
      <c r="B931">
        <v>1</v>
      </c>
      <c r="C931">
        <v>102</v>
      </c>
      <c r="D931">
        <v>1</v>
      </c>
      <c r="E931">
        <v>0</v>
      </c>
      <c r="F931">
        <v>7.2766972939340577E-2</v>
      </c>
      <c r="G931">
        <v>-0.3626246631270178</v>
      </c>
      <c r="H931">
        <v>-0.41873297109385288</v>
      </c>
    </row>
    <row r="932" spans="2:8">
      <c r="B932">
        <v>1</v>
      </c>
      <c r="C932">
        <v>102</v>
      </c>
      <c r="D932">
        <v>1</v>
      </c>
      <c r="E932">
        <v>0</v>
      </c>
      <c r="F932">
        <v>0.1570581570093888</v>
      </c>
      <c r="G932">
        <v>-0.29301962908245077</v>
      </c>
      <c r="H932">
        <v>-0.28902863946189422</v>
      </c>
    </row>
    <row r="933" spans="2:8">
      <c r="B933">
        <v>3</v>
      </c>
      <c r="C933">
        <v>106</v>
      </c>
      <c r="D933">
        <v>3</v>
      </c>
      <c r="E933">
        <v>0</v>
      </c>
      <c r="F933">
        <v>-0.1484036599939782</v>
      </c>
      <c r="G933">
        <v>-0.19877149439925759</v>
      </c>
      <c r="H933">
        <v>-0.26304024176506358</v>
      </c>
    </row>
    <row r="934" spans="2:8">
      <c r="B934">
        <v>3</v>
      </c>
      <c r="C934">
        <v>106</v>
      </c>
      <c r="D934">
        <v>3</v>
      </c>
      <c r="E934">
        <v>0</v>
      </c>
      <c r="F934">
        <v>-8.0494095288049378E-2</v>
      </c>
      <c r="G934">
        <v>-3.1138750626843192E-2</v>
      </c>
      <c r="H934">
        <v>-0.16273982732549094</v>
      </c>
    </row>
    <row r="935" spans="2:8">
      <c r="B935">
        <v>3</v>
      </c>
      <c r="C935">
        <v>106</v>
      </c>
      <c r="D935">
        <v>3</v>
      </c>
      <c r="E935">
        <v>0</v>
      </c>
      <c r="F935">
        <v>-0.17191888720450429</v>
      </c>
      <c r="G935">
        <v>-0.22066406003247865</v>
      </c>
      <c r="H935">
        <v>-0.14343543019067678</v>
      </c>
    </row>
    <row r="936" spans="2:8">
      <c r="B936">
        <v>1</v>
      </c>
      <c r="C936">
        <v>102</v>
      </c>
      <c r="D936">
        <v>1</v>
      </c>
      <c r="E936">
        <v>0</v>
      </c>
      <c r="F936">
        <v>0.10441089408077357</v>
      </c>
      <c r="G936">
        <v>-0.37781783720949164</v>
      </c>
      <c r="H936">
        <v>-0.56341007409366539</v>
      </c>
    </row>
    <row r="937" spans="2:8">
      <c r="B937">
        <v>1</v>
      </c>
      <c r="C937">
        <v>102</v>
      </c>
      <c r="D937">
        <v>1</v>
      </c>
      <c r="E937">
        <v>0</v>
      </c>
      <c r="F937">
        <v>5.2638905554251908E-2</v>
      </c>
      <c r="G937">
        <v>-0.38081302031589587</v>
      </c>
      <c r="H937">
        <v>-0.27974663938829214</v>
      </c>
    </row>
    <row r="938" spans="2:8">
      <c r="B938">
        <v>1</v>
      </c>
      <c r="C938">
        <v>102</v>
      </c>
      <c r="D938">
        <v>1</v>
      </c>
      <c r="E938">
        <v>0</v>
      </c>
      <c r="F938">
        <v>5.8019592695087191E-2</v>
      </c>
      <c r="G938">
        <v>-2.5124513625140615E-3</v>
      </c>
      <c r="H938">
        <v>4.7601912687626939E-3</v>
      </c>
    </row>
    <row r="939" spans="2:8">
      <c r="B939">
        <v>1</v>
      </c>
      <c r="C939">
        <v>102</v>
      </c>
      <c r="D939">
        <v>1</v>
      </c>
      <c r="E939">
        <v>0</v>
      </c>
      <c r="F939">
        <v>4.2216877344290887E-2</v>
      </c>
      <c r="G939">
        <v>0.21455523995832701</v>
      </c>
      <c r="H939">
        <v>0.13422972245523362</v>
      </c>
    </row>
    <row r="940" spans="2:8">
      <c r="B940">
        <v>1</v>
      </c>
      <c r="C940">
        <v>102</v>
      </c>
      <c r="D940">
        <v>1</v>
      </c>
      <c r="E940">
        <v>0</v>
      </c>
      <c r="F940">
        <v>9.3525960770555777E-2</v>
      </c>
    </row>
    <row r="941" spans="2:8">
      <c r="B941">
        <v>3</v>
      </c>
      <c r="C941">
        <v>106</v>
      </c>
      <c r="D941">
        <v>3</v>
      </c>
      <c r="E941">
        <v>0</v>
      </c>
      <c r="F941">
        <v>-4.0165044122653731E-2</v>
      </c>
      <c r="G941">
        <v>2.1261304462200835E-2</v>
      </c>
      <c r="H941">
        <v>6.5419666953127023E-2</v>
      </c>
    </row>
    <row r="942" spans="2:8">
      <c r="B942">
        <v>3</v>
      </c>
      <c r="C942">
        <v>106</v>
      </c>
      <c r="D942">
        <v>3</v>
      </c>
      <c r="E942">
        <v>0</v>
      </c>
      <c r="F942">
        <v>-9.4723905950573603E-2</v>
      </c>
      <c r="G942">
        <v>0.15154382549559606</v>
      </c>
      <c r="H942">
        <v>0.11568085382753367</v>
      </c>
    </row>
    <row r="943" spans="2:8">
      <c r="B943">
        <v>3</v>
      </c>
      <c r="C943">
        <v>57.853318138760244</v>
      </c>
      <c r="D943">
        <v>2</v>
      </c>
      <c r="E943">
        <v>0</v>
      </c>
      <c r="F943">
        <v>-3.8537039486291114E-2</v>
      </c>
      <c r="G943">
        <v>-0.31327695461885302</v>
      </c>
      <c r="H943">
        <v>-0.42146681861239754</v>
      </c>
    </row>
    <row r="944" spans="2:8">
      <c r="B944">
        <v>3</v>
      </c>
      <c r="C944">
        <v>31.992052800082931</v>
      </c>
      <c r="D944">
        <v>1</v>
      </c>
      <c r="E944">
        <v>0</v>
      </c>
      <c r="F944">
        <v>-0.24174506272991089</v>
      </c>
      <c r="G944">
        <v>-0.6810695120272362</v>
      </c>
      <c r="H944">
        <v>-0.68007947199917063</v>
      </c>
    </row>
    <row r="945" spans="2:8">
      <c r="B945">
        <v>1</v>
      </c>
      <c r="C945">
        <v>102</v>
      </c>
      <c r="D945">
        <v>1</v>
      </c>
      <c r="E945">
        <v>0</v>
      </c>
      <c r="F945">
        <v>2.0906806034991514E-3</v>
      </c>
      <c r="G945">
        <v>-8.9528088043541121E-2</v>
      </c>
      <c r="H945">
        <v>-0.20229914093933246</v>
      </c>
    </row>
    <row r="946" spans="2:8">
      <c r="B946">
        <v>3</v>
      </c>
      <c r="C946">
        <v>106</v>
      </c>
      <c r="D946">
        <v>3</v>
      </c>
      <c r="E946">
        <v>0</v>
      </c>
      <c r="F946">
        <v>-0.11276246000788578</v>
      </c>
      <c r="G946">
        <v>-0.14162316442737208</v>
      </c>
      <c r="H946">
        <v>-0.19465260043067656</v>
      </c>
    </row>
    <row r="947" spans="2:8">
      <c r="B947">
        <v>1</v>
      </c>
      <c r="C947">
        <v>102</v>
      </c>
      <c r="D947">
        <v>1</v>
      </c>
      <c r="E947">
        <v>0</v>
      </c>
      <c r="F947">
        <v>1.480079519584541E-2</v>
      </c>
    </row>
    <row r="948" spans="2:8">
      <c r="B948">
        <v>1</v>
      </c>
      <c r="C948">
        <v>102</v>
      </c>
      <c r="D948">
        <v>1</v>
      </c>
      <c r="E948">
        <v>0</v>
      </c>
      <c r="F948">
        <v>4.7374804912061107E-2</v>
      </c>
      <c r="G948">
        <v>-0.53572799213478739</v>
      </c>
      <c r="H948">
        <v>-0.6802883157651699</v>
      </c>
    </row>
    <row r="949" spans="2:8">
      <c r="B949">
        <v>1</v>
      </c>
      <c r="C949">
        <v>102</v>
      </c>
      <c r="D949">
        <v>1</v>
      </c>
      <c r="E949">
        <v>0</v>
      </c>
      <c r="F949">
        <v>7.4985390134382129E-2</v>
      </c>
      <c r="G949">
        <v>-9.932536851254474E-2</v>
      </c>
      <c r="H949">
        <v>-0.29900117823341349</v>
      </c>
    </row>
    <row r="950" spans="2:8">
      <c r="B950">
        <v>3</v>
      </c>
      <c r="C950">
        <v>106</v>
      </c>
      <c r="D950">
        <v>3</v>
      </c>
      <c r="E950">
        <v>0</v>
      </c>
      <c r="F950">
        <v>-7.2321255789095141E-4</v>
      </c>
      <c r="G950">
        <v>-0.18802471602674201</v>
      </c>
      <c r="H950">
        <v>-0.12100325242052089</v>
      </c>
    </row>
    <row r="951" spans="2:8">
      <c r="B951">
        <v>3</v>
      </c>
      <c r="C951">
        <v>106</v>
      </c>
      <c r="D951">
        <v>3</v>
      </c>
      <c r="E951">
        <v>0</v>
      </c>
      <c r="F951">
        <v>-0.25064506528265262</v>
      </c>
      <c r="G951">
        <v>-0.23937474442764159</v>
      </c>
      <c r="H951">
        <v>-4.7117512387681353E-2</v>
      </c>
    </row>
    <row r="952" spans="2:8">
      <c r="B952">
        <v>1</v>
      </c>
      <c r="C952">
        <v>102</v>
      </c>
      <c r="D952">
        <v>1</v>
      </c>
      <c r="E952">
        <v>0</v>
      </c>
      <c r="F952">
        <v>1.5938404019922896E-2</v>
      </c>
      <c r="G952">
        <v>-2.6357702631543054E-2</v>
      </c>
      <c r="H952">
        <v>3.7387136815566185E-2</v>
      </c>
    </row>
    <row r="953" spans="2:8">
      <c r="B953">
        <v>3</v>
      </c>
      <c r="C953">
        <v>106</v>
      </c>
      <c r="D953">
        <v>3</v>
      </c>
      <c r="E953">
        <v>0</v>
      </c>
      <c r="F953">
        <v>-0.15684519963921906</v>
      </c>
      <c r="G953">
        <v>-3.9748160302887289E-2</v>
      </c>
      <c r="H953">
        <v>5.411082110613637E-4</v>
      </c>
    </row>
    <row r="954" spans="2:8">
      <c r="B954">
        <v>1</v>
      </c>
      <c r="C954">
        <v>102</v>
      </c>
      <c r="D954">
        <v>1</v>
      </c>
      <c r="E954">
        <v>0</v>
      </c>
      <c r="F954">
        <v>0.21337335569147425</v>
      </c>
      <c r="G954">
        <v>-0.30370923120564269</v>
      </c>
      <c r="H954">
        <v>-0.45582047918094759</v>
      </c>
    </row>
    <row r="955" spans="2:8">
      <c r="B955">
        <v>1</v>
      </c>
      <c r="C955">
        <v>102</v>
      </c>
      <c r="D955">
        <v>1</v>
      </c>
      <c r="E955">
        <v>0</v>
      </c>
      <c r="F955">
        <v>0.12675323609331521</v>
      </c>
      <c r="G955">
        <v>0.28494980446853857</v>
      </c>
      <c r="H955">
        <v>0.27863738525686205</v>
      </c>
    </row>
    <row r="956" spans="2:8">
      <c r="B956">
        <v>1</v>
      </c>
      <c r="C956">
        <v>102</v>
      </c>
      <c r="D956">
        <v>1</v>
      </c>
      <c r="E956">
        <v>0</v>
      </c>
      <c r="F956">
        <v>8.3975267782286436E-3</v>
      </c>
    </row>
    <row r="957" spans="2:8">
      <c r="B957">
        <v>3</v>
      </c>
      <c r="C957">
        <v>47.543510340299399</v>
      </c>
      <c r="D957">
        <v>1</v>
      </c>
      <c r="E957">
        <v>0</v>
      </c>
      <c r="F957">
        <v>-0.32579340219774849</v>
      </c>
      <c r="G957">
        <v>-0.47419706219172669</v>
      </c>
      <c r="H957">
        <v>-0.524564896597006</v>
      </c>
    </row>
    <row r="958" spans="2:8">
      <c r="B958">
        <v>1</v>
      </c>
      <c r="C958">
        <v>102</v>
      </c>
      <c r="D958">
        <v>1</v>
      </c>
      <c r="E958">
        <v>0</v>
      </c>
      <c r="F958">
        <v>0.11893313301656214</v>
      </c>
      <c r="G958">
        <v>-0.30452285855054934</v>
      </c>
      <c r="H958">
        <v>-0.22274057503661873</v>
      </c>
    </row>
    <row r="959" spans="2:8">
      <c r="B959">
        <v>1</v>
      </c>
      <c r="C959">
        <v>102</v>
      </c>
      <c r="D959">
        <v>1</v>
      </c>
      <c r="E959">
        <v>0</v>
      </c>
      <c r="F959">
        <v>2.2472557073536365E-2</v>
      </c>
      <c r="G959">
        <v>-0.25575343406514828</v>
      </c>
      <c r="H959">
        <v>-0.19752275076268486</v>
      </c>
    </row>
    <row r="960" spans="2:8">
      <c r="B960">
        <v>1</v>
      </c>
      <c r="C960">
        <v>102</v>
      </c>
      <c r="D960">
        <v>1</v>
      </c>
      <c r="E960">
        <v>0</v>
      </c>
      <c r="F960">
        <v>0.20711361655058572</v>
      </c>
      <c r="G960">
        <v>-0.13948206437043661</v>
      </c>
      <c r="H960">
        <v>-0.2697248991028437</v>
      </c>
    </row>
    <row r="961" spans="2:8">
      <c r="B961">
        <v>3</v>
      </c>
      <c r="C961">
        <v>106</v>
      </c>
      <c r="D961">
        <v>3</v>
      </c>
      <c r="E961">
        <v>0</v>
      </c>
      <c r="F961">
        <v>-0.22081446418951159</v>
      </c>
      <c r="G961">
        <v>-0.16817555863525968</v>
      </c>
      <c r="H961">
        <v>-0.28556021310128576</v>
      </c>
    </row>
    <row r="962" spans="2:8">
      <c r="B962">
        <v>1</v>
      </c>
      <c r="C962">
        <v>102</v>
      </c>
      <c r="D962">
        <v>1</v>
      </c>
      <c r="E962">
        <v>0</v>
      </c>
      <c r="F962">
        <v>9.1079767713850027E-2</v>
      </c>
      <c r="G962">
        <v>-0.64190241615830435</v>
      </c>
      <c r="H962">
        <v>-0.92679747234178433</v>
      </c>
    </row>
    <row r="963" spans="2:8">
      <c r="B963">
        <v>1</v>
      </c>
      <c r="C963">
        <v>102</v>
      </c>
      <c r="D963">
        <v>1</v>
      </c>
      <c r="E963">
        <v>0</v>
      </c>
      <c r="F963">
        <v>8.7137836947371483E-2</v>
      </c>
      <c r="G963">
        <v>-0.25437118581717627</v>
      </c>
      <c r="H963">
        <v>-0.44942589864467292</v>
      </c>
    </row>
    <row r="964" spans="2:8">
      <c r="B964">
        <v>3</v>
      </c>
      <c r="C964">
        <v>106</v>
      </c>
      <c r="D964">
        <v>3</v>
      </c>
      <c r="E964">
        <v>0</v>
      </c>
      <c r="F964">
        <v>-2.7218971793912333E-2</v>
      </c>
      <c r="G964">
        <v>6.6306988976643347E-2</v>
      </c>
      <c r="H964">
        <v>-0.2156264927698226</v>
      </c>
    </row>
    <row r="965" spans="2:8">
      <c r="B965">
        <v>3</v>
      </c>
      <c r="C965">
        <v>106</v>
      </c>
      <c r="D965">
        <v>3</v>
      </c>
      <c r="E965">
        <v>0</v>
      </c>
      <c r="F965">
        <v>-0.13647598414822629</v>
      </c>
      <c r="G965">
        <v>-0.17664102827088002</v>
      </c>
      <c r="H965">
        <v>-0.1152146796860254</v>
      </c>
    </row>
    <row r="966" spans="2:8">
      <c r="B966">
        <v>1</v>
      </c>
      <c r="C966">
        <v>102</v>
      </c>
      <c r="D966">
        <v>1</v>
      </c>
      <c r="E966">
        <v>0</v>
      </c>
      <c r="F966">
        <v>9.6006820354372094E-2</v>
      </c>
      <c r="G966">
        <v>1.8206879582532941E-2</v>
      </c>
      <c r="H966">
        <v>-3.1994867372234573E-2</v>
      </c>
    </row>
    <row r="967" spans="2:8">
      <c r="B967">
        <v>3</v>
      </c>
      <c r="C967">
        <v>52.786443586060791</v>
      </c>
      <c r="D967">
        <v>2</v>
      </c>
      <c r="E967">
        <v>0</v>
      </c>
      <c r="F967">
        <v>-0.15885860952053893</v>
      </c>
      <c r="G967">
        <v>-0.1973956490068301</v>
      </c>
      <c r="H967">
        <v>-0.47213556413939206</v>
      </c>
    </row>
    <row r="968" spans="2:8">
      <c r="B968">
        <v>3</v>
      </c>
      <c r="C968">
        <v>26.427866230877541</v>
      </c>
      <c r="D968">
        <v>2</v>
      </c>
      <c r="E968">
        <v>0</v>
      </c>
      <c r="F968">
        <v>-5.4651825663988129E-2</v>
      </c>
      <c r="G968">
        <v>-0.29639688839389911</v>
      </c>
      <c r="H968">
        <v>-0.73572133769122461</v>
      </c>
    </row>
    <row r="969" spans="2:8">
      <c r="B969">
        <v>1</v>
      </c>
      <c r="C969">
        <v>102</v>
      </c>
      <c r="D969">
        <v>1</v>
      </c>
      <c r="E969">
        <v>0</v>
      </c>
      <c r="F969">
        <v>6.565095614037518E-2</v>
      </c>
      <c r="G969">
        <v>-0.33705591884823966</v>
      </c>
      <c r="H969">
        <v>-0.57559462352143631</v>
      </c>
    </row>
    <row r="970" spans="2:8">
      <c r="B970">
        <v>3</v>
      </c>
      <c r="C970">
        <v>106</v>
      </c>
      <c r="D970">
        <v>3</v>
      </c>
      <c r="E970">
        <v>0</v>
      </c>
      <c r="F970">
        <v>-8.7574503389362568E-2</v>
      </c>
      <c r="G970">
        <v>-0.20033696339724827</v>
      </c>
      <c r="H970">
        <v>-0.22919766781673431</v>
      </c>
    </row>
    <row r="971" spans="2:8">
      <c r="B971">
        <v>1</v>
      </c>
      <c r="C971">
        <v>102</v>
      </c>
      <c r="D971">
        <v>1</v>
      </c>
      <c r="E971">
        <v>0</v>
      </c>
      <c r="F971">
        <v>5.4662309970732209E-2</v>
      </c>
    </row>
    <row r="972" spans="2:8">
      <c r="B972">
        <v>3</v>
      </c>
      <c r="C972">
        <v>106</v>
      </c>
      <c r="D972">
        <v>3</v>
      </c>
      <c r="E972">
        <v>0</v>
      </c>
      <c r="F972">
        <v>-6.1601746524511322E-2</v>
      </c>
      <c r="G972">
        <v>-1.4226941612450134E-2</v>
      </c>
      <c r="H972">
        <v>0.30848257555342251</v>
      </c>
    </row>
    <row r="973" spans="2:8">
      <c r="B973">
        <v>3</v>
      </c>
      <c r="C973">
        <v>106</v>
      </c>
      <c r="D973">
        <v>3</v>
      </c>
      <c r="E973">
        <v>0</v>
      </c>
      <c r="F973">
        <v>-2.9910974460346868E-2</v>
      </c>
      <c r="G973">
        <v>4.5074415674035251E-2</v>
      </c>
      <c r="H973">
        <v>-0.34128188299140855</v>
      </c>
    </row>
    <row r="974" spans="2:8">
      <c r="B974">
        <v>3</v>
      </c>
      <c r="C974">
        <v>50.299869299347684</v>
      </c>
      <c r="D974">
        <v>2</v>
      </c>
      <c r="E974">
        <v>0</v>
      </c>
      <c r="F974">
        <v>-0.30897659097978125</v>
      </c>
      <c r="G974">
        <v>-0.30969980353767224</v>
      </c>
      <c r="H974">
        <v>-0.49700130700652317</v>
      </c>
    </row>
    <row r="975" spans="2:8">
      <c r="B975">
        <v>1</v>
      </c>
      <c r="C975">
        <v>102</v>
      </c>
      <c r="D975">
        <v>1</v>
      </c>
      <c r="E975">
        <v>0</v>
      </c>
      <c r="F975">
        <v>9.7614869174656796E-2</v>
      </c>
      <c r="G975">
        <v>-0.46649868404553668</v>
      </c>
      <c r="H975">
        <v>-0.31283236928664621</v>
      </c>
    </row>
    <row r="976" spans="2:8">
      <c r="B976">
        <v>1</v>
      </c>
      <c r="C976">
        <v>102</v>
      </c>
      <c r="D976">
        <v>1</v>
      </c>
      <c r="E976">
        <v>0</v>
      </c>
      <c r="F976">
        <v>6.9178827183220271E-2</v>
      </c>
      <c r="G976">
        <v>-0.47382614630404085</v>
      </c>
      <c r="H976">
        <v>-0.69719110388207606</v>
      </c>
    </row>
    <row r="977" spans="2:8">
      <c r="B977">
        <v>1</v>
      </c>
      <c r="C977">
        <v>102</v>
      </c>
      <c r="D977">
        <v>1</v>
      </c>
      <c r="E977">
        <v>0</v>
      </c>
      <c r="F977">
        <v>1.3031557455944502E-2</v>
      </c>
      <c r="G977">
        <v>-6.5575447108981666E-2</v>
      </c>
      <c r="H977">
        <v>-0.16754209994297906</v>
      </c>
    </row>
    <row r="978" spans="2:8">
      <c r="B978">
        <v>3</v>
      </c>
      <c r="C978">
        <v>58.537996627108647</v>
      </c>
      <c r="D978">
        <v>1</v>
      </c>
      <c r="E978">
        <v>0</v>
      </c>
      <c r="F978">
        <v>-0.41444524569252633</v>
      </c>
      <c r="G978">
        <v>-0.20107189000105222</v>
      </c>
      <c r="H978">
        <v>-0.41462003372891354</v>
      </c>
    </row>
    <row r="979" spans="2:8">
      <c r="B979">
        <v>1</v>
      </c>
      <c r="C979">
        <v>102</v>
      </c>
      <c r="D979">
        <v>1</v>
      </c>
      <c r="E979">
        <v>0</v>
      </c>
      <c r="F979">
        <v>0.21760750881741572</v>
      </c>
      <c r="G979">
        <v>-0.10954701972145114</v>
      </c>
      <c r="H979">
        <v>-0.2316172992452569</v>
      </c>
    </row>
    <row r="980" spans="2:8">
      <c r="B980">
        <v>3</v>
      </c>
      <c r="C980">
        <v>106</v>
      </c>
      <c r="D980">
        <v>3</v>
      </c>
      <c r="E980">
        <v>0</v>
      </c>
      <c r="F980">
        <v>-9.6405531892256799E-2</v>
      </c>
      <c r="G980">
        <v>-8.8008005114028204E-2</v>
      </c>
      <c r="H980">
        <v>6.9050151895360595E-2</v>
      </c>
    </row>
    <row r="981" spans="2:8">
      <c r="B981">
        <v>1</v>
      </c>
      <c r="C981">
        <v>102</v>
      </c>
      <c r="D981">
        <v>1</v>
      </c>
      <c r="E981">
        <v>0</v>
      </c>
      <c r="F981">
        <v>8.9530390531325471E-2</v>
      </c>
      <c r="G981">
        <v>-0.45149958190509626</v>
      </c>
      <c r="H981">
        <v>-0.51618655663636626</v>
      </c>
    </row>
    <row r="982" spans="2:8">
      <c r="B982">
        <v>3</v>
      </c>
      <c r="C982">
        <v>106</v>
      </c>
      <c r="D982">
        <v>3</v>
      </c>
      <c r="E982">
        <v>0</v>
      </c>
      <c r="F982">
        <v>-0.14332822917744792</v>
      </c>
      <c r="G982">
        <v>-2.4395096160885886E-2</v>
      </c>
      <c r="H982">
        <v>-0.10488919144893516</v>
      </c>
    </row>
    <row r="983" spans="2:8">
      <c r="B983">
        <v>3</v>
      </c>
      <c r="C983">
        <v>106</v>
      </c>
      <c r="D983">
        <v>3</v>
      </c>
      <c r="E983">
        <v>0</v>
      </c>
      <c r="F983">
        <v>-9.3649200100165933E-2</v>
      </c>
      <c r="G983">
        <v>-7.1176643026629585E-2</v>
      </c>
      <c r="H983">
        <v>-0.24309553023113392</v>
      </c>
    </row>
    <row r="984" spans="2:8">
      <c r="B984">
        <v>3</v>
      </c>
      <c r="C984">
        <v>106</v>
      </c>
      <c r="D984">
        <v>3</v>
      </c>
      <c r="E984">
        <v>0</v>
      </c>
      <c r="F984">
        <v>-0.12564345877740743</v>
      </c>
      <c r="G984">
        <v>8.1470157773178259E-2</v>
      </c>
      <c r="H984">
        <v>0.18588105185395187</v>
      </c>
    </row>
    <row r="985" spans="2:8">
      <c r="B985">
        <v>3</v>
      </c>
      <c r="C985">
        <v>106</v>
      </c>
      <c r="D985">
        <v>3</v>
      </c>
      <c r="E985">
        <v>0</v>
      </c>
      <c r="F985">
        <v>-3.3184192283219158E-2</v>
      </c>
      <c r="G985">
        <v>-0.25399865647273068</v>
      </c>
      <c r="H985">
        <v>-0.20135975091847888</v>
      </c>
    </row>
    <row r="986" spans="2:8">
      <c r="B986">
        <v>3</v>
      </c>
      <c r="C986">
        <v>106</v>
      </c>
      <c r="D986">
        <v>3</v>
      </c>
      <c r="E986">
        <v>0</v>
      </c>
      <c r="F986">
        <v>-7.9935127239500452E-3</v>
      </c>
      <c r="G986">
        <v>8.3086254989900007E-2</v>
      </c>
      <c r="H986">
        <v>0.14110584768498727</v>
      </c>
    </row>
    <row r="987" spans="2:8">
      <c r="B987">
        <v>1</v>
      </c>
      <c r="C987">
        <v>102</v>
      </c>
      <c r="D987">
        <v>1</v>
      </c>
      <c r="E987">
        <v>0</v>
      </c>
      <c r="F987">
        <v>0.14733295476377964</v>
      </c>
    </row>
    <row r="988" spans="2:8">
      <c r="B988">
        <v>3</v>
      </c>
      <c r="C988">
        <v>106</v>
      </c>
      <c r="D988">
        <v>3</v>
      </c>
      <c r="E988">
        <v>0</v>
      </c>
      <c r="F988">
        <v>-0.13343840391699641</v>
      </c>
      <c r="G988">
        <v>-0.1606573757109088</v>
      </c>
      <c r="H988">
        <v>-6.7131414940352976E-2</v>
      </c>
    </row>
    <row r="989" spans="2:8">
      <c r="B989">
        <v>3</v>
      </c>
      <c r="C989">
        <v>106</v>
      </c>
      <c r="D989">
        <v>3</v>
      </c>
      <c r="E989">
        <v>0</v>
      </c>
      <c r="F989">
        <v>-0.12092167582594121</v>
      </c>
      <c r="G989">
        <v>-0.25739765997416753</v>
      </c>
      <c r="H989">
        <v>-0.29756270409682134</v>
      </c>
    </row>
    <row r="990" spans="2:8">
      <c r="B990">
        <v>3</v>
      </c>
      <c r="C990">
        <v>106</v>
      </c>
      <c r="D990">
        <v>3</v>
      </c>
      <c r="E990">
        <v>0</v>
      </c>
      <c r="F990">
        <v>-4.6082170269602485E-2</v>
      </c>
      <c r="G990">
        <v>4.9924650084769533E-2</v>
      </c>
      <c r="H990">
        <v>-4.4799255865803994E-2</v>
      </c>
    </row>
    <row r="991" spans="2:8">
      <c r="B991">
        <v>1</v>
      </c>
      <c r="C991">
        <v>102</v>
      </c>
      <c r="D991">
        <v>1</v>
      </c>
      <c r="E991">
        <v>0</v>
      </c>
      <c r="F991">
        <v>3.4056356199820462E-2</v>
      </c>
      <c r="G991">
        <v>-0.22795748337538949</v>
      </c>
      <c r="H991">
        <v>-0.54871538605056902</v>
      </c>
    </row>
    <row r="992" spans="2:8">
      <c r="B992">
        <v>3</v>
      </c>
      <c r="C992">
        <v>106</v>
      </c>
      <c r="D992">
        <v>3</v>
      </c>
      <c r="E992">
        <v>0</v>
      </c>
      <c r="F992">
        <v>-9.6779882867262818E-3</v>
      </c>
      <c r="G992">
        <v>-6.4329813950714271E-2</v>
      </c>
      <c r="H992">
        <v>-0.30607487668062522</v>
      </c>
    </row>
    <row r="993" spans="2:8">
      <c r="B993">
        <v>3</v>
      </c>
      <c r="C993">
        <v>106</v>
      </c>
      <c r="D993">
        <v>3</v>
      </c>
      <c r="E993">
        <v>0</v>
      </c>
      <c r="F993">
        <v>-0.20404233470741026</v>
      </c>
      <c r="G993">
        <v>-0.13839137856703501</v>
      </c>
      <c r="H993">
        <v>-0.13630069796353578</v>
      </c>
    </row>
    <row r="994" spans="2:8">
      <c r="B994">
        <v>3</v>
      </c>
      <c r="C994">
        <v>106</v>
      </c>
      <c r="D994">
        <v>3</v>
      </c>
      <c r="E994">
        <v>0</v>
      </c>
      <c r="F994">
        <v>-6.3227087967963599E-2</v>
      </c>
      <c r="G994">
        <v>-0.15080159135732601</v>
      </c>
      <c r="H994">
        <v>-0.26356405136521177</v>
      </c>
    </row>
    <row r="995" spans="2:8">
      <c r="B995">
        <v>1</v>
      </c>
      <c r="C995">
        <v>102</v>
      </c>
      <c r="D995">
        <v>1</v>
      </c>
      <c r="E995">
        <v>0</v>
      </c>
      <c r="F995">
        <v>0.10273656663294894</v>
      </c>
      <c r="G995">
        <v>-0.22666338935278305</v>
      </c>
      <c r="H995">
        <v>-0.40716391858035295</v>
      </c>
    </row>
    <row r="996" spans="2:8">
      <c r="B996">
        <v>3</v>
      </c>
      <c r="C996">
        <v>106</v>
      </c>
      <c r="D996">
        <v>3</v>
      </c>
      <c r="E996">
        <v>0</v>
      </c>
      <c r="F996">
        <v>-0.17546132790586519</v>
      </c>
      <c r="G996">
        <v>-0.23706307443037644</v>
      </c>
      <c r="H996">
        <v>-0.18968826951831541</v>
      </c>
    </row>
    <row r="997" spans="2:8">
      <c r="B997">
        <v>3</v>
      </c>
      <c r="C997">
        <v>106</v>
      </c>
      <c r="D997">
        <v>3</v>
      </c>
      <c r="E997">
        <v>0</v>
      </c>
      <c r="F997">
        <v>-1.5771781451584151E-2</v>
      </c>
      <c r="G997">
        <v>-4.5682755911931008E-2</v>
      </c>
      <c r="H997">
        <v>2.9302634222451225E-2</v>
      </c>
    </row>
    <row r="998" spans="2:8">
      <c r="B998">
        <v>3</v>
      </c>
      <c r="C998">
        <v>106</v>
      </c>
      <c r="D998">
        <v>3</v>
      </c>
      <c r="E998">
        <v>0</v>
      </c>
      <c r="F998">
        <v>-5.9977323181716918E-2</v>
      </c>
      <c r="G998">
        <v>-0.36895391416149809</v>
      </c>
      <c r="H998">
        <v>-0.3696771267193889</v>
      </c>
    </row>
    <row r="999" spans="2:8">
      <c r="B999">
        <v>3</v>
      </c>
      <c r="C999">
        <v>106</v>
      </c>
      <c r="D999">
        <v>3</v>
      </c>
      <c r="E999">
        <v>0</v>
      </c>
      <c r="F999">
        <v>-0.14647047370233451</v>
      </c>
      <c r="G999">
        <v>-4.8855604527677718E-2</v>
      </c>
      <c r="H999">
        <v>-0.29950066981033036</v>
      </c>
    </row>
    <row r="1000" spans="2:8">
      <c r="B1000">
        <v>1</v>
      </c>
      <c r="C1000">
        <v>102</v>
      </c>
      <c r="D1000">
        <v>1</v>
      </c>
      <c r="E1000">
        <v>0</v>
      </c>
      <c r="F1000">
        <v>0.14164521098595301</v>
      </c>
    </row>
    <row r="1001" spans="2:8">
      <c r="B1001">
        <v>3</v>
      </c>
      <c r="C1001">
        <v>55.638008560125861</v>
      </c>
      <c r="D1001">
        <v>2</v>
      </c>
      <c r="E1001">
        <v>0</v>
      </c>
      <c r="F1001">
        <v>-0.29980627221546691</v>
      </c>
      <c r="G1001">
        <v>-0.28677471475952232</v>
      </c>
      <c r="H1001">
        <v>-0.44361991439874138</v>
      </c>
    </row>
    <row r="1002" spans="2:8">
      <c r="B1002">
        <v>3</v>
      </c>
      <c r="C1002">
        <v>23.387832730818829</v>
      </c>
      <c r="D1002">
        <v>1</v>
      </c>
      <c r="E1002">
        <v>0</v>
      </c>
      <c r="F1002">
        <v>-0.1668034432151555</v>
      </c>
      <c r="G1002">
        <v>-0.5267775294246807</v>
      </c>
      <c r="H1002">
        <v>-0.76612167269181175</v>
      </c>
    </row>
    <row r="1003" spans="2:8">
      <c r="B1003">
        <v>1</v>
      </c>
      <c r="C1003">
        <v>102</v>
      </c>
      <c r="D1003">
        <v>1</v>
      </c>
      <c r="E1003">
        <v>0</v>
      </c>
      <c r="F1003">
        <v>0.12307764709139536</v>
      </c>
    </row>
    <row r="1004" spans="2:8">
      <c r="B1004">
        <v>1</v>
      </c>
      <c r="C1004">
        <v>102</v>
      </c>
      <c r="D1004">
        <v>1</v>
      </c>
      <c r="E1004">
        <v>0</v>
      </c>
      <c r="F1004">
        <v>0.29696615885458172</v>
      </c>
      <c r="G1004">
        <v>-0.77807934386146171</v>
      </c>
      <c r="H1004">
        <v>-1.0909063463683188</v>
      </c>
    </row>
    <row r="1005" spans="2:8">
      <c r="B1005">
        <v>3</v>
      </c>
      <c r="C1005">
        <v>92.23681599999999</v>
      </c>
      <c r="D1005">
        <v>3</v>
      </c>
      <c r="E1005">
        <v>0</v>
      </c>
      <c r="F1005">
        <v>-0.11203704759653456</v>
      </c>
      <c r="G1005">
        <v>-4.2433892150046698E-2</v>
      </c>
      <c r="H1005">
        <v>-0.20855669708894781</v>
      </c>
    </row>
    <row r="1006" spans="2:8">
      <c r="B1006">
        <v>3</v>
      </c>
      <c r="C1006">
        <v>92.23681599999999</v>
      </c>
      <c r="D1006">
        <v>3</v>
      </c>
      <c r="E1006">
        <v>0</v>
      </c>
      <c r="F1006">
        <v>-4.8068295681991877E-2</v>
      </c>
      <c r="G1006">
        <v>-0.18418075240926182</v>
      </c>
      <c r="H1006">
        <v>-0.27933654521118573</v>
      </c>
    </row>
    <row r="1007" spans="2:8">
      <c r="B1007">
        <v>3</v>
      </c>
      <c r="C1007">
        <v>92.23681599999999</v>
      </c>
      <c r="D1007">
        <v>3</v>
      </c>
      <c r="E1007">
        <v>0</v>
      </c>
      <c r="F1007">
        <v>-0.13267082570058961</v>
      </c>
      <c r="G1007">
        <v>-8.6878317920994166E-2</v>
      </c>
      <c r="H1007">
        <v>-0.27861740149744835</v>
      </c>
    </row>
    <row r="1008" spans="2:8">
      <c r="B1008">
        <v>1</v>
      </c>
      <c r="C1008">
        <v>102</v>
      </c>
      <c r="D1008">
        <v>1</v>
      </c>
      <c r="E1008">
        <v>0</v>
      </c>
      <c r="F1008">
        <v>0.16938644793258398</v>
      </c>
      <c r="G1008">
        <v>1.5763358491710178E-2</v>
      </c>
      <c r="H1008">
        <v>3.2332888849654844E-2</v>
      </c>
    </row>
    <row r="1009" spans="2:8">
      <c r="B1009">
        <v>1</v>
      </c>
      <c r="C1009">
        <v>102</v>
      </c>
      <c r="D1009">
        <v>1</v>
      </c>
      <c r="E1009">
        <v>0</v>
      </c>
      <c r="F1009">
        <v>9.7052141288997584E-2</v>
      </c>
      <c r="G1009">
        <v>6.7352195916599245E-2</v>
      </c>
      <c r="H1009">
        <v>-2.4030383507305238E-2</v>
      </c>
    </row>
    <row r="1010" spans="2:8">
      <c r="B1010">
        <v>1</v>
      </c>
      <c r="C1010">
        <v>102</v>
      </c>
      <c r="D1010">
        <v>1</v>
      </c>
      <c r="E1010">
        <v>0</v>
      </c>
      <c r="F1010">
        <v>0.10382481423364154</v>
      </c>
      <c r="G1010">
        <v>-3.194827895270104E-2</v>
      </c>
      <c r="H1010">
        <v>0.14896448231180159</v>
      </c>
    </row>
    <row r="1011" spans="2:8">
      <c r="B1011">
        <v>1</v>
      </c>
      <c r="C1011">
        <v>102</v>
      </c>
      <c r="D1011">
        <v>1</v>
      </c>
      <c r="E1011">
        <v>0</v>
      </c>
      <c r="F1011">
        <v>8.4252472869798298E-2</v>
      </c>
      <c r="G1011">
        <v>-8.5729912898746513E-2</v>
      </c>
      <c r="H1011">
        <v>-0.19676366912431051</v>
      </c>
    </row>
    <row r="1012" spans="2:8">
      <c r="B1012">
        <v>1</v>
      </c>
      <c r="C1012">
        <v>102</v>
      </c>
      <c r="D1012">
        <v>1</v>
      </c>
      <c r="E1012">
        <v>0</v>
      </c>
      <c r="F1012">
        <v>0.15245777376558445</v>
      </c>
      <c r="G1012">
        <v>-0.15027785475545691</v>
      </c>
      <c r="H1012">
        <v>-0.16271735941336007</v>
      </c>
    </row>
    <row r="1013" spans="2:8">
      <c r="B1013">
        <v>3</v>
      </c>
      <c r="C1013">
        <v>59.359979357733067</v>
      </c>
      <c r="D1013">
        <v>2</v>
      </c>
      <c r="E1013">
        <v>0</v>
      </c>
      <c r="F1013">
        <v>-7.2895091420782359E-3</v>
      </c>
      <c r="G1013">
        <v>-0.35191446061580967</v>
      </c>
      <c r="H1013">
        <v>-0.40640020642266933</v>
      </c>
    </row>
    <row r="1014" spans="2:8">
      <c r="B1014">
        <v>1</v>
      </c>
      <c r="C1014">
        <v>102</v>
      </c>
      <c r="D1014">
        <v>1</v>
      </c>
      <c r="E1014">
        <v>0</v>
      </c>
      <c r="F1014">
        <v>5.1467152913133238E-2</v>
      </c>
      <c r="G1014">
        <v>-0.10733371616580099</v>
      </c>
      <c r="H1014">
        <v>-0.15284019418225303</v>
      </c>
    </row>
    <row r="1015" spans="2:8">
      <c r="B1015">
        <v>1</v>
      </c>
      <c r="C1015">
        <v>102</v>
      </c>
      <c r="D1015">
        <v>1</v>
      </c>
      <c r="E1015">
        <v>0</v>
      </c>
      <c r="F1015">
        <v>0.13638076347902259</v>
      </c>
      <c r="G1015">
        <v>-0.34335606763273852</v>
      </c>
      <c r="H1015">
        <v>-0.22808692503664493</v>
      </c>
    </row>
    <row r="1016" spans="2:8">
      <c r="B1016">
        <v>3</v>
      </c>
      <c r="C1016">
        <v>37.941188929614178</v>
      </c>
      <c r="D1016">
        <v>2</v>
      </c>
      <c r="E1016">
        <v>0</v>
      </c>
      <c r="F1016">
        <v>-0.18781867074358172</v>
      </c>
      <c r="G1016">
        <v>-0.34628236833715748</v>
      </c>
      <c r="H1016">
        <v>-0.62058811070385822</v>
      </c>
    </row>
    <row r="1017" spans="2:8">
      <c r="B1017">
        <v>1</v>
      </c>
      <c r="C1017">
        <v>102</v>
      </c>
      <c r="D1017">
        <v>1</v>
      </c>
      <c r="E1017">
        <v>0</v>
      </c>
      <c r="F1017">
        <v>3.7949081966444018E-2</v>
      </c>
    </row>
    <row r="1018" spans="2:8">
      <c r="B1018">
        <v>1</v>
      </c>
      <c r="C1018">
        <v>102</v>
      </c>
      <c r="D1018">
        <v>1</v>
      </c>
      <c r="E1018">
        <v>0</v>
      </c>
      <c r="F1018">
        <v>3.109635577528751E-2</v>
      </c>
      <c r="G1018">
        <v>-0.45605896813882557</v>
      </c>
      <c r="H1018">
        <v>-0.6686566247395469</v>
      </c>
    </row>
    <row r="1019" spans="2:8">
      <c r="B1019">
        <v>3</v>
      </c>
      <c r="C1019">
        <v>49.144817434150525</v>
      </c>
      <c r="D1019">
        <v>0</v>
      </c>
      <c r="E1019">
        <v>0</v>
      </c>
      <c r="F1019">
        <v>-0.42783152943564812</v>
      </c>
      <c r="G1019">
        <v>-0.5080037107462041</v>
      </c>
      <c r="H1019">
        <v>-0.50855182565849477</v>
      </c>
    </row>
    <row r="1020" spans="2:8">
      <c r="B1020">
        <v>1</v>
      </c>
      <c r="C1020">
        <v>102</v>
      </c>
      <c r="D1020">
        <v>1</v>
      </c>
      <c r="E1020">
        <v>0</v>
      </c>
      <c r="F1020">
        <v>9.0537701536336876E-2</v>
      </c>
    </row>
    <row r="1021" spans="2:8">
      <c r="B1021">
        <v>1</v>
      </c>
      <c r="C1021">
        <v>102</v>
      </c>
      <c r="D1021">
        <v>1</v>
      </c>
      <c r="E1021">
        <v>0</v>
      </c>
      <c r="F1021">
        <v>0.12607483083048776</v>
      </c>
    </row>
    <row r="1022" spans="2:8">
      <c r="B1022">
        <v>1</v>
      </c>
      <c r="C1022">
        <v>102</v>
      </c>
      <c r="D1022">
        <v>1</v>
      </c>
      <c r="E1022">
        <v>0</v>
      </c>
      <c r="F1022">
        <v>3.4841186722350384E-2</v>
      </c>
      <c r="G1022">
        <v>-0.5290778459155383</v>
      </c>
      <c r="H1022">
        <v>-0.77294407372209661</v>
      </c>
    </row>
    <row r="1023" spans="2:8">
      <c r="B1023">
        <v>3</v>
      </c>
      <c r="C1023">
        <v>51.222195693639797</v>
      </c>
      <c r="D1023">
        <v>2</v>
      </c>
      <c r="E1023">
        <v>0</v>
      </c>
      <c r="F1023">
        <v>-0.19404048938799415</v>
      </c>
      <c r="G1023">
        <v>-0.20170413312287819</v>
      </c>
      <c r="H1023">
        <v>-0.48777804306360201</v>
      </c>
    </row>
    <row r="1024" spans="2:8">
      <c r="B1024">
        <v>1</v>
      </c>
      <c r="C1024">
        <v>102</v>
      </c>
      <c r="D1024">
        <v>1</v>
      </c>
      <c r="E1024">
        <v>0</v>
      </c>
      <c r="F1024">
        <v>5.3480745129933796E-2</v>
      </c>
      <c r="G1024">
        <v>-0.12452160264059782</v>
      </c>
      <c r="H1024">
        <v>-0.17859824089523019</v>
      </c>
    </row>
    <row r="1025" spans="2:8">
      <c r="B1025">
        <v>3</v>
      </c>
      <c r="C1025">
        <v>92.23681599999999</v>
      </c>
      <c r="D1025">
        <v>3</v>
      </c>
      <c r="E1025">
        <v>0</v>
      </c>
      <c r="F1025">
        <v>-0.11954450699719815</v>
      </c>
      <c r="G1025">
        <v>-5.9047419353827471E-2</v>
      </c>
      <c r="H1025">
        <v>-0.23428596180080224</v>
      </c>
    </row>
    <row r="1026" spans="2:8">
      <c r="B1026">
        <v>3</v>
      </c>
      <c r="C1026">
        <v>92.23681599999999</v>
      </c>
      <c r="D1026">
        <v>2</v>
      </c>
      <c r="E1026">
        <v>0</v>
      </c>
      <c r="F1026">
        <v>-0.13756257223248894</v>
      </c>
      <c r="G1026">
        <v>-0.40733024287149566</v>
      </c>
      <c r="H1026">
        <v>-0.23927399017069223</v>
      </c>
    </row>
    <row r="1027" spans="2:8">
      <c r="B1027">
        <v>1</v>
      </c>
      <c r="C1027">
        <v>102</v>
      </c>
      <c r="D1027">
        <v>1</v>
      </c>
      <c r="E1027">
        <v>0</v>
      </c>
      <c r="F1027">
        <v>0.20967567078920094</v>
      </c>
      <c r="G1027">
        <v>6.2757138177671437E-2</v>
      </c>
      <c r="H1027">
        <v>1.1342049504520038E-2</v>
      </c>
    </row>
    <row r="1028" spans="2:8">
      <c r="B1028">
        <v>1</v>
      </c>
      <c r="C1028">
        <v>102</v>
      </c>
      <c r="D1028">
        <v>1</v>
      </c>
      <c r="E1028">
        <v>0</v>
      </c>
      <c r="F1028">
        <v>4.4972318252765722E-2</v>
      </c>
      <c r="G1028">
        <v>-0.30666821168904373</v>
      </c>
      <c r="H1028">
        <v>-0.38822603417482127</v>
      </c>
    </row>
    <row r="1029" spans="2:8">
      <c r="B1029">
        <v>3</v>
      </c>
      <c r="C1029">
        <v>29.25713463897668</v>
      </c>
      <c r="D1029">
        <v>2</v>
      </c>
      <c r="E1029">
        <v>0</v>
      </c>
      <c r="F1029">
        <v>-0.23720117508125005</v>
      </c>
      <c r="G1029">
        <v>-0.27111258804424426</v>
      </c>
      <c r="H1029">
        <v>-0.70742865361023322</v>
      </c>
    </row>
    <row r="1030" spans="2:8">
      <c r="B1030">
        <v>1</v>
      </c>
      <c r="C1030">
        <v>102</v>
      </c>
      <c r="D1030">
        <v>1</v>
      </c>
      <c r="E1030">
        <v>0</v>
      </c>
      <c r="F1030">
        <v>0.19446482458452369</v>
      </c>
    </row>
    <row r="1031" spans="2:8">
      <c r="B1031">
        <v>1</v>
      </c>
      <c r="C1031">
        <v>102</v>
      </c>
      <c r="D1031">
        <v>1</v>
      </c>
      <c r="E1031">
        <v>0</v>
      </c>
      <c r="F1031">
        <v>6.0959269848467383E-2</v>
      </c>
    </row>
    <row r="1032" spans="2:8">
      <c r="B1032">
        <v>3</v>
      </c>
      <c r="C1032">
        <v>53.228375277871642</v>
      </c>
      <c r="D1032">
        <v>1</v>
      </c>
      <c r="E1032">
        <v>0</v>
      </c>
      <c r="F1032">
        <v>-0.35773167918821885</v>
      </c>
      <c r="G1032">
        <v>-0.63164384758355607</v>
      </c>
      <c r="H1032">
        <v>-0.46771624722128358</v>
      </c>
    </row>
    <row r="1033" spans="2:8">
      <c r="B1033">
        <v>3</v>
      </c>
      <c r="C1033">
        <v>58.826105853389961</v>
      </c>
      <c r="D1033">
        <v>2</v>
      </c>
      <c r="E1033">
        <v>0</v>
      </c>
      <c r="F1033">
        <v>-0.17239796544266026</v>
      </c>
      <c r="G1033">
        <v>-0.16365916432993138</v>
      </c>
      <c r="H1033">
        <v>-0.41173894146610035</v>
      </c>
    </row>
    <row r="1034" spans="2:8">
      <c r="B1034">
        <v>1</v>
      </c>
      <c r="C1034">
        <v>102</v>
      </c>
      <c r="D1034">
        <v>1</v>
      </c>
      <c r="E1034">
        <v>0</v>
      </c>
      <c r="F1034">
        <v>0.14881986330922833</v>
      </c>
      <c r="G1034">
        <v>-0.13238977733103766</v>
      </c>
      <c r="H1034">
        <v>-0.1359192923580487</v>
      </c>
    </row>
    <row r="1035" spans="2:8">
      <c r="B1035">
        <v>1</v>
      </c>
      <c r="C1035">
        <v>102</v>
      </c>
      <c r="D1035">
        <v>1</v>
      </c>
      <c r="E1035">
        <v>0</v>
      </c>
      <c r="F1035">
        <v>0.14306779993658389</v>
      </c>
      <c r="G1035">
        <v>-0.43095863831419984</v>
      </c>
      <c r="H1035">
        <v>-0.34297618879070824</v>
      </c>
    </row>
    <row r="1036" spans="2:8">
      <c r="B1036">
        <v>1</v>
      </c>
      <c r="C1036">
        <v>102</v>
      </c>
      <c r="D1036">
        <v>1</v>
      </c>
      <c r="E1036">
        <v>0</v>
      </c>
      <c r="F1036">
        <v>6.2678784119032755E-3</v>
      </c>
    </row>
    <row r="1037" spans="2:8">
      <c r="B1037">
        <v>1</v>
      </c>
      <c r="C1037">
        <v>102</v>
      </c>
      <c r="D1037">
        <v>1</v>
      </c>
      <c r="E1037">
        <v>0</v>
      </c>
      <c r="F1037">
        <v>7.3815184977648685E-3</v>
      </c>
      <c r="G1037">
        <v>-0.16248327338767307</v>
      </c>
      <c r="H1037">
        <v>-0.31019999095689721</v>
      </c>
    </row>
    <row r="1038" spans="2:8">
      <c r="B1038">
        <v>3</v>
      </c>
      <c r="C1038">
        <v>106</v>
      </c>
      <c r="D1038">
        <v>3</v>
      </c>
      <c r="E1038">
        <v>0</v>
      </c>
      <c r="F1038">
        <v>-0.20552810829299092</v>
      </c>
      <c r="G1038">
        <v>2.0529983793518565E-2</v>
      </c>
      <c r="H1038">
        <v>9.5743842673938928E-2</v>
      </c>
    </row>
    <row r="1039" spans="2:8">
      <c r="B1039">
        <v>3</v>
      </c>
      <c r="C1039">
        <v>92.23681599999999</v>
      </c>
      <c r="D1039">
        <v>3</v>
      </c>
      <c r="E1039">
        <v>0</v>
      </c>
      <c r="F1039">
        <v>-0.12131893116468523</v>
      </c>
      <c r="G1039">
        <v>-6.2896041326172408E-2</v>
      </c>
      <c r="H1039">
        <v>-0.24032131052728958</v>
      </c>
    </row>
    <row r="1040" spans="2:8">
      <c r="B1040">
        <v>3</v>
      </c>
      <c r="C1040">
        <v>92.23681599999999</v>
      </c>
      <c r="D1040">
        <v>3</v>
      </c>
      <c r="E1040">
        <v>0</v>
      </c>
      <c r="F1040">
        <v>-2.218173673219553E-2</v>
      </c>
      <c r="G1040">
        <v>-0.13003491655760083</v>
      </c>
      <c r="H1040">
        <v>-0.19902263519768321</v>
      </c>
    </row>
    <row r="1041" spans="2:8">
      <c r="B1041">
        <v>3</v>
      </c>
      <c r="C1041">
        <v>92.23681599999999</v>
      </c>
      <c r="D1041">
        <v>3</v>
      </c>
      <c r="E1041">
        <v>0</v>
      </c>
      <c r="F1041">
        <v>-0.24365920687614659</v>
      </c>
      <c r="G1041">
        <v>-0.28083406671629146</v>
      </c>
      <c r="H1041">
        <v>-0.23325723499266385</v>
      </c>
    </row>
    <row r="1042" spans="2:8">
      <c r="B1042">
        <v>3</v>
      </c>
      <c r="C1042">
        <v>92.23681599999999</v>
      </c>
      <c r="D1042">
        <v>3</v>
      </c>
      <c r="E1042">
        <v>0</v>
      </c>
      <c r="F1042">
        <v>-5.501440225509216E-2</v>
      </c>
      <c r="G1042">
        <v>-8.7879038838677856E-2</v>
      </c>
      <c r="H1042">
        <v>-0.19027481715827274</v>
      </c>
    </row>
    <row r="1043" spans="2:8">
      <c r="B1043">
        <v>3</v>
      </c>
      <c r="C1043">
        <v>92.23681599999999</v>
      </c>
      <c r="D1043">
        <v>3</v>
      </c>
      <c r="E1043">
        <v>0</v>
      </c>
      <c r="F1043">
        <v>-0.26241621848131325</v>
      </c>
      <c r="G1043">
        <v>-0.30818095555441566</v>
      </c>
      <c r="H1043">
        <v>-0.27083068827831153</v>
      </c>
    </row>
    <row r="1044" spans="2:8">
      <c r="B1044">
        <v>3</v>
      </c>
      <c r="C1044">
        <v>92.23681599999999</v>
      </c>
      <c r="D1044">
        <v>3</v>
      </c>
      <c r="E1044">
        <v>0</v>
      </c>
      <c r="F1044">
        <v>-2.9227233075747306E-2</v>
      </c>
      <c r="G1044">
        <v>-3.5808668748789713E-2</v>
      </c>
      <c r="H1044">
        <v>-0.1117956325664498</v>
      </c>
    </row>
    <row r="1045" spans="2:8">
      <c r="B1045">
        <v>1</v>
      </c>
      <c r="C1045">
        <v>102</v>
      </c>
      <c r="D1045">
        <v>1</v>
      </c>
      <c r="E1045">
        <v>0</v>
      </c>
      <c r="F1045">
        <v>0.15484487749033801</v>
      </c>
      <c r="G1045">
        <v>-0.27934547862962911</v>
      </c>
      <c r="H1045">
        <v>-0.48761629714378829</v>
      </c>
    </row>
    <row r="1046" spans="2:8">
      <c r="B1046">
        <v>3</v>
      </c>
      <c r="C1046">
        <v>19.294217811078227</v>
      </c>
      <c r="D1046">
        <v>1</v>
      </c>
      <c r="E1046">
        <v>0</v>
      </c>
      <c r="F1046">
        <v>-0.22910943759959251</v>
      </c>
      <c r="G1046">
        <v>-0.42214862090066108</v>
      </c>
      <c r="H1046">
        <v>-0.80705782188921771</v>
      </c>
    </row>
    <row r="1047" spans="2:8">
      <c r="B1047">
        <v>1</v>
      </c>
      <c r="C1047">
        <v>102</v>
      </c>
      <c r="D1047">
        <v>1</v>
      </c>
      <c r="E1047">
        <v>0</v>
      </c>
      <c r="F1047">
        <v>0.15866668357991176</v>
      </c>
      <c r="G1047">
        <v>-0.30653796691020058</v>
      </c>
      <c r="H1047">
        <v>-0.52918209245116687</v>
      </c>
    </row>
    <row r="1048" spans="2:8">
      <c r="B1048">
        <v>1</v>
      </c>
      <c r="C1048">
        <v>102</v>
      </c>
      <c r="D1048">
        <v>1</v>
      </c>
      <c r="E1048">
        <v>0</v>
      </c>
      <c r="F1048">
        <v>0.11829000556569988</v>
      </c>
      <c r="G1048">
        <v>9.0479964691033088E-2</v>
      </c>
      <c r="H1048">
        <v>-7.5117507902713404E-2</v>
      </c>
    </row>
    <row r="1049" spans="2:8">
      <c r="B1049">
        <v>1</v>
      </c>
      <c r="C1049">
        <v>102</v>
      </c>
      <c r="D1049">
        <v>1</v>
      </c>
      <c r="E1049">
        <v>0</v>
      </c>
      <c r="F1049">
        <v>5.0185997949578676E-2</v>
      </c>
    </row>
    <row r="1050" spans="2:8">
      <c r="B1050">
        <v>3</v>
      </c>
      <c r="C1050">
        <v>92.23681599999999</v>
      </c>
      <c r="D1050">
        <v>2</v>
      </c>
      <c r="E1050">
        <v>0</v>
      </c>
      <c r="F1050">
        <v>-0.26489459880443594</v>
      </c>
      <c r="G1050">
        <v>-0.48515925567303936</v>
      </c>
      <c r="H1050">
        <v>-0.22089048953698032</v>
      </c>
    </row>
    <row r="1051" spans="2:8">
      <c r="B1051">
        <v>3</v>
      </c>
      <c r="C1051">
        <v>92.23681599999999</v>
      </c>
      <c r="D1051">
        <v>2</v>
      </c>
      <c r="E1051">
        <v>0</v>
      </c>
      <c r="F1051">
        <v>-0.34274609451833932</v>
      </c>
      <c r="G1051">
        <v>-0.41262678223421001</v>
      </c>
      <c r="H1051">
        <v>-0.24184674831482936</v>
      </c>
    </row>
    <row r="1052" spans="2:8">
      <c r="B1052">
        <v>3</v>
      </c>
      <c r="C1052">
        <v>92.23681599999999</v>
      </c>
      <c r="D1052">
        <v>3</v>
      </c>
      <c r="E1052">
        <v>0</v>
      </c>
      <c r="F1052">
        <v>-6.3590445274495103E-2</v>
      </c>
      <c r="G1052">
        <v>-0.10506428905243526</v>
      </c>
      <c r="H1052">
        <v>-0.21653546360925724</v>
      </c>
    </row>
    <row r="1053" spans="2:8">
      <c r="B1053">
        <v>3</v>
      </c>
      <c r="C1053">
        <v>92.23681599999999</v>
      </c>
      <c r="D1053">
        <v>3</v>
      </c>
      <c r="E1053">
        <v>0</v>
      </c>
      <c r="F1053">
        <v>-0.21243054343985196</v>
      </c>
      <c r="G1053">
        <v>-0.23226462081161675</v>
      </c>
      <c r="H1053">
        <v>-0.16286370970018249</v>
      </c>
    </row>
    <row r="1054" spans="2:8">
      <c r="B1054">
        <v>3</v>
      </c>
      <c r="C1054">
        <v>92.23681599999999</v>
      </c>
      <c r="D1054">
        <v>3</v>
      </c>
      <c r="E1054">
        <v>0</v>
      </c>
      <c r="F1054">
        <v>-0.10747184696855927</v>
      </c>
      <c r="G1054">
        <v>-0.19200221563050451</v>
      </c>
      <c r="H1054">
        <v>-0.35268255615288563</v>
      </c>
    </row>
    <row r="1055" spans="2:8">
      <c r="B1055">
        <v>3</v>
      </c>
      <c r="C1055">
        <v>92.23681599999999</v>
      </c>
      <c r="D1055">
        <v>3</v>
      </c>
      <c r="E1055">
        <v>0</v>
      </c>
      <c r="F1055">
        <v>-6.0924143304441757E-2</v>
      </c>
      <c r="G1055">
        <v>9.3089749635367203E-2</v>
      </c>
      <c r="H1055">
        <v>-1.5543276758655272E-2</v>
      </c>
    </row>
    <row r="1056" spans="2:8">
      <c r="B1056">
        <v>3</v>
      </c>
      <c r="C1056">
        <v>57.613401337079836</v>
      </c>
      <c r="D1056">
        <v>2</v>
      </c>
      <c r="E1056">
        <v>0</v>
      </c>
      <c r="F1056">
        <v>-9.1278101169684073E-2</v>
      </c>
      <c r="G1056">
        <v>-0.28194920606876972</v>
      </c>
      <c r="H1056">
        <v>-0.42386598662920166</v>
      </c>
    </row>
    <row r="1057" spans="2:8">
      <c r="B1057">
        <v>3</v>
      </c>
      <c r="C1057">
        <v>92.23681599999999</v>
      </c>
      <c r="D1057">
        <v>3</v>
      </c>
      <c r="E1057">
        <v>0</v>
      </c>
      <c r="F1057">
        <v>-9.3986660982688262E-6</v>
      </c>
      <c r="G1057">
        <v>-0.31380857276639013</v>
      </c>
      <c r="H1057">
        <v>-0.36134800783604543</v>
      </c>
    </row>
    <row r="1058" spans="2:8">
      <c r="B1058">
        <v>1</v>
      </c>
      <c r="C1058">
        <v>102</v>
      </c>
      <c r="D1058">
        <v>1</v>
      </c>
      <c r="E1058">
        <v>0</v>
      </c>
      <c r="F1058">
        <v>0.22046965688066869</v>
      </c>
      <c r="G1058">
        <v>-0.58838605125113286</v>
      </c>
      <c r="H1058">
        <v>-0.90749365301451212</v>
      </c>
    </row>
    <row r="1059" spans="2:8">
      <c r="B1059">
        <v>1</v>
      </c>
      <c r="C1059">
        <v>102</v>
      </c>
      <c r="D1059">
        <v>1</v>
      </c>
      <c r="E1059">
        <v>0</v>
      </c>
      <c r="F1059">
        <v>0.26059201094744283</v>
      </c>
      <c r="G1059">
        <v>9.4715566929291103E-2</v>
      </c>
      <c r="H1059">
        <v>5.3500381210410841E-2</v>
      </c>
    </row>
    <row r="1060" spans="2:8">
      <c r="B1060">
        <v>3</v>
      </c>
      <c r="C1060">
        <v>92.23681599999999</v>
      </c>
      <c r="D1060">
        <v>3</v>
      </c>
      <c r="E1060">
        <v>0</v>
      </c>
      <c r="F1060">
        <v>-9.8469558092325077E-2</v>
      </c>
      <c r="G1060">
        <v>-0.17430384378468894</v>
      </c>
      <c r="H1060">
        <v>-0.32445477441154008</v>
      </c>
    </row>
    <row r="1061" spans="2:8">
      <c r="B1061">
        <v>3</v>
      </c>
      <c r="C1061">
        <v>92.23681599999999</v>
      </c>
      <c r="D1061">
        <v>3</v>
      </c>
      <c r="E1061">
        <v>0</v>
      </c>
      <c r="F1061">
        <v>-8.6881929524290746E-2</v>
      </c>
      <c r="G1061">
        <v>1.8043392916021844E-2</v>
      </c>
      <c r="H1061">
        <v>-0.11891134134401889</v>
      </c>
    </row>
    <row r="1062" spans="2:8">
      <c r="B1062">
        <v>3</v>
      </c>
      <c r="C1062">
        <v>92.23681599999999</v>
      </c>
      <c r="D1062">
        <v>3</v>
      </c>
      <c r="E1062">
        <v>0</v>
      </c>
      <c r="F1062">
        <v>-1.3406635910554719E-2</v>
      </c>
      <c r="G1062">
        <v>-0.11225081759795492</v>
      </c>
      <c r="H1062">
        <v>-0.17264569334827215</v>
      </c>
    </row>
    <row r="1063" spans="2:8">
      <c r="B1063">
        <v>3</v>
      </c>
      <c r="C1063">
        <v>92.23681599999999</v>
      </c>
      <c r="D1063">
        <v>3</v>
      </c>
      <c r="E1063">
        <v>0</v>
      </c>
      <c r="F1063">
        <v>-0.31244725519980915</v>
      </c>
      <c r="G1063">
        <v>-0.37535652796876573</v>
      </c>
      <c r="H1063">
        <v>-0.35745212051908448</v>
      </c>
    </row>
    <row r="1064" spans="2:8">
      <c r="B1064">
        <v>1</v>
      </c>
      <c r="C1064">
        <v>102</v>
      </c>
      <c r="D1064">
        <v>1</v>
      </c>
      <c r="E1064">
        <v>0</v>
      </c>
      <c r="F1064">
        <v>2.504963720608026E-2</v>
      </c>
      <c r="G1064">
        <v>-0.28839170040699019</v>
      </c>
      <c r="H1064">
        <v>-0.5780384746268441</v>
      </c>
    </row>
    <row r="1065" spans="2:8">
      <c r="B1065">
        <v>3</v>
      </c>
      <c r="C1065">
        <v>92.23681599999999</v>
      </c>
      <c r="D1065">
        <v>3</v>
      </c>
      <c r="E1065">
        <v>0</v>
      </c>
      <c r="F1065">
        <v>-0.15931084176337312</v>
      </c>
      <c r="G1065">
        <v>-0.1394463246523561</v>
      </c>
      <c r="H1065">
        <v>-0.36758823360172488</v>
      </c>
    </row>
    <row r="1066" spans="2:8">
      <c r="B1066">
        <v>3</v>
      </c>
      <c r="C1066">
        <v>92.23681599999999</v>
      </c>
      <c r="D1066">
        <v>3</v>
      </c>
      <c r="E1066">
        <v>0</v>
      </c>
      <c r="F1066">
        <v>-3.0865924068298359E-2</v>
      </c>
      <c r="G1066">
        <v>-0.14790657317189776</v>
      </c>
      <c r="H1066">
        <v>-0.2255344054659848</v>
      </c>
    </row>
    <row r="1067" spans="2:8">
      <c r="B1067">
        <v>3</v>
      </c>
      <c r="C1067">
        <v>92.23681599999999</v>
      </c>
      <c r="D1067">
        <v>3</v>
      </c>
      <c r="E1067">
        <v>0</v>
      </c>
      <c r="F1067">
        <v>-0.19889899489675356</v>
      </c>
      <c r="G1067">
        <v>-0.20992870202490352</v>
      </c>
      <c r="H1067">
        <v>-0.12872793277835964</v>
      </c>
    </row>
    <row r="1068" spans="2:8">
      <c r="B1068">
        <v>3</v>
      </c>
      <c r="C1068">
        <v>40.287169641988044</v>
      </c>
      <c r="D1068">
        <v>1</v>
      </c>
      <c r="E1068">
        <v>0</v>
      </c>
      <c r="F1068">
        <v>-0.13570092223118346</v>
      </c>
      <c r="G1068">
        <v>-0.40146483226563057</v>
      </c>
      <c r="H1068">
        <v>-0.59712830358011959</v>
      </c>
    </row>
    <row r="1069" spans="2:8">
      <c r="B1069">
        <v>1</v>
      </c>
      <c r="C1069">
        <v>102</v>
      </c>
      <c r="D1069">
        <v>1</v>
      </c>
      <c r="E1069">
        <v>0</v>
      </c>
      <c r="F1069">
        <v>1.8467620804518279E-2</v>
      </c>
      <c r="G1069">
        <v>0.15348312739213879</v>
      </c>
      <c r="H1069">
        <v>0.12790045136714195</v>
      </c>
    </row>
    <row r="1070" spans="2:8">
      <c r="B1070">
        <v>1</v>
      </c>
      <c r="C1070">
        <v>102</v>
      </c>
      <c r="D1070">
        <v>1</v>
      </c>
      <c r="E1070">
        <v>0</v>
      </c>
      <c r="F1070">
        <v>9.8670118893970413E-2</v>
      </c>
      <c r="G1070">
        <v>7.4789913169041003E-2</v>
      </c>
      <c r="H1070">
        <v>0.32441870665178063</v>
      </c>
    </row>
    <row r="1071" spans="2:8">
      <c r="B1071">
        <v>3</v>
      </c>
      <c r="C1071">
        <v>92.23681599999999</v>
      </c>
      <c r="D1071">
        <v>3</v>
      </c>
      <c r="E1071">
        <v>0</v>
      </c>
      <c r="F1071">
        <v>-1.719160460953593E-3</v>
      </c>
      <c r="G1071">
        <v>7.0068226595917243E-2</v>
      </c>
      <c r="H1071">
        <v>-9.3978335567810822E-2</v>
      </c>
    </row>
    <row r="1072" spans="2:8">
      <c r="B1072">
        <v>3</v>
      </c>
      <c r="C1072">
        <v>57.472715474649597</v>
      </c>
      <c r="D1072">
        <v>1</v>
      </c>
      <c r="E1072">
        <v>0</v>
      </c>
      <c r="F1072">
        <v>-0.16890540033281062</v>
      </c>
      <c r="G1072">
        <v>-0.53983383803225971</v>
      </c>
      <c r="H1072">
        <v>-0.42527284525350406</v>
      </c>
    </row>
    <row r="1073" spans="2:8">
      <c r="B1073">
        <v>3</v>
      </c>
      <c r="C1073">
        <v>38.404942611706957</v>
      </c>
      <c r="D1073">
        <v>2</v>
      </c>
      <c r="E1073">
        <v>0</v>
      </c>
      <c r="F1073">
        <v>-0.22430156085566549</v>
      </c>
      <c r="G1073">
        <v>-0.25119928504762412</v>
      </c>
      <c r="H1073">
        <v>-0.6159505738829304</v>
      </c>
    </row>
    <row r="1074" spans="2:8">
      <c r="B1074">
        <v>3</v>
      </c>
      <c r="C1074">
        <v>92.23681599999999</v>
      </c>
      <c r="D1074">
        <v>3</v>
      </c>
      <c r="E1074">
        <v>0</v>
      </c>
      <c r="F1074">
        <v>-0.21687282705956795</v>
      </c>
      <c r="G1074">
        <v>-1.8157163287626638E-2</v>
      </c>
      <c r="H1074">
        <v>-0.35821105738189679</v>
      </c>
    </row>
    <row r="1075" spans="2:8">
      <c r="B1075">
        <v>3</v>
      </c>
      <c r="C1075">
        <v>24.975671671028763</v>
      </c>
      <c r="D1075">
        <v>2</v>
      </c>
      <c r="E1075">
        <v>0</v>
      </c>
      <c r="F1075">
        <v>-0.2403919684217255</v>
      </c>
      <c r="G1075">
        <v>-0.27593599699750038</v>
      </c>
      <c r="H1075">
        <v>-0.75024328328971235</v>
      </c>
    </row>
    <row r="1076" spans="2:8">
      <c r="B1076">
        <v>3</v>
      </c>
      <c r="C1076">
        <v>11.012162093063026</v>
      </c>
      <c r="D1076">
        <v>1</v>
      </c>
      <c r="E1076">
        <v>0</v>
      </c>
      <c r="F1076">
        <v>-0.17814281936597631</v>
      </c>
      <c r="G1076">
        <v>-0.63243815501231271</v>
      </c>
      <c r="H1076">
        <v>-0.88987837906936973</v>
      </c>
    </row>
    <row r="1077" spans="2:8">
      <c r="B1077">
        <v>1</v>
      </c>
      <c r="C1077">
        <v>102</v>
      </c>
      <c r="D1077">
        <v>1</v>
      </c>
      <c r="E1077">
        <v>0</v>
      </c>
      <c r="F1077">
        <v>0.18120779664386602</v>
      </c>
      <c r="G1077">
        <v>-0.24983341266392714</v>
      </c>
      <c r="H1077">
        <v>-0.44249394271810377</v>
      </c>
    </row>
    <row r="1078" spans="2:8">
      <c r="B1078">
        <v>1</v>
      </c>
      <c r="C1078">
        <v>102</v>
      </c>
      <c r="D1078">
        <v>1</v>
      </c>
      <c r="E1078">
        <v>0</v>
      </c>
      <c r="F1078">
        <v>7.8171796607315505E-2</v>
      </c>
    </row>
    <row r="1079" spans="2:8">
      <c r="B1079">
        <v>1</v>
      </c>
      <c r="C1079">
        <v>102</v>
      </c>
      <c r="D1079">
        <v>1</v>
      </c>
      <c r="E1079">
        <v>0</v>
      </c>
      <c r="F1079">
        <v>0.18603665796053456</v>
      </c>
      <c r="G1079">
        <v>-0.27447051655138255</v>
      </c>
      <c r="H1079">
        <v>-0.48015883573693163</v>
      </c>
    </row>
    <row r="1080" spans="2:8">
      <c r="B1080">
        <v>3</v>
      </c>
      <c r="C1080">
        <v>92.23681599999999</v>
      </c>
      <c r="D1080">
        <v>3</v>
      </c>
      <c r="E1080">
        <v>0</v>
      </c>
      <c r="F1080">
        <v>-4.6445008103462262E-2</v>
      </c>
      <c r="G1080">
        <v>-7.0642580817118633E-2</v>
      </c>
      <c r="H1080">
        <v>-0.16412020700096561</v>
      </c>
    </row>
    <row r="1081" spans="2:8">
      <c r="B1081">
        <v>3</v>
      </c>
      <c r="C1081">
        <v>58.549684527428397</v>
      </c>
      <c r="D1081">
        <v>1</v>
      </c>
      <c r="E1081">
        <v>0</v>
      </c>
      <c r="F1081">
        <v>-0.35156601654357106</v>
      </c>
      <c r="G1081">
        <v>-0.4230793482371713</v>
      </c>
      <c r="H1081">
        <v>-0.41450315472571603</v>
      </c>
    </row>
    <row r="1082" spans="2:8">
      <c r="B1082">
        <v>1</v>
      </c>
      <c r="C1082">
        <v>102</v>
      </c>
      <c r="D1082">
        <v>1</v>
      </c>
      <c r="E1082">
        <v>0</v>
      </c>
      <c r="F1082">
        <v>5.5511296776833217E-2</v>
      </c>
      <c r="G1082">
        <v>-0.14176540794330522</v>
      </c>
      <c r="H1082">
        <v>-0.20441616073765109</v>
      </c>
    </row>
    <row r="1083" spans="2:8">
      <c r="B1083">
        <v>3</v>
      </c>
      <c r="C1083">
        <v>92.23681599999999</v>
      </c>
      <c r="D1083">
        <v>3</v>
      </c>
      <c r="E1083">
        <v>0</v>
      </c>
      <c r="F1083">
        <v>-0.30100805113782919</v>
      </c>
      <c r="G1083">
        <v>-0.36066791165513723</v>
      </c>
      <c r="H1083">
        <v>-0.15885307608762111</v>
      </c>
    </row>
    <row r="1084" spans="2:8">
      <c r="B1084">
        <v>3</v>
      </c>
      <c r="C1084">
        <v>54.023364650801462</v>
      </c>
      <c r="D1084">
        <v>2</v>
      </c>
      <c r="E1084">
        <v>0</v>
      </c>
      <c r="F1084">
        <v>-0.23211992506591037</v>
      </c>
      <c r="G1084">
        <v>-5.9375605644628154E-2</v>
      </c>
      <c r="H1084">
        <v>-0.45976635349198541</v>
      </c>
    </row>
    <row r="1085" spans="2:8">
      <c r="B1085">
        <v>3</v>
      </c>
      <c r="C1085">
        <v>50.331922827019618</v>
      </c>
      <c r="D1085">
        <v>2</v>
      </c>
      <c r="E1085">
        <v>0</v>
      </c>
      <c r="F1085">
        <v>-0.19645317283163449</v>
      </c>
      <c r="G1085">
        <v>-0.20580224667872266</v>
      </c>
      <c r="H1085">
        <v>-0.49668077172980385</v>
      </c>
    </row>
    <row r="1086" spans="2:8">
      <c r="B1086">
        <v>3</v>
      </c>
      <c r="C1086">
        <v>92.23681599999999</v>
      </c>
      <c r="D1086">
        <v>3</v>
      </c>
      <c r="E1086">
        <v>0</v>
      </c>
      <c r="F1086">
        <v>-0.36837117156326532</v>
      </c>
      <c r="G1086">
        <v>-0.2783693427400819</v>
      </c>
      <c r="H1086">
        <v>-0.11843098745259348</v>
      </c>
    </row>
    <row r="1087" spans="2:8">
      <c r="B1087">
        <v>3</v>
      </c>
      <c r="C1087">
        <v>106</v>
      </c>
      <c r="D1087">
        <v>3</v>
      </c>
      <c r="E1087">
        <v>0</v>
      </c>
      <c r="F1087">
        <v>-5.0730411535269027E-2</v>
      </c>
      <c r="G1087">
        <v>0.12943577176483187</v>
      </c>
      <c r="H1087">
        <v>3.1516633452149272E-2</v>
      </c>
    </row>
    <row r="1088" spans="2:8">
      <c r="B1088">
        <v>3</v>
      </c>
      <c r="C1088">
        <v>92.23681599999999</v>
      </c>
      <c r="D1088">
        <v>3</v>
      </c>
      <c r="E1088">
        <v>0</v>
      </c>
      <c r="F1088">
        <v>-0.29759990851440293</v>
      </c>
      <c r="G1088">
        <v>-0.18277777116965266</v>
      </c>
      <c r="H1088">
        <v>-0.16011971640266856</v>
      </c>
    </row>
    <row r="1089" spans="2:8">
      <c r="B1089">
        <v>1</v>
      </c>
      <c r="C1089">
        <v>102</v>
      </c>
      <c r="D1089">
        <v>1</v>
      </c>
      <c r="E1089">
        <v>0</v>
      </c>
      <c r="F1089">
        <v>1.0877802611849204E-2</v>
      </c>
      <c r="G1089">
        <v>-0.20456070991791553</v>
      </c>
      <c r="H1089">
        <v>-0.37359825216455089</v>
      </c>
    </row>
    <row r="1090" spans="2:8">
      <c r="B1090">
        <v>3</v>
      </c>
      <c r="C1090">
        <v>92.23681599999999</v>
      </c>
      <c r="D1090">
        <v>3</v>
      </c>
      <c r="E1090">
        <v>0</v>
      </c>
      <c r="F1090">
        <v>-0.11489764589648899</v>
      </c>
      <c r="G1090">
        <v>-0.20654593784274586</v>
      </c>
      <c r="H1090">
        <v>-0.3761169950241261</v>
      </c>
    </row>
    <row r="1091" spans="2:8">
      <c r="B1091">
        <v>3</v>
      </c>
      <c r="C1091">
        <v>106</v>
      </c>
      <c r="D1091">
        <v>3</v>
      </c>
      <c r="E1091">
        <v>0</v>
      </c>
      <c r="F1091">
        <v>-0.15275320705839271</v>
      </c>
      <c r="G1091">
        <v>-0.12693780588957657</v>
      </c>
      <c r="H1091">
        <v>1.1696663854816368E-2</v>
      </c>
    </row>
    <row r="1092" spans="2:8">
      <c r="B1092">
        <v>3</v>
      </c>
      <c r="C1092">
        <v>92.23681599999999</v>
      </c>
      <c r="D1092">
        <v>3</v>
      </c>
      <c r="E1092">
        <v>0</v>
      </c>
      <c r="F1092">
        <v>-0.32293353479107595</v>
      </c>
      <c r="G1092">
        <v>-0.2196877875949097</v>
      </c>
      <c r="H1092">
        <v>-3.6930076885368257E-2</v>
      </c>
    </row>
    <row r="1093" spans="2:8">
      <c r="B1093">
        <v>3</v>
      </c>
      <c r="C1093">
        <v>92.23681599999999</v>
      </c>
      <c r="D1093">
        <v>3</v>
      </c>
      <c r="E1093">
        <v>0</v>
      </c>
      <c r="F1093">
        <v>-7.6521336015863278E-2</v>
      </c>
      <c r="G1093">
        <v>4.5900486326568693E-2</v>
      </c>
      <c r="H1093">
        <v>-7.9558765635685563E-2</v>
      </c>
    </row>
    <row r="1094" spans="2:8">
      <c r="B1094">
        <v>3</v>
      </c>
      <c r="C1094">
        <v>92.23681599999999</v>
      </c>
      <c r="D1094">
        <v>2</v>
      </c>
      <c r="E1094">
        <v>0</v>
      </c>
      <c r="F1094">
        <v>-0.15801684678382349</v>
      </c>
      <c r="G1094">
        <v>-0.48245897000087579</v>
      </c>
      <c r="H1094">
        <v>-0.35231091468772269</v>
      </c>
    </row>
    <row r="1095" spans="2:8">
      <c r="B1095">
        <v>3</v>
      </c>
      <c r="C1095">
        <v>92.23681599999999</v>
      </c>
      <c r="D1095">
        <v>3</v>
      </c>
      <c r="E1095">
        <v>0</v>
      </c>
      <c r="F1095">
        <v>-0.28006087987182987</v>
      </c>
      <c r="G1095">
        <v>-0.3327731670778542</v>
      </c>
      <c r="H1095">
        <v>-0.10257129157916536</v>
      </c>
    </row>
    <row r="1096" spans="2:8">
      <c r="B1096">
        <v>3</v>
      </c>
      <c r="C1096">
        <v>92.23681599999999</v>
      </c>
      <c r="D1096">
        <v>3</v>
      </c>
      <c r="E1096">
        <v>0</v>
      </c>
      <c r="F1096">
        <v>-0.11665108197710003</v>
      </c>
      <c r="G1096">
        <v>-0.20997266033978498</v>
      </c>
      <c r="H1096">
        <v>-0.38167245569383323</v>
      </c>
    </row>
    <row r="1097" spans="2:8">
      <c r="B1097">
        <v>3</v>
      </c>
      <c r="C1097">
        <v>106</v>
      </c>
      <c r="D1097">
        <v>3</v>
      </c>
      <c r="E1097">
        <v>0</v>
      </c>
      <c r="F1097">
        <v>-3.5182427538077966E-2</v>
      </c>
      <c r="G1097">
        <v>0.20391279817431648</v>
      </c>
      <c r="H1097">
        <v>0.1219390820197007</v>
      </c>
    </row>
    <row r="1098" spans="2:8">
      <c r="B1098">
        <v>3</v>
      </c>
      <c r="C1098">
        <v>40.664751429955956</v>
      </c>
      <c r="D1098">
        <v>1</v>
      </c>
      <c r="E1098">
        <v>0</v>
      </c>
      <c r="F1098">
        <v>-0.1803609702111246</v>
      </c>
      <c r="G1098">
        <v>-0.69377093575427351</v>
      </c>
      <c r="H1098">
        <v>-0.59335248570044041</v>
      </c>
    </row>
    <row r="1099" spans="2:8">
      <c r="B1099">
        <v>3</v>
      </c>
      <c r="C1099">
        <v>54.799780152242008</v>
      </c>
      <c r="D1099">
        <v>2</v>
      </c>
      <c r="E1099">
        <v>0</v>
      </c>
      <c r="F1099">
        <v>-0.18405414611845713</v>
      </c>
      <c r="G1099">
        <v>-0.18444291251598421</v>
      </c>
      <c r="H1099">
        <v>-0.45200219847757994</v>
      </c>
    </row>
    <row r="1100" spans="2:8">
      <c r="B1100">
        <v>1</v>
      </c>
      <c r="C1100">
        <v>102</v>
      </c>
      <c r="D1100">
        <v>1</v>
      </c>
      <c r="E1100">
        <v>0</v>
      </c>
      <c r="F1100">
        <v>0.22771280190457308</v>
      </c>
    </row>
    <row r="1101" spans="2:8">
      <c r="B1101">
        <v>1</v>
      </c>
      <c r="C1101">
        <v>102</v>
      </c>
      <c r="D1101">
        <v>1</v>
      </c>
      <c r="E1101">
        <v>0</v>
      </c>
      <c r="F1101">
        <v>2.9906733259299875E-2</v>
      </c>
      <c r="G1101">
        <v>0.20703172909969197</v>
      </c>
      <c r="H1101">
        <v>0.19185088167121658</v>
      </c>
    </row>
    <row r="1102" spans="2:8">
      <c r="B1102">
        <v>3</v>
      </c>
      <c r="C1102">
        <v>42.22126509585383</v>
      </c>
      <c r="D1102">
        <v>2</v>
      </c>
      <c r="E1102">
        <v>0</v>
      </c>
      <c r="F1102">
        <v>-0.17594852012774473</v>
      </c>
      <c r="G1102">
        <v>-0.32397317369176454</v>
      </c>
      <c r="H1102">
        <v>-0.57778734904146167</v>
      </c>
    </row>
    <row r="1103" spans="2:8">
      <c r="B1103">
        <v>1</v>
      </c>
      <c r="C1103">
        <v>102</v>
      </c>
      <c r="D1103">
        <v>1</v>
      </c>
      <c r="E1103">
        <v>0</v>
      </c>
      <c r="F1103">
        <v>9.1259702172543471E-3</v>
      </c>
      <c r="G1103">
        <v>-0.18323974959423056</v>
      </c>
      <c r="H1103">
        <v>-0.34138265226263026</v>
      </c>
    </row>
    <row r="1104" spans="2:8">
      <c r="B1104">
        <v>1</v>
      </c>
      <c r="C1104">
        <v>102</v>
      </c>
      <c r="D1104">
        <v>1</v>
      </c>
      <c r="E1104">
        <v>0</v>
      </c>
      <c r="F1104">
        <v>0.14528325083649885</v>
      </c>
      <c r="G1104">
        <v>-0.11459777947415241</v>
      </c>
      <c r="H1104">
        <v>-0.10906203929842033</v>
      </c>
    </row>
    <row r="1105" spans="2:8">
      <c r="B1105">
        <v>3</v>
      </c>
      <c r="C1105">
        <v>46.193807060568538</v>
      </c>
      <c r="D1105">
        <v>2</v>
      </c>
      <c r="E1105">
        <v>0</v>
      </c>
      <c r="F1105">
        <v>-0.2071760751002539</v>
      </c>
      <c r="G1105">
        <v>-0.22368898100506215</v>
      </c>
      <c r="H1105">
        <v>-0.53806192939431463</v>
      </c>
    </row>
    <row r="1106" spans="2:8">
      <c r="B1106">
        <v>1</v>
      </c>
      <c r="C1106">
        <v>102</v>
      </c>
      <c r="D1106">
        <v>1</v>
      </c>
      <c r="E1106">
        <v>0</v>
      </c>
      <c r="F1106">
        <v>8.813187485732589E-2</v>
      </c>
    </row>
    <row r="1107" spans="2:8">
      <c r="B1107">
        <v>3</v>
      </c>
      <c r="C1107">
        <v>39.876251274012553</v>
      </c>
      <c r="D1107">
        <v>2</v>
      </c>
      <c r="E1107">
        <v>0</v>
      </c>
      <c r="F1107">
        <v>-0.22144541105938312</v>
      </c>
      <c r="G1107">
        <v>-0.24669816875279083</v>
      </c>
      <c r="H1107">
        <v>-0.60123748725987447</v>
      </c>
    </row>
    <row r="1108" spans="2:8">
      <c r="B1108">
        <v>1</v>
      </c>
      <c r="C1108">
        <v>102</v>
      </c>
      <c r="D1108">
        <v>1</v>
      </c>
      <c r="E1108">
        <v>0</v>
      </c>
      <c r="F1108">
        <v>0.13113245602815402</v>
      </c>
      <c r="G1108">
        <v>-0.28492934227966416</v>
      </c>
      <c r="H1108">
        <v>-0.41771516669363845</v>
      </c>
    </row>
    <row r="1109" spans="2:8">
      <c r="B1109">
        <v>1</v>
      </c>
      <c r="C1109">
        <v>102</v>
      </c>
      <c r="D1109">
        <v>1</v>
      </c>
      <c r="E1109">
        <v>0</v>
      </c>
      <c r="F1109">
        <v>0.21610887055075806</v>
      </c>
      <c r="G1109">
        <v>3.8181365951736185E-2</v>
      </c>
      <c r="H1109">
        <v>-2.1803973725266317E-2</v>
      </c>
    </row>
    <row r="1110" spans="2:8">
      <c r="B1110">
        <v>3</v>
      </c>
      <c r="C1110">
        <v>92.23681599999999</v>
      </c>
      <c r="D1110">
        <v>3</v>
      </c>
      <c r="E1110">
        <v>0</v>
      </c>
      <c r="F1110">
        <v>-7.2197913755024351E-2</v>
      </c>
      <c r="G1110">
        <v>-0.12224856111277504</v>
      </c>
      <c r="H1110">
        <v>-0.24298840902715391</v>
      </c>
    </row>
    <row r="1111" spans="2:8">
      <c r="B1111">
        <v>3</v>
      </c>
      <c r="C1111">
        <v>92.23681599999999</v>
      </c>
      <c r="D1111">
        <v>3</v>
      </c>
      <c r="E1111">
        <v>0</v>
      </c>
      <c r="F1111">
        <v>-0.17455508862201377</v>
      </c>
      <c r="G1111">
        <v>-0.16755914024527982</v>
      </c>
      <c r="H1111">
        <v>-6.022573580193457E-2</v>
      </c>
    </row>
    <row r="1112" spans="2:8">
      <c r="B1112">
        <v>3</v>
      </c>
      <c r="C1112">
        <v>92.23681599999999</v>
      </c>
      <c r="D1112">
        <v>3</v>
      </c>
      <c r="E1112">
        <v>0</v>
      </c>
      <c r="F1112">
        <v>-0.20298725717975499</v>
      </c>
      <c r="G1112">
        <v>3.078978514528067E-2</v>
      </c>
      <c r="H1112">
        <v>-0.27393138195551003</v>
      </c>
    </row>
    <row r="1113" spans="2:8">
      <c r="B1113">
        <v>3</v>
      </c>
      <c r="C1113">
        <v>92.23681599999999</v>
      </c>
      <c r="D1113">
        <v>3</v>
      </c>
      <c r="E1113">
        <v>0</v>
      </c>
      <c r="F1113">
        <v>-0.30656548295987207</v>
      </c>
      <c r="G1113">
        <v>-0.36784960702804853</v>
      </c>
      <c r="H1113">
        <v>-0.17162679716940962</v>
      </c>
    </row>
    <row r="1114" spans="2:8">
      <c r="B1114">
        <v>3</v>
      </c>
      <c r="C1114">
        <v>92.23681599999999</v>
      </c>
      <c r="D1114">
        <v>3</v>
      </c>
      <c r="E1114">
        <v>0</v>
      </c>
      <c r="F1114">
        <v>-8.9609977894768308E-2</v>
      </c>
      <c r="G1114">
        <v>-0.15681603562391708</v>
      </c>
      <c r="H1114">
        <v>-0.29684378920111187</v>
      </c>
    </row>
    <row r="1115" spans="2:8">
      <c r="B1115">
        <v>3</v>
      </c>
      <c r="C1115">
        <v>92.23681599999999</v>
      </c>
      <c r="D1115">
        <v>3</v>
      </c>
      <c r="E1115">
        <v>0</v>
      </c>
      <c r="F1115">
        <v>-0.11377842241216628</v>
      </c>
      <c r="G1115">
        <v>-4.6336940070288823E-2</v>
      </c>
      <c r="H1115">
        <v>-0.21455526534041922</v>
      </c>
    </row>
    <row r="1116" spans="2:8">
      <c r="B1116">
        <v>1</v>
      </c>
      <c r="C1116">
        <v>102</v>
      </c>
      <c r="D1116">
        <v>1</v>
      </c>
      <c r="E1116">
        <v>0</v>
      </c>
      <c r="F1116">
        <v>7.5917907936591353E-2</v>
      </c>
    </row>
    <row r="1117" spans="2:8">
      <c r="B1117">
        <v>3</v>
      </c>
      <c r="C1117">
        <v>55.590335022269507</v>
      </c>
      <c r="D1117">
        <v>2</v>
      </c>
      <c r="E1117">
        <v>0</v>
      </c>
      <c r="F1117">
        <v>-0.18179476217071439</v>
      </c>
      <c r="G1117">
        <v>-0.18046908717208116</v>
      </c>
      <c r="H1117">
        <v>-0.44409664977730495</v>
      </c>
    </row>
    <row r="1118" spans="2:8">
      <c r="B1118">
        <v>1</v>
      </c>
      <c r="C1118">
        <v>102</v>
      </c>
      <c r="D1118">
        <v>1</v>
      </c>
      <c r="E1118">
        <v>0</v>
      </c>
      <c r="F1118">
        <v>2.3228989014179226E-2</v>
      </c>
      <c r="G1118">
        <v>-0.22633284311446877</v>
      </c>
      <c r="H1118">
        <v>-0.4928885062453468</v>
      </c>
    </row>
    <row r="1119" spans="2:8">
      <c r="B1119">
        <v>1</v>
      </c>
      <c r="C1119">
        <v>102</v>
      </c>
      <c r="D1119">
        <v>1</v>
      </c>
      <c r="E1119">
        <v>0</v>
      </c>
      <c r="F1119">
        <v>7.9629243585690609E-2</v>
      </c>
      <c r="G1119">
        <v>-4.5158845944968933E-2</v>
      </c>
      <c r="H1119">
        <v>-0.13821402237188282</v>
      </c>
    </row>
    <row r="1120" spans="2:8">
      <c r="B1120">
        <v>1</v>
      </c>
      <c r="C1120">
        <v>102</v>
      </c>
      <c r="D1120">
        <v>1</v>
      </c>
      <c r="E1120">
        <v>0</v>
      </c>
      <c r="F1120">
        <v>4.1091563857021625E-2</v>
      </c>
      <c r="G1120">
        <v>-0.26384517140210928</v>
      </c>
      <c r="H1120">
        <v>-0.32812194794163241</v>
      </c>
    </row>
    <row r="1121" spans="2:8">
      <c r="B1121">
        <v>1</v>
      </c>
      <c r="C1121">
        <v>102</v>
      </c>
      <c r="D1121">
        <v>1</v>
      </c>
      <c r="E1121">
        <v>0</v>
      </c>
      <c r="F1121">
        <v>0.20364067015902257</v>
      </c>
      <c r="G1121">
        <v>8.9375043359565795E-2</v>
      </c>
      <c r="H1121">
        <v>4.6533896477011664E-2</v>
      </c>
    </row>
    <row r="1122" spans="2:8">
      <c r="B1122">
        <v>3</v>
      </c>
      <c r="C1122">
        <v>39.901240578143636</v>
      </c>
      <c r="D1122">
        <v>0</v>
      </c>
      <c r="E1122">
        <v>0</v>
      </c>
      <c r="F1122">
        <v>-0.44641135381799757</v>
      </c>
      <c r="G1122">
        <v>-0.74517764108301243</v>
      </c>
      <c r="H1122">
        <v>-0.60098759421856363</v>
      </c>
    </row>
    <row r="1123" spans="2:8">
      <c r="B1123">
        <v>3</v>
      </c>
      <c r="C1123">
        <v>92.23681599999999</v>
      </c>
      <c r="D1123">
        <v>3</v>
      </c>
      <c r="E1123">
        <v>0</v>
      </c>
      <c r="F1123">
        <v>-0.14064191267829407</v>
      </c>
      <c r="G1123">
        <v>-0.10311458316729893</v>
      </c>
      <c r="H1123">
        <v>-0.30528209695721054</v>
      </c>
    </row>
    <row r="1124" spans="2:8">
      <c r="B1124">
        <v>1</v>
      </c>
      <c r="C1124">
        <v>102</v>
      </c>
      <c r="D1124">
        <v>1</v>
      </c>
      <c r="E1124">
        <v>0</v>
      </c>
      <c r="F1124">
        <v>3.2962905285958063E-2</v>
      </c>
      <c r="G1124">
        <v>-0.48988988708679221</v>
      </c>
      <c r="H1124">
        <v>-0.71728741724856415</v>
      </c>
    </row>
    <row r="1125" spans="2:8">
      <c r="B1125">
        <v>1</v>
      </c>
      <c r="C1125">
        <v>102</v>
      </c>
      <c r="D1125">
        <v>1</v>
      </c>
      <c r="E1125">
        <v>0</v>
      </c>
      <c r="F1125">
        <v>4.6227347173871697E-2</v>
      </c>
    </row>
    <row r="1126" spans="2:8">
      <c r="B1126">
        <v>1</v>
      </c>
      <c r="C1126">
        <v>102</v>
      </c>
      <c r="D1126">
        <v>1</v>
      </c>
      <c r="E1126">
        <v>0</v>
      </c>
      <c r="F1126">
        <v>0.16521130724973301</v>
      </c>
    </row>
    <row r="1127" spans="2:8">
      <c r="B1127">
        <v>3</v>
      </c>
      <c r="C1127">
        <v>106</v>
      </c>
      <c r="D1127">
        <v>3</v>
      </c>
      <c r="E1127">
        <v>0</v>
      </c>
      <c r="F1127">
        <v>-0.25498426597929252</v>
      </c>
      <c r="G1127">
        <v>-0.29749961757931187</v>
      </c>
      <c r="H1127">
        <v>5.4645635761746509E-3</v>
      </c>
    </row>
    <row r="1128" spans="2:8">
      <c r="B1128">
        <v>3</v>
      </c>
      <c r="C1128">
        <v>92.23681599999999</v>
      </c>
      <c r="D1128">
        <v>1</v>
      </c>
      <c r="E1128">
        <v>0</v>
      </c>
      <c r="F1128">
        <v>-0.49433266959900762</v>
      </c>
      <c r="G1128">
        <v>-0.41666252670065551</v>
      </c>
      <c r="H1128">
        <v>-0.27588663931389046</v>
      </c>
    </row>
    <row r="1129" spans="2:8">
      <c r="B1129">
        <v>3</v>
      </c>
      <c r="C1129">
        <v>106</v>
      </c>
      <c r="D1129">
        <v>3</v>
      </c>
      <c r="E1129">
        <v>0</v>
      </c>
      <c r="F1129">
        <v>-2.4887873049293123E-2</v>
      </c>
      <c r="G1129">
        <v>0.30298716103659867</v>
      </c>
      <c r="H1129">
        <v>0.23132169275045245</v>
      </c>
    </row>
    <row r="1130" spans="2:8">
      <c r="B1130">
        <v>1</v>
      </c>
      <c r="C1130">
        <v>102</v>
      </c>
      <c r="D1130">
        <v>1</v>
      </c>
      <c r="E1130">
        <v>0</v>
      </c>
      <c r="F1130">
        <v>0.1280280792449614</v>
      </c>
      <c r="G1130">
        <v>-0.26512671750833378</v>
      </c>
      <c r="H1130">
        <v>-0.38834036190447618</v>
      </c>
    </row>
    <row r="1131" spans="2:8">
      <c r="B1131">
        <v>3</v>
      </c>
      <c r="C1131">
        <v>59.552252942746442</v>
      </c>
      <c r="D1131">
        <v>2</v>
      </c>
      <c r="E1131">
        <v>0</v>
      </c>
      <c r="F1131">
        <v>-0.17026238303543337</v>
      </c>
      <c r="G1131">
        <v>-0.15977340839343354</v>
      </c>
      <c r="H1131">
        <v>-0.40447747057253558</v>
      </c>
    </row>
    <row r="1132" spans="2:8">
      <c r="B1132">
        <v>3</v>
      </c>
      <c r="C1132">
        <v>92.23681599999999</v>
      </c>
      <c r="D1132">
        <v>3</v>
      </c>
      <c r="E1132">
        <v>0</v>
      </c>
      <c r="F1132">
        <v>-4.5116362310779704E-3</v>
      </c>
      <c r="G1132">
        <v>-9.4490890860030888E-2</v>
      </c>
      <c r="H1132">
        <v>-0.14631507643449435</v>
      </c>
    </row>
    <row r="1133" spans="2:8">
      <c r="B1133">
        <v>1</v>
      </c>
      <c r="C1133">
        <v>102</v>
      </c>
      <c r="D1133">
        <v>1</v>
      </c>
      <c r="E1133">
        <v>0</v>
      </c>
      <c r="F1133">
        <v>0.30927442449053444</v>
      </c>
    </row>
    <row r="1134" spans="2:8">
      <c r="B1134">
        <v>1</v>
      </c>
      <c r="C1134">
        <v>102</v>
      </c>
      <c r="D1134">
        <v>1</v>
      </c>
      <c r="E1134">
        <v>0</v>
      </c>
      <c r="F1134">
        <v>0.13430762472609761</v>
      </c>
      <c r="G1134">
        <v>-0.30545626814854882</v>
      </c>
      <c r="H1134">
        <v>-0.44811006613084514</v>
      </c>
    </row>
    <row r="1135" spans="2:8">
      <c r="B1135">
        <v>1</v>
      </c>
      <c r="C1135">
        <v>102</v>
      </c>
      <c r="D1135">
        <v>1</v>
      </c>
      <c r="E1135">
        <v>0</v>
      </c>
      <c r="F1135">
        <v>2.0263165903092496E-2</v>
      </c>
      <c r="G1135">
        <v>0.11900930905361955</v>
      </c>
      <c r="H1135">
        <v>8.4770528809973919E-2</v>
      </c>
    </row>
    <row r="1136" spans="2:8">
      <c r="B1136">
        <v>3</v>
      </c>
      <c r="C1136">
        <v>53.110652985415285</v>
      </c>
      <c r="D1136">
        <v>2</v>
      </c>
      <c r="E1136">
        <v>0</v>
      </c>
      <c r="F1136">
        <v>-0.14375417883178057</v>
      </c>
      <c r="G1136">
        <v>-0.26255772603138783</v>
      </c>
      <c r="H1136">
        <v>-0.46889347014584715</v>
      </c>
    </row>
    <row r="1137" spans="2:8">
      <c r="B1137">
        <v>3</v>
      </c>
      <c r="C1137">
        <v>92.23681599999999</v>
      </c>
      <c r="D1137">
        <v>3</v>
      </c>
      <c r="E1137">
        <v>0</v>
      </c>
      <c r="F1137">
        <v>-6.9519168354821193E-2</v>
      </c>
      <c r="G1137">
        <v>6.614085143167775E-2</v>
      </c>
      <c r="H1137">
        <v>-5.1696675167869535E-2</v>
      </c>
    </row>
    <row r="1138" spans="2:8">
      <c r="B1138">
        <v>3</v>
      </c>
      <c r="C1138">
        <v>92.23681599999999</v>
      </c>
      <c r="D1138">
        <v>3</v>
      </c>
      <c r="E1138">
        <v>0</v>
      </c>
      <c r="F1138">
        <v>-6.5217139896961401E-2</v>
      </c>
      <c r="G1138">
        <v>-0.22167067142972482</v>
      </c>
      <c r="H1138">
        <v>-0.33488091102356654</v>
      </c>
    </row>
    <row r="1139" spans="2:8">
      <c r="B1139">
        <v>3</v>
      </c>
      <c r="C1139">
        <v>92.23681599999999</v>
      </c>
      <c r="D1139">
        <v>3</v>
      </c>
      <c r="E1139">
        <v>0</v>
      </c>
      <c r="F1139">
        <v>-7.8163040227235206E-2</v>
      </c>
      <c r="G1139">
        <v>4.1334974101139357E-2</v>
      </c>
      <c r="H1139">
        <v>-8.5927996433461648E-2</v>
      </c>
    </row>
    <row r="1140" spans="2:8">
      <c r="B1140">
        <v>3</v>
      </c>
      <c r="C1140">
        <v>92.23681599999999</v>
      </c>
      <c r="D1140">
        <v>3</v>
      </c>
      <c r="E1140">
        <v>0</v>
      </c>
      <c r="F1140">
        <v>-3.9486216600087928E-2</v>
      </c>
      <c r="G1140">
        <v>-0.16593169444903835</v>
      </c>
      <c r="H1140">
        <v>-0.25227300345110198</v>
      </c>
    </row>
    <row r="1141" spans="2:8">
      <c r="B1141">
        <v>3</v>
      </c>
      <c r="C1141">
        <v>92.23681599999999</v>
      </c>
      <c r="D1141">
        <v>3</v>
      </c>
      <c r="E1141">
        <v>0</v>
      </c>
      <c r="F1141">
        <v>-0.16339702740739304</v>
      </c>
      <c r="G1141">
        <v>-0.14711074475623395</v>
      </c>
      <c r="H1141">
        <v>-2.4963668675991868E-2</v>
      </c>
    </row>
    <row r="1142" spans="2:8">
      <c r="B1142">
        <v>3</v>
      </c>
      <c r="C1142">
        <v>106</v>
      </c>
      <c r="D1142">
        <v>3</v>
      </c>
      <c r="E1142">
        <v>0</v>
      </c>
      <c r="F1142">
        <v>-0.24919867844722496</v>
      </c>
      <c r="G1142">
        <v>-9.7556135698056587E-2</v>
      </c>
      <c r="H1142">
        <v>0.2473662058321055</v>
      </c>
    </row>
    <row r="1143" spans="2:8">
      <c r="B1143">
        <v>3</v>
      </c>
      <c r="C1143">
        <v>92.23681599999999</v>
      </c>
      <c r="D1143">
        <v>3</v>
      </c>
      <c r="E1143">
        <v>0</v>
      </c>
      <c r="F1143">
        <v>-0.16134507673078527</v>
      </c>
      <c r="G1143">
        <v>-0.14327410145586866</v>
      </c>
      <c r="H1143">
        <v>-0.37440616820481198</v>
      </c>
    </row>
    <row r="1144" spans="2:8">
      <c r="B1144">
        <v>1</v>
      </c>
      <c r="C1144">
        <v>102</v>
      </c>
      <c r="D1144">
        <v>1</v>
      </c>
      <c r="E1144">
        <v>0</v>
      </c>
      <c r="F1144">
        <v>0.10122749541529311</v>
      </c>
      <c r="G1144">
        <v>1.3709303969850067E-2</v>
      </c>
      <c r="H1144">
        <v>0.22299643625371207</v>
      </c>
    </row>
    <row r="1145" spans="2:8">
      <c r="B1145">
        <v>3</v>
      </c>
      <c r="C1145">
        <v>92.23681599999999</v>
      </c>
      <c r="D1145">
        <v>3</v>
      </c>
      <c r="E1145">
        <v>0</v>
      </c>
      <c r="F1145">
        <v>-0.27569348181286224</v>
      </c>
      <c r="G1145">
        <v>-0.32678340036047426</v>
      </c>
      <c r="H1145">
        <v>-8.8481526390154663E-2</v>
      </c>
    </row>
    <row r="1146" spans="2:8">
      <c r="B1146">
        <v>3</v>
      </c>
      <c r="C1146">
        <v>106</v>
      </c>
      <c r="D1146">
        <v>3</v>
      </c>
      <c r="E1146">
        <v>0</v>
      </c>
      <c r="F1146">
        <v>-0.29249137014805698</v>
      </c>
      <c r="G1146">
        <v>-0.17483634787306412</v>
      </c>
      <c r="H1146">
        <v>3.6888755130376497E-2</v>
      </c>
    </row>
    <row r="1147" spans="2:8">
      <c r="B1147">
        <v>3</v>
      </c>
      <c r="C1147">
        <v>92.23681599999999</v>
      </c>
      <c r="D1147">
        <v>3</v>
      </c>
      <c r="E1147">
        <v>0</v>
      </c>
      <c r="F1147">
        <v>-0.10295081415473056</v>
      </c>
      <c r="G1147">
        <v>-2.1535492283841006E-2</v>
      </c>
      <c r="H1147">
        <v>-0.17689554193202861</v>
      </c>
    </row>
    <row r="1148" spans="2:8">
      <c r="B1148">
        <v>3</v>
      </c>
      <c r="C1148">
        <v>92.23681599999999</v>
      </c>
      <c r="D1148">
        <v>3</v>
      </c>
      <c r="E1148">
        <v>0</v>
      </c>
      <c r="F1148">
        <v>-7.3833392873515341E-2</v>
      </c>
      <c r="G1148">
        <v>-0.24110088747080005</v>
      </c>
      <c r="H1148">
        <v>-0.36362084351259005</v>
      </c>
    </row>
    <row r="1149" spans="2:8">
      <c r="B1149">
        <v>3</v>
      </c>
      <c r="C1149">
        <v>106</v>
      </c>
      <c r="D1149">
        <v>3</v>
      </c>
      <c r="E1149">
        <v>0</v>
      </c>
      <c r="F1149">
        <v>-5.2352802489923661E-2</v>
      </c>
      <c r="G1149">
        <v>0.12323104259132887</v>
      </c>
      <c r="H1149">
        <v>2.3620905940501927E-2</v>
      </c>
    </row>
    <row r="1150" spans="2:8">
      <c r="B1150">
        <v>3</v>
      </c>
      <c r="C1150">
        <v>47.494231101509342</v>
      </c>
      <c r="D1150">
        <v>2</v>
      </c>
      <c r="E1150">
        <v>0</v>
      </c>
      <c r="F1150">
        <v>-0.11841223256434012</v>
      </c>
      <c r="G1150">
        <v>-0.35120787931821768</v>
      </c>
      <c r="H1150">
        <v>-0.52505768898490657</v>
      </c>
    </row>
    <row r="1151" spans="2:8">
      <c r="B1151">
        <v>1</v>
      </c>
      <c r="C1151">
        <v>102</v>
      </c>
      <c r="D1151">
        <v>1</v>
      </c>
      <c r="E1151">
        <v>0</v>
      </c>
      <c r="F1151">
        <v>9.4556353273971355E-2</v>
      </c>
    </row>
    <row r="1152" spans="2:8">
      <c r="B1152">
        <v>3</v>
      </c>
      <c r="C1152">
        <v>92.23681599999999</v>
      </c>
      <c r="D1152">
        <v>2</v>
      </c>
      <c r="E1152">
        <v>0</v>
      </c>
      <c r="F1152">
        <v>-0.24579455070956707</v>
      </c>
      <c r="G1152">
        <v>-0.45189090190561454</v>
      </c>
      <c r="H1152">
        <v>-5.4001701258839879E-2</v>
      </c>
    </row>
    <row r="1153" spans="2:8">
      <c r="B1153">
        <v>1</v>
      </c>
      <c r="C1153">
        <v>102</v>
      </c>
      <c r="D1153">
        <v>1</v>
      </c>
      <c r="E1153">
        <v>0</v>
      </c>
      <c r="F1153">
        <v>0.25023585262311615</v>
      </c>
      <c r="G1153">
        <v>0.12508655864826301</v>
      </c>
      <c r="H1153">
        <v>9.2481946063546663E-2</v>
      </c>
    </row>
    <row r="1154" spans="2:8">
      <c r="B1154">
        <v>1</v>
      </c>
      <c r="C1154">
        <v>102</v>
      </c>
      <c r="D1154">
        <v>1</v>
      </c>
      <c r="E1154">
        <v>0</v>
      </c>
      <c r="F1154">
        <v>1.5541128013728756E-2</v>
      </c>
    </row>
    <row r="1155" spans="2:8">
      <c r="B1155">
        <v>3</v>
      </c>
      <c r="C1155">
        <v>92.23681599999999</v>
      </c>
      <c r="D1155">
        <v>3</v>
      </c>
      <c r="E1155">
        <v>0</v>
      </c>
      <c r="F1155">
        <v>-0.12901508654412991</v>
      </c>
      <c r="G1155">
        <v>-7.927074540882291E-2</v>
      </c>
      <c r="H1155">
        <v>-0.26633582224934227</v>
      </c>
    </row>
    <row r="1156" spans="2:8">
      <c r="B1156">
        <v>3</v>
      </c>
      <c r="C1156">
        <v>51.059568222490128</v>
      </c>
      <c r="D1156">
        <v>2</v>
      </c>
      <c r="E1156">
        <v>0</v>
      </c>
      <c r="F1156">
        <v>-0.10919529296609569</v>
      </c>
      <c r="G1156">
        <v>-0.32667786945645477</v>
      </c>
      <c r="H1156">
        <v>-0.48940431777509874</v>
      </c>
    </row>
    <row r="1157" spans="2:8">
      <c r="B1157">
        <v>1</v>
      </c>
      <c r="C1157">
        <v>102</v>
      </c>
      <c r="D1157">
        <v>1</v>
      </c>
      <c r="E1157">
        <v>0</v>
      </c>
      <c r="F1157">
        <v>5.8880878202081849E-2</v>
      </c>
    </row>
    <row r="1158" spans="2:8">
      <c r="B1158">
        <v>3</v>
      </c>
      <c r="C1158">
        <v>56.33102212418504</v>
      </c>
      <c r="D1158">
        <v>2</v>
      </c>
      <c r="E1158">
        <v>0</v>
      </c>
      <c r="F1158">
        <v>-0.13385044192646112</v>
      </c>
      <c r="G1158">
        <v>-0.24342850418160722</v>
      </c>
      <c r="H1158">
        <v>-0.43668977875814963</v>
      </c>
    </row>
    <row r="1159" spans="2:8">
      <c r="B1159">
        <v>3</v>
      </c>
      <c r="C1159">
        <v>92.23681599999999</v>
      </c>
      <c r="D1159">
        <v>3</v>
      </c>
      <c r="E1159">
        <v>0</v>
      </c>
      <c r="F1159">
        <v>-9.5703596702577692E-2</v>
      </c>
      <c r="G1159">
        <v>-4.1482803950920761E-3</v>
      </c>
      <c r="H1159">
        <v>-0.15111444932078633</v>
      </c>
    </row>
    <row r="1160" spans="2:8">
      <c r="B1160">
        <v>1</v>
      </c>
      <c r="C1160">
        <v>102</v>
      </c>
      <c r="D1160">
        <v>1</v>
      </c>
      <c r="E1160">
        <v>0</v>
      </c>
      <c r="F1160">
        <v>1.376846758162128E-2</v>
      </c>
    </row>
    <row r="1161" spans="2:8">
      <c r="B1161">
        <v>1</v>
      </c>
      <c r="C1161">
        <v>102</v>
      </c>
      <c r="D1161">
        <v>1</v>
      </c>
      <c r="E1161">
        <v>0</v>
      </c>
      <c r="F1161">
        <v>0.12014090757922606</v>
      </c>
    </row>
    <row r="1162" spans="2:8">
      <c r="B1162">
        <v>3</v>
      </c>
      <c r="C1162">
        <v>49.719937672503342</v>
      </c>
      <c r="D1162">
        <v>2</v>
      </c>
      <c r="E1162">
        <v>0</v>
      </c>
      <c r="F1162">
        <v>-0.15401993168986955</v>
      </c>
      <c r="G1162">
        <v>-0.28227430188548186</v>
      </c>
      <c r="H1162">
        <v>-0.50280062327496655</v>
      </c>
    </row>
    <row r="1163" spans="2:8">
      <c r="B1163">
        <v>3</v>
      </c>
      <c r="C1163">
        <v>106</v>
      </c>
      <c r="D1163">
        <v>3</v>
      </c>
      <c r="E1163">
        <v>0</v>
      </c>
      <c r="F1163">
        <v>-4.37804644430696E-2</v>
      </c>
      <c r="G1163">
        <v>0.15857119520959043</v>
      </c>
      <c r="H1163">
        <v>6.7837075973144728E-2</v>
      </c>
    </row>
    <row r="1164" spans="2:8">
      <c r="B1164">
        <v>3</v>
      </c>
      <c r="C1164">
        <v>92.23681599999999</v>
      </c>
      <c r="D1164">
        <v>2</v>
      </c>
      <c r="E1164">
        <v>0</v>
      </c>
      <c r="F1164">
        <v>-0.14759569954808116</v>
      </c>
      <c r="G1164">
        <v>-0.44119796566666947</v>
      </c>
      <c r="H1164">
        <v>-0.29350167491121343</v>
      </c>
    </row>
    <row r="1165" spans="2:8">
      <c r="B1165">
        <v>3</v>
      </c>
      <c r="C1165">
        <v>92.23681599999999</v>
      </c>
      <c r="D1165">
        <v>1</v>
      </c>
      <c r="E1165">
        <v>0</v>
      </c>
      <c r="F1165">
        <v>-0.4062216017783532</v>
      </c>
      <c r="G1165">
        <v>-0.48474877394035526</v>
      </c>
      <c r="H1165">
        <v>-0.33475505277874557</v>
      </c>
    </row>
    <row r="1166" spans="2:8">
      <c r="B1166">
        <v>3</v>
      </c>
      <c r="C1166">
        <v>92.23681599999999</v>
      </c>
      <c r="D1166">
        <v>3</v>
      </c>
      <c r="E1166">
        <v>0</v>
      </c>
      <c r="F1166">
        <v>-3.7857620675087376E-2</v>
      </c>
      <c r="G1166">
        <v>-5.3303616162740805E-2</v>
      </c>
      <c r="H1166">
        <v>-0.13798809908353132</v>
      </c>
    </row>
    <row r="1167" spans="2:8">
      <c r="B1167">
        <v>1</v>
      </c>
      <c r="C1167">
        <v>102</v>
      </c>
      <c r="D1167">
        <v>1</v>
      </c>
      <c r="E1167">
        <v>0</v>
      </c>
      <c r="F1167">
        <v>0.24101234374725181</v>
      </c>
      <c r="G1167">
        <v>0.16082472293790945</v>
      </c>
      <c r="H1167">
        <v>0.13688932246653338</v>
      </c>
    </row>
    <row r="1168" spans="2:8">
      <c r="B1168">
        <v>1</v>
      </c>
      <c r="C1168">
        <v>102</v>
      </c>
      <c r="D1168">
        <v>1</v>
      </c>
      <c r="E1168">
        <v>0</v>
      </c>
      <c r="F1168">
        <v>0.19995874187090784</v>
      </c>
    </row>
    <row r="1169" spans="2:8">
      <c r="B1169">
        <v>3</v>
      </c>
      <c r="C1169">
        <v>92.23681599999999</v>
      </c>
      <c r="D1169">
        <v>3</v>
      </c>
      <c r="E1169">
        <v>0</v>
      </c>
      <c r="F1169">
        <v>-5.930005310477203E-2</v>
      </c>
      <c r="G1169">
        <v>9.8509396916243774E-2</v>
      </c>
      <c r="H1169">
        <v>-8.4022735890311364E-3</v>
      </c>
    </row>
    <row r="1170" spans="2:8">
      <c r="B1170">
        <v>3</v>
      </c>
      <c r="C1170">
        <v>92.23681599999999</v>
      </c>
      <c r="D1170">
        <v>3</v>
      </c>
      <c r="E1170">
        <v>0</v>
      </c>
      <c r="F1170">
        <v>-0.23519530923496434</v>
      </c>
      <c r="G1170">
        <v>-6.6747032444743906E-2</v>
      </c>
      <c r="H1170">
        <v>-1.3901781878576871E-2</v>
      </c>
    </row>
    <row r="1171" spans="2:8">
      <c r="B1171">
        <v>3</v>
      </c>
      <c r="C1171">
        <v>92.23681599999999</v>
      </c>
      <c r="D1171">
        <v>3</v>
      </c>
      <c r="E1171">
        <v>0</v>
      </c>
      <c r="F1171">
        <v>-6.7888683863597421E-2</v>
      </c>
      <c r="G1171">
        <v>7.105498418406489E-2</v>
      </c>
      <c r="H1171">
        <v>-4.5023936239825202E-2</v>
      </c>
    </row>
    <row r="1172" spans="2:8">
      <c r="B1172">
        <v>3</v>
      </c>
      <c r="C1172">
        <v>106</v>
      </c>
      <c r="D1172">
        <v>3</v>
      </c>
      <c r="E1172">
        <v>0</v>
      </c>
      <c r="F1172">
        <v>-0.19251181640130774</v>
      </c>
      <c r="G1172">
        <v>8.5495762961333446E-2</v>
      </c>
      <c r="H1172">
        <v>0.17287706947423448</v>
      </c>
    </row>
    <row r="1173" spans="2:8">
      <c r="B1173">
        <v>3</v>
      </c>
      <c r="C1173">
        <v>92.23681599999999</v>
      </c>
      <c r="D1173">
        <v>3</v>
      </c>
      <c r="E1173">
        <v>0</v>
      </c>
      <c r="F1173">
        <v>-0.15078804768043919</v>
      </c>
      <c r="G1173">
        <v>-0.123137528340659</v>
      </c>
      <c r="H1173">
        <v>-0.33911804048070715</v>
      </c>
    </row>
    <row r="1174" spans="2:8">
      <c r="B1174">
        <v>1</v>
      </c>
      <c r="C1174">
        <v>102</v>
      </c>
      <c r="D1174">
        <v>1</v>
      </c>
      <c r="E1174">
        <v>0</v>
      </c>
      <c r="F1174">
        <v>6.4411224104100578E-2</v>
      </c>
    </row>
    <row r="1175" spans="2:8">
      <c r="B1175">
        <v>3</v>
      </c>
      <c r="C1175">
        <v>92.23681599999999</v>
      </c>
      <c r="D1175">
        <v>3</v>
      </c>
      <c r="E1175">
        <v>0</v>
      </c>
      <c r="F1175">
        <v>-0.14883757526576449</v>
      </c>
      <c r="G1175">
        <v>-0.11934130609281511</v>
      </c>
      <c r="H1175">
        <v>-0.33261442762642451</v>
      </c>
    </row>
    <row r="1176" spans="2:8">
      <c r="B1176">
        <v>3</v>
      </c>
      <c r="C1176">
        <v>92.23681599999999</v>
      </c>
      <c r="D1176">
        <v>3</v>
      </c>
      <c r="E1176">
        <v>0</v>
      </c>
      <c r="F1176">
        <v>-5.6637060302684679E-2</v>
      </c>
      <c r="G1176">
        <v>-0.20273122210196504</v>
      </c>
      <c r="H1176">
        <v>-0.30683236674795056</v>
      </c>
    </row>
    <row r="1177" spans="2:8">
      <c r="B1177">
        <v>3</v>
      </c>
      <c r="C1177">
        <v>92.23681599999999</v>
      </c>
      <c r="D1177">
        <v>3</v>
      </c>
      <c r="E1177">
        <v>0</v>
      </c>
      <c r="F1177">
        <v>-0.10465806397442542</v>
      </c>
      <c r="G1177">
        <v>-2.5534234589201048E-2</v>
      </c>
      <c r="H1177">
        <v>-0.18289548601915814</v>
      </c>
    </row>
    <row r="1178" spans="2:8">
      <c r="B1178">
        <v>1</v>
      </c>
      <c r="C1178">
        <v>102</v>
      </c>
      <c r="D1178">
        <v>1</v>
      </c>
      <c r="E1178">
        <v>0</v>
      </c>
      <c r="F1178">
        <v>4.3024901593202707E-2</v>
      </c>
      <c r="G1178">
        <v>-0.28476475006688068</v>
      </c>
      <c r="H1178">
        <v>-0.35765259089990159</v>
      </c>
    </row>
    <row r="1179" spans="2:8">
      <c r="B1179">
        <v>1</v>
      </c>
      <c r="C1179">
        <v>102</v>
      </c>
      <c r="D1179">
        <v>1</v>
      </c>
      <c r="E1179">
        <v>0</v>
      </c>
      <c r="F1179">
        <v>1.6680994109522274E-2</v>
      </c>
      <c r="G1179">
        <v>0.19699632988655266</v>
      </c>
      <c r="H1179">
        <v>0.1801499220354951</v>
      </c>
    </row>
    <row r="1180" spans="2:8">
      <c r="B1180">
        <v>3</v>
      </c>
      <c r="C1180">
        <v>92.23681599999999</v>
      </c>
      <c r="D1180">
        <v>3</v>
      </c>
      <c r="E1180">
        <v>0</v>
      </c>
      <c r="F1180">
        <v>-0.25269415604431889</v>
      </c>
      <c r="G1180">
        <v>-0.10466642205002015</v>
      </c>
      <c r="H1180">
        <v>-6.2251453184591472E-2</v>
      </c>
    </row>
    <row r="1181" spans="2:8">
      <c r="B1181">
        <v>3</v>
      </c>
      <c r="C1181">
        <v>106</v>
      </c>
      <c r="D1181">
        <v>3</v>
      </c>
      <c r="E1181">
        <v>0</v>
      </c>
      <c r="F1181">
        <v>-4.2155112014446078E-2</v>
      </c>
      <c r="G1181">
        <v>0.16615104985317689</v>
      </c>
      <c r="H1181">
        <v>7.7083727776153521E-2</v>
      </c>
    </row>
    <row r="1182" spans="2:8">
      <c r="B1182">
        <v>1</v>
      </c>
      <c r="C1182">
        <v>102</v>
      </c>
      <c r="D1182">
        <v>1</v>
      </c>
      <c r="E1182">
        <v>0</v>
      </c>
      <c r="F1182">
        <v>0.43477100028959825</v>
      </c>
      <c r="G1182">
        <v>-0.32982019991253941</v>
      </c>
      <c r="H1182">
        <v>-0.42013363958733491</v>
      </c>
    </row>
    <row r="1183" spans="2:8">
      <c r="B1183">
        <v>1</v>
      </c>
      <c r="C1183">
        <v>102</v>
      </c>
      <c r="D1183">
        <v>1</v>
      </c>
      <c r="E1183">
        <v>0</v>
      </c>
      <c r="F1183">
        <v>0.11089024586386539</v>
      </c>
    </row>
    <row r="1184" spans="2:8">
      <c r="B1184">
        <v>1</v>
      </c>
      <c r="C1184">
        <v>102</v>
      </c>
      <c r="D1184">
        <v>1</v>
      </c>
      <c r="E1184">
        <v>0</v>
      </c>
      <c r="F1184">
        <v>6.6542332887534694E-2</v>
      </c>
    </row>
    <row r="1185" spans="2:8">
      <c r="B1185">
        <v>1</v>
      </c>
      <c r="C1185">
        <v>102</v>
      </c>
      <c r="D1185">
        <v>1</v>
      </c>
      <c r="E1185">
        <v>0</v>
      </c>
      <c r="F1185">
        <v>0.37513545448010194</v>
      </c>
    </row>
    <row r="1186" spans="2:8">
      <c r="B1186">
        <v>3</v>
      </c>
      <c r="C1186">
        <v>44.409766330585818</v>
      </c>
      <c r="D1186">
        <v>2</v>
      </c>
      <c r="E1186">
        <v>0</v>
      </c>
      <c r="F1186">
        <v>-0.12604593737331987</v>
      </c>
      <c r="G1186">
        <v>-0.37258723175973618</v>
      </c>
      <c r="H1186">
        <v>-0.5559023366941418</v>
      </c>
    </row>
    <row r="1187" spans="2:8">
      <c r="B1187">
        <v>3</v>
      </c>
      <c r="C1187">
        <v>58.126702890614709</v>
      </c>
      <c r="D1187">
        <v>2</v>
      </c>
      <c r="E1187">
        <v>0</v>
      </c>
      <c r="F1187">
        <v>-8.9760311881192639E-3</v>
      </c>
      <c r="G1187">
        <v>-0.3626246631270178</v>
      </c>
      <c r="H1187">
        <v>-0.41873297109385288</v>
      </c>
    </row>
    <row r="1188" spans="2:8">
      <c r="B1188">
        <v>3</v>
      </c>
      <c r="C1188">
        <v>92.23681599999999</v>
      </c>
      <c r="D1188">
        <v>3</v>
      </c>
      <c r="E1188">
        <v>0</v>
      </c>
      <c r="F1188">
        <v>-0.38062271297596212</v>
      </c>
      <c r="G1188">
        <v>-0.29301962908245077</v>
      </c>
      <c r="H1188">
        <v>-0.28902863946189422</v>
      </c>
    </row>
    <row r="1189" spans="2:8">
      <c r="B1189">
        <v>1</v>
      </c>
      <c r="C1189">
        <v>102</v>
      </c>
      <c r="D1189">
        <v>1</v>
      </c>
      <c r="E1189">
        <v>0</v>
      </c>
      <c r="F1189">
        <v>7.2274518769662358E-2</v>
      </c>
      <c r="G1189">
        <v>-0.12959235012172099</v>
      </c>
      <c r="H1189">
        <v>-0.45294930287357382</v>
      </c>
    </row>
    <row r="1190" spans="2:8">
      <c r="B1190">
        <v>1</v>
      </c>
      <c r="C1190">
        <v>102</v>
      </c>
      <c r="D1190">
        <v>1</v>
      </c>
      <c r="E1190">
        <v>0</v>
      </c>
      <c r="F1190">
        <v>0.23558089502474791</v>
      </c>
    </row>
    <row r="1191" spans="2:8">
      <c r="B1191">
        <v>3</v>
      </c>
      <c r="C1191">
        <v>92.23681599999999</v>
      </c>
      <c r="D1191">
        <v>3</v>
      </c>
      <c r="E1191">
        <v>0</v>
      </c>
      <c r="F1191">
        <v>-8.5223946745459384E-2</v>
      </c>
      <c r="G1191">
        <v>2.2358792908692145E-2</v>
      </c>
      <c r="H1191">
        <v>-0.11273797308972983</v>
      </c>
    </row>
    <row r="1192" spans="2:8">
      <c r="B1192">
        <v>3</v>
      </c>
      <c r="C1192">
        <v>43.65899259063346</v>
      </c>
      <c r="D1192">
        <v>2</v>
      </c>
      <c r="E1192">
        <v>0</v>
      </c>
      <c r="F1192">
        <v>-0.12785272358949787</v>
      </c>
      <c r="G1192">
        <v>-0.37781783720949164</v>
      </c>
      <c r="H1192">
        <v>-0.56341007409366539</v>
      </c>
    </row>
    <row r="1193" spans="2:8">
      <c r="B1193">
        <v>1</v>
      </c>
      <c r="C1193">
        <v>102</v>
      </c>
      <c r="D1193">
        <v>1</v>
      </c>
      <c r="E1193">
        <v>0</v>
      </c>
      <c r="F1193">
        <v>0.13968227639802558</v>
      </c>
      <c r="G1193">
        <v>-0.38081302031589587</v>
      </c>
      <c r="H1193">
        <v>-0.27974663938829214</v>
      </c>
    </row>
    <row r="1194" spans="2:8">
      <c r="B1194">
        <v>1</v>
      </c>
      <c r="C1194">
        <v>102</v>
      </c>
      <c r="D1194">
        <v>1</v>
      </c>
      <c r="E1194">
        <v>0</v>
      </c>
      <c r="F1194">
        <v>0.17371854439645704</v>
      </c>
      <c r="G1194">
        <v>-2.5124513625140615E-3</v>
      </c>
      <c r="H1194">
        <v>4.7601912687626939E-3</v>
      </c>
    </row>
    <row r="1195" spans="2:8">
      <c r="B1195">
        <v>3</v>
      </c>
      <c r="C1195">
        <v>106</v>
      </c>
      <c r="D1195">
        <v>3</v>
      </c>
      <c r="E1195">
        <v>0</v>
      </c>
      <c r="F1195">
        <v>-3.354939300285105E-2</v>
      </c>
      <c r="G1195">
        <v>0.21455523995832701</v>
      </c>
      <c r="H1195">
        <v>0.13422972245523362</v>
      </c>
    </row>
    <row r="1196" spans="2:8">
      <c r="B1196">
        <v>1</v>
      </c>
      <c r="C1196">
        <v>102</v>
      </c>
      <c r="D1196">
        <v>1</v>
      </c>
      <c r="E1196">
        <v>0</v>
      </c>
      <c r="F1196">
        <v>0.18924777487134795</v>
      </c>
    </row>
    <row r="1197" spans="2:8">
      <c r="B1197">
        <v>3</v>
      </c>
      <c r="C1197">
        <v>92.23681599999999</v>
      </c>
      <c r="D1197">
        <v>2</v>
      </c>
      <c r="E1197">
        <v>0</v>
      </c>
      <c r="F1197">
        <v>-0.3347285218804345</v>
      </c>
      <c r="G1197">
        <v>-0.40297835259691078</v>
      </c>
      <c r="H1197">
        <v>-0.22781180185830738</v>
      </c>
    </row>
    <row r="1198" spans="2:8">
      <c r="B1198">
        <v>3</v>
      </c>
      <c r="C1198">
        <v>92.23681599999999</v>
      </c>
      <c r="D1198">
        <v>3</v>
      </c>
      <c r="E1198">
        <v>0</v>
      </c>
      <c r="F1198">
        <v>-0.19015046079031139</v>
      </c>
      <c r="G1198">
        <v>0.10300099678205153</v>
      </c>
      <c r="H1198">
        <v>-0.17561831061443017</v>
      </c>
    </row>
    <row r="1199" spans="2:8">
      <c r="B1199">
        <v>1</v>
      </c>
      <c r="C1199">
        <v>102</v>
      </c>
      <c r="D1199">
        <v>1</v>
      </c>
      <c r="E1199">
        <v>0</v>
      </c>
      <c r="F1199">
        <v>0.33425442664932387</v>
      </c>
    </row>
    <row r="1200" spans="2:8">
      <c r="B1200">
        <v>3</v>
      </c>
      <c r="C1200">
        <v>92.23681599999999</v>
      </c>
      <c r="D1200">
        <v>3</v>
      </c>
      <c r="E1200">
        <v>0</v>
      </c>
      <c r="F1200">
        <v>-1.1732446832056237E-2</v>
      </c>
      <c r="G1200">
        <v>-1.1844072048231903E-4</v>
      </c>
      <c r="H1200">
        <v>-5.8889466193401151E-2</v>
      </c>
    </row>
    <row r="1201" spans="2:8">
      <c r="B1201">
        <v>1</v>
      </c>
      <c r="C1201">
        <v>102</v>
      </c>
      <c r="D1201">
        <v>1</v>
      </c>
      <c r="E1201">
        <v>0</v>
      </c>
      <c r="F1201">
        <v>6.7918572395001445E-2</v>
      </c>
      <c r="G1201">
        <v>-8.9528088043541121E-2</v>
      </c>
      <c r="H1201">
        <v>-0.20229914093933246</v>
      </c>
    </row>
    <row r="1202" spans="2:8">
      <c r="B1202">
        <v>1</v>
      </c>
      <c r="C1202">
        <v>102</v>
      </c>
      <c r="D1202">
        <v>1</v>
      </c>
      <c r="E1202">
        <v>0</v>
      </c>
      <c r="F1202">
        <v>7.3689257662018365E-2</v>
      </c>
    </row>
    <row r="1203" spans="2:8">
      <c r="B1203">
        <v>1</v>
      </c>
      <c r="C1203">
        <v>102</v>
      </c>
      <c r="D1203">
        <v>1</v>
      </c>
      <c r="E1203">
        <v>0</v>
      </c>
      <c r="F1203">
        <v>5.6821146440735049E-2</v>
      </c>
    </row>
    <row r="1204" spans="2:8">
      <c r="B1204">
        <v>1</v>
      </c>
      <c r="C1204">
        <v>102</v>
      </c>
      <c r="D1204">
        <v>1</v>
      </c>
      <c r="E1204">
        <v>0</v>
      </c>
      <c r="F1204">
        <v>0.11265280464775364</v>
      </c>
      <c r="G1204">
        <v>-0.53572799213478739</v>
      </c>
      <c r="H1204">
        <v>-0.6802883157651699</v>
      </c>
    </row>
    <row r="1205" spans="2:8">
      <c r="B1205">
        <v>3</v>
      </c>
      <c r="C1205">
        <v>92.23681599999999</v>
      </c>
      <c r="D1205">
        <v>3</v>
      </c>
      <c r="E1205">
        <v>0</v>
      </c>
      <c r="F1205">
        <v>-0.13876108553871033</v>
      </c>
      <c r="G1205">
        <v>-9.932536851254474E-2</v>
      </c>
      <c r="H1205">
        <v>-0.29900117823341349</v>
      </c>
    </row>
    <row r="1206" spans="2:8">
      <c r="B1206">
        <v>3</v>
      </c>
      <c r="C1206">
        <v>92.23681599999999</v>
      </c>
      <c r="D1206">
        <v>3</v>
      </c>
      <c r="E1206">
        <v>0</v>
      </c>
      <c r="F1206">
        <v>-8.2511417268593165E-2</v>
      </c>
      <c r="G1206">
        <v>-0.26114365277686841</v>
      </c>
      <c r="H1206">
        <v>-0.39321609450433198</v>
      </c>
    </row>
    <row r="1207" spans="2:8">
      <c r="B1207">
        <v>3</v>
      </c>
      <c r="C1207">
        <v>106</v>
      </c>
      <c r="D1207">
        <v>3</v>
      </c>
      <c r="E1207">
        <v>0</v>
      </c>
      <c r="F1207">
        <v>-2.6533467650244332E-2</v>
      </c>
      <c r="G1207">
        <v>0.27824060446183196</v>
      </c>
      <c r="H1207">
        <v>0.20494033934251132</v>
      </c>
    </row>
    <row r="1208" spans="2:8">
      <c r="B1208">
        <v>3</v>
      </c>
      <c r="C1208">
        <v>106</v>
      </c>
      <c r="D1208">
        <v>3</v>
      </c>
      <c r="E1208">
        <v>0</v>
      </c>
      <c r="F1208">
        <v>-0.21964383902577209</v>
      </c>
      <c r="G1208">
        <v>-2.6357702631543054E-2</v>
      </c>
      <c r="H1208">
        <v>3.7387136815566185E-2</v>
      </c>
    </row>
    <row r="1209" spans="2:8">
      <c r="B1209">
        <v>3</v>
      </c>
      <c r="C1209">
        <v>92.23681599999999</v>
      </c>
      <c r="D1209">
        <v>3</v>
      </c>
      <c r="E1209">
        <v>0</v>
      </c>
      <c r="F1209">
        <v>-9.4023927181309669E-2</v>
      </c>
      <c r="G1209">
        <v>-1.5762784860123039E-5</v>
      </c>
      <c r="H1209">
        <v>-0.14505888883976176</v>
      </c>
    </row>
    <row r="1210" spans="2:8">
      <c r="B1210">
        <v>3</v>
      </c>
      <c r="C1210">
        <v>54.417952081905241</v>
      </c>
      <c r="D1210">
        <v>2</v>
      </c>
      <c r="E1210">
        <v>0</v>
      </c>
      <c r="F1210">
        <v>-0.10016224468410495</v>
      </c>
      <c r="G1210">
        <v>-0.30370923120564269</v>
      </c>
      <c r="H1210">
        <v>-0.45582047918094759</v>
      </c>
    </row>
    <row r="1211" spans="2:8">
      <c r="B1211">
        <v>1</v>
      </c>
      <c r="C1211">
        <v>102</v>
      </c>
      <c r="D1211">
        <v>1</v>
      </c>
      <c r="E1211">
        <v>0</v>
      </c>
      <c r="F1211">
        <v>2.8058577648046659E-2</v>
      </c>
      <c r="G1211">
        <v>0.28494980446853857</v>
      </c>
      <c r="H1211">
        <v>0.27863738525686205</v>
      </c>
    </row>
    <row r="1212" spans="2:8">
      <c r="B1212">
        <v>1</v>
      </c>
      <c r="C1212">
        <v>102</v>
      </c>
      <c r="D1212">
        <v>1</v>
      </c>
      <c r="E1212">
        <v>0</v>
      </c>
      <c r="F1212">
        <v>6.2300692156254507E-2</v>
      </c>
    </row>
    <row r="1213" spans="2:8">
      <c r="B1213">
        <v>1</v>
      </c>
      <c r="C1213">
        <v>102</v>
      </c>
      <c r="D1213">
        <v>1</v>
      </c>
      <c r="E1213">
        <v>0</v>
      </c>
      <c r="F1213">
        <v>9.2095891048001935E-2</v>
      </c>
    </row>
    <row r="1214" spans="2:8">
      <c r="B1214">
        <v>1</v>
      </c>
      <c r="C1214">
        <v>102</v>
      </c>
      <c r="D1214">
        <v>1</v>
      </c>
      <c r="E1214">
        <v>0</v>
      </c>
      <c r="F1214">
        <v>1.2003928840827424E-2</v>
      </c>
      <c r="G1214">
        <v>-0.30452285855054934</v>
      </c>
      <c r="H1214">
        <v>-0.22274057503661873</v>
      </c>
    </row>
    <row r="1215" spans="2:8">
      <c r="B1215">
        <v>3</v>
      </c>
      <c r="C1215">
        <v>92.23681599999999</v>
      </c>
      <c r="D1215">
        <v>3</v>
      </c>
      <c r="E1215">
        <v>0</v>
      </c>
      <c r="F1215">
        <v>-0.22721346622799271</v>
      </c>
      <c r="G1215">
        <v>-0.25575343406514828</v>
      </c>
      <c r="H1215">
        <v>-0.19752275076268486</v>
      </c>
    </row>
    <row r="1216" spans="2:8">
      <c r="B1216">
        <v>3</v>
      </c>
      <c r="C1216">
        <v>92.23681599999999</v>
      </c>
      <c r="D1216">
        <v>3</v>
      </c>
      <c r="E1216">
        <v>0</v>
      </c>
      <c r="F1216">
        <v>-8.0862225049653694E-2</v>
      </c>
      <c r="G1216">
        <v>-0.13948206437043661</v>
      </c>
      <c r="H1216">
        <v>-0.2697248991028437</v>
      </c>
    </row>
    <row r="1217" spans="2:8">
      <c r="B1217">
        <v>3</v>
      </c>
      <c r="C1217">
        <v>106</v>
      </c>
      <c r="D1217">
        <v>3</v>
      </c>
      <c r="E1217">
        <v>0</v>
      </c>
      <c r="F1217">
        <v>-0.14253497148210456</v>
      </c>
      <c r="G1217">
        <v>-0.1069032787051698</v>
      </c>
      <c r="H1217">
        <v>5.0547699989974396E-2</v>
      </c>
    </row>
    <row r="1218" spans="2:8">
      <c r="B1218">
        <v>1</v>
      </c>
      <c r="C1218">
        <v>102</v>
      </c>
      <c r="D1218">
        <v>1</v>
      </c>
      <c r="E1218">
        <v>0</v>
      </c>
      <c r="F1218">
        <v>0.28111269552117046</v>
      </c>
      <c r="G1218">
        <v>-0.64190241615830435</v>
      </c>
      <c r="H1218">
        <v>-0.76106025162803093</v>
      </c>
    </row>
    <row r="1219" spans="2:8">
      <c r="B1219">
        <v>1</v>
      </c>
      <c r="C1219">
        <v>102</v>
      </c>
      <c r="D1219">
        <v>1</v>
      </c>
      <c r="E1219">
        <v>0</v>
      </c>
      <c r="F1219">
        <v>1.706401340731126E-3</v>
      </c>
      <c r="G1219">
        <v>-0.25437118581717627</v>
      </c>
      <c r="H1219">
        <v>-0.32621196946832415</v>
      </c>
    </row>
    <row r="1220" spans="2:8">
      <c r="B1220">
        <v>1</v>
      </c>
      <c r="C1220">
        <v>102</v>
      </c>
      <c r="D1220">
        <v>1</v>
      </c>
      <c r="E1220">
        <v>0</v>
      </c>
      <c r="F1220">
        <v>2.1418119852579177E-2</v>
      </c>
      <c r="G1220">
        <v>-0.18035684817560943</v>
      </c>
      <c r="H1220">
        <v>-0.28293533818195005</v>
      </c>
    </row>
    <row r="1221" spans="2:8">
      <c r="B1221">
        <v>3</v>
      </c>
      <c r="C1221">
        <v>92.23681599999999</v>
      </c>
      <c r="D1221">
        <v>3</v>
      </c>
      <c r="E1221">
        <v>0</v>
      </c>
      <c r="F1221">
        <v>-0.2846045764672776</v>
      </c>
      <c r="G1221">
        <v>-0.33893923359506456</v>
      </c>
      <c r="H1221">
        <v>-0.3114600523632759</v>
      </c>
    </row>
    <row r="1222" spans="2:8">
      <c r="B1222">
        <v>3</v>
      </c>
      <c r="C1222">
        <v>92.23681599999999</v>
      </c>
      <c r="D1222">
        <v>3</v>
      </c>
      <c r="E1222">
        <v>0</v>
      </c>
      <c r="F1222">
        <v>-2.8112709980175781E-3</v>
      </c>
      <c r="G1222">
        <v>1.8206879582532941E-2</v>
      </c>
      <c r="H1222">
        <v>-3.1994867372234573E-2</v>
      </c>
    </row>
    <row r="1223" spans="2:8">
      <c r="B1223">
        <v>1</v>
      </c>
      <c r="C1223">
        <v>102</v>
      </c>
      <c r="D1223">
        <v>1</v>
      </c>
      <c r="E1223">
        <v>0</v>
      </c>
      <c r="F1223">
        <v>3.6050657662917852E-2</v>
      </c>
    </row>
    <row r="1224" spans="2:8">
      <c r="B1224">
        <v>1</v>
      </c>
      <c r="C1224">
        <v>102</v>
      </c>
      <c r="D1224">
        <v>1</v>
      </c>
      <c r="E1224">
        <v>0</v>
      </c>
      <c r="F1224">
        <v>0.26798632037639825</v>
      </c>
      <c r="G1224">
        <v>-0.5769078753344179</v>
      </c>
      <c r="H1224">
        <v>-0.68683243623709589</v>
      </c>
    </row>
    <row r="1225" spans="2:8">
      <c r="B1225">
        <v>1</v>
      </c>
      <c r="C1225">
        <v>102</v>
      </c>
      <c r="D1225">
        <v>1</v>
      </c>
      <c r="E1225">
        <v>0</v>
      </c>
      <c r="F1225">
        <v>0.16261304527865747</v>
      </c>
      <c r="G1225">
        <v>-0.33705591884823966</v>
      </c>
      <c r="H1225">
        <v>-0.43515625569209837</v>
      </c>
    </row>
    <row r="1226" spans="2:8">
      <c r="B1226">
        <v>3</v>
      </c>
      <c r="C1226">
        <v>92.23681599999999</v>
      </c>
      <c r="D1226">
        <v>3</v>
      </c>
      <c r="E1226">
        <v>0</v>
      </c>
      <c r="F1226">
        <v>-2.0527955097301202E-2</v>
      </c>
      <c r="G1226">
        <v>-1.8100853198686821E-2</v>
      </c>
      <c r="H1226">
        <v>-8.5458619712098685E-2</v>
      </c>
    </row>
    <row r="1227" spans="2:8">
      <c r="B1227">
        <v>1</v>
      </c>
      <c r="C1227">
        <v>102</v>
      </c>
      <c r="D1227">
        <v>1</v>
      </c>
      <c r="E1227">
        <v>0</v>
      </c>
      <c r="F1227">
        <v>0.10551039871385189</v>
      </c>
    </row>
    <row r="1228" spans="2:8">
      <c r="B1228">
        <v>3</v>
      </c>
      <c r="C1228">
        <v>59.414938684828989</v>
      </c>
      <c r="D1228">
        <v>2</v>
      </c>
      <c r="E1228">
        <v>0</v>
      </c>
      <c r="F1228">
        <v>-0.12424845627626688</v>
      </c>
      <c r="G1228">
        <v>-0.22478648608817015</v>
      </c>
      <c r="H1228">
        <v>-0.40585061315171012</v>
      </c>
    </row>
    <row r="1229" spans="2:8">
      <c r="B1229">
        <v>3</v>
      </c>
      <c r="C1229">
        <v>92.23681599999999</v>
      </c>
      <c r="D1229">
        <v>3</v>
      </c>
      <c r="E1229">
        <v>0</v>
      </c>
      <c r="F1229">
        <v>-0.12310183548551072</v>
      </c>
      <c r="G1229">
        <v>-6.673463406582783E-2</v>
      </c>
      <c r="H1229">
        <v>-0.24637017944006229</v>
      </c>
    </row>
    <row r="1230" spans="2:8">
      <c r="B1230">
        <v>1</v>
      </c>
      <c r="C1230">
        <v>102</v>
      </c>
      <c r="D1230">
        <v>1</v>
      </c>
      <c r="E1230">
        <v>0</v>
      </c>
      <c r="F1230">
        <v>0.11544531410668667</v>
      </c>
      <c r="G1230">
        <v>-0.66839679092236859</v>
      </c>
      <c r="H1230">
        <v>-0.71019656973989143</v>
      </c>
    </row>
    <row r="1231" spans="2:8">
      <c r="B1231">
        <v>3</v>
      </c>
      <c r="C1231">
        <v>92.23681599999999</v>
      </c>
      <c r="D1231">
        <v>2</v>
      </c>
      <c r="E1231">
        <v>0</v>
      </c>
      <c r="F1231">
        <v>-0.38961379541461399</v>
      </c>
      <c r="G1231">
        <v>-0.46649868404553668</v>
      </c>
      <c r="H1231">
        <v>-0.31283236928664621</v>
      </c>
    </row>
    <row r="1232" spans="2:8">
      <c r="B1232">
        <v>3</v>
      </c>
      <c r="C1232">
        <v>30.280889611792389</v>
      </c>
      <c r="D1232">
        <v>1</v>
      </c>
      <c r="E1232">
        <v>0</v>
      </c>
      <c r="F1232">
        <v>-0.15601033033487025</v>
      </c>
      <c r="G1232">
        <v>-0.47382614630404085</v>
      </c>
      <c r="H1232">
        <v>-0.69719110388207606</v>
      </c>
    </row>
    <row r="1233" spans="2:8">
      <c r="B1233">
        <v>1</v>
      </c>
      <c r="C1233">
        <v>102</v>
      </c>
      <c r="D1233">
        <v>1</v>
      </c>
      <c r="E1233">
        <v>0</v>
      </c>
      <c r="F1233">
        <v>8.1926807318661254E-2</v>
      </c>
      <c r="G1233">
        <v>-6.5575447108981666E-2</v>
      </c>
      <c r="H1233">
        <v>-5.8927951812362468E-2</v>
      </c>
    </row>
    <row r="1234" spans="2:8">
      <c r="B1234">
        <v>3</v>
      </c>
      <c r="C1234">
        <v>33.088196832619886</v>
      </c>
      <c r="D1234">
        <v>2</v>
      </c>
      <c r="E1234">
        <v>0</v>
      </c>
      <c r="F1234">
        <v>-0.2004837521269843</v>
      </c>
      <c r="G1234">
        <v>-0.36985762592035981</v>
      </c>
      <c r="H1234">
        <v>-0.66911803167380113</v>
      </c>
    </row>
    <row r="1235" spans="2:8">
      <c r="B1235">
        <v>1</v>
      </c>
      <c r="C1235">
        <v>102</v>
      </c>
      <c r="D1235">
        <v>1</v>
      </c>
      <c r="E1235">
        <v>0</v>
      </c>
      <c r="F1235">
        <v>7.0085169486824389E-2</v>
      </c>
      <c r="G1235">
        <v>-0.10954701972145114</v>
      </c>
      <c r="H1235">
        <v>-0.1225881626253895</v>
      </c>
    </row>
    <row r="1236" spans="2:8">
      <c r="B1236">
        <v>3</v>
      </c>
      <c r="C1236">
        <v>46.112514890627423</v>
      </c>
      <c r="D1236">
        <v>2</v>
      </c>
      <c r="E1236">
        <v>0</v>
      </c>
      <c r="F1236">
        <v>-0.16472099703485224</v>
      </c>
      <c r="G1236">
        <v>-0.30269763121072973</v>
      </c>
      <c r="H1236">
        <v>-0.53887485109372579</v>
      </c>
    </row>
    <row r="1237" spans="2:8">
      <c r="B1237">
        <v>3</v>
      </c>
      <c r="C1237">
        <v>48.381344336363377</v>
      </c>
      <c r="D1237">
        <v>1</v>
      </c>
      <c r="E1237">
        <v>0</v>
      </c>
      <c r="F1237">
        <v>-1.7807307952121851E-2</v>
      </c>
      <c r="G1237">
        <v>-0.45149958190509626</v>
      </c>
      <c r="H1237">
        <v>-0.51618655663636626</v>
      </c>
    </row>
    <row r="1238" spans="2:8">
      <c r="B1238">
        <v>3</v>
      </c>
      <c r="C1238">
        <v>92.23681599999999</v>
      </c>
      <c r="D1238">
        <v>3</v>
      </c>
      <c r="E1238">
        <v>0</v>
      </c>
      <c r="F1238">
        <v>-0.2729810289017896</v>
      </c>
      <c r="G1238">
        <v>-0.1425424036894446</v>
      </c>
      <c r="H1238">
        <v>-0.11016816328777645</v>
      </c>
    </row>
    <row r="1239" spans="2:8">
      <c r="B1239">
        <v>3</v>
      </c>
      <c r="C1239">
        <v>51.032248910007432</v>
      </c>
      <c r="D1239">
        <v>1</v>
      </c>
      <c r="E1239">
        <v>0</v>
      </c>
      <c r="F1239">
        <v>-1.6144012107798762E-2</v>
      </c>
      <c r="G1239">
        <v>-0.4266168456244212</v>
      </c>
      <c r="H1239">
        <v>-0.48967751089992567</v>
      </c>
    </row>
    <row r="1240" spans="2:8">
      <c r="B1240">
        <v>1</v>
      </c>
      <c r="C1240">
        <v>102</v>
      </c>
      <c r="D1240">
        <v>1</v>
      </c>
      <c r="E1240">
        <v>0</v>
      </c>
      <c r="F1240">
        <v>8.5757475657979032E-2</v>
      </c>
    </row>
    <row r="1241" spans="2:8">
      <c r="B1241">
        <v>1</v>
      </c>
      <c r="C1241">
        <v>102</v>
      </c>
      <c r="D1241">
        <v>1</v>
      </c>
      <c r="E1241">
        <v>0</v>
      </c>
      <c r="F1241">
        <v>2.6221135172555563E-2</v>
      </c>
      <c r="G1241">
        <v>-0.44312259293779738</v>
      </c>
      <c r="H1241">
        <v>-0.28985555933685475</v>
      </c>
    </row>
    <row r="1242" spans="2:8">
      <c r="B1242">
        <v>3</v>
      </c>
      <c r="C1242">
        <v>92.23681599999999</v>
      </c>
      <c r="D1242">
        <v>3</v>
      </c>
      <c r="E1242">
        <v>0</v>
      </c>
      <c r="F1242">
        <v>-0.32994287685452123</v>
      </c>
      <c r="G1242">
        <v>-0.22928543242177232</v>
      </c>
      <c r="H1242">
        <v>-0.21607314208028719</v>
      </c>
    </row>
    <row r="1243" spans="2:8">
      <c r="B1243">
        <v>1</v>
      </c>
      <c r="C1243">
        <v>102</v>
      </c>
      <c r="D1243">
        <v>1</v>
      </c>
      <c r="E1243">
        <v>0</v>
      </c>
      <c r="F1243">
        <v>3.9860354889602018E-2</v>
      </c>
    </row>
    <row r="1244" spans="2:8">
      <c r="B1244">
        <v>3</v>
      </c>
      <c r="C1244">
        <v>27.273110235968574</v>
      </c>
      <c r="D1244">
        <v>2</v>
      </c>
      <c r="E1244">
        <v>0</v>
      </c>
      <c r="F1244">
        <v>-0.2141502023196217</v>
      </c>
      <c r="G1244">
        <v>-0.39500600197015528</v>
      </c>
      <c r="H1244">
        <v>-0.72726889764031422</v>
      </c>
    </row>
    <row r="1245" spans="2:8">
      <c r="B1245">
        <v>1</v>
      </c>
      <c r="C1245">
        <v>102</v>
      </c>
      <c r="D1245">
        <v>1</v>
      </c>
      <c r="E1245">
        <v>0</v>
      </c>
      <c r="F1245">
        <v>0.10817758621542868</v>
      </c>
    </row>
    <row r="1246" spans="2:8">
      <c r="B1246">
        <v>3</v>
      </c>
      <c r="C1246">
        <v>92.23681599999999</v>
      </c>
      <c r="D1246">
        <v>2</v>
      </c>
      <c r="E1246">
        <v>0</v>
      </c>
      <c r="F1246">
        <v>-0.31640748052751233</v>
      </c>
      <c r="G1246">
        <v>-0.56988920799630016</v>
      </c>
      <c r="H1246">
        <v>-0.38223120531925991</v>
      </c>
    </row>
    <row r="1247" spans="2:8">
      <c r="B1247">
        <v>3</v>
      </c>
      <c r="C1247">
        <v>45.128461394943095</v>
      </c>
      <c r="D1247">
        <v>2</v>
      </c>
      <c r="E1247">
        <v>0</v>
      </c>
      <c r="F1247">
        <v>-0.20978213224967474</v>
      </c>
      <c r="G1247">
        <v>-0.22795748337538949</v>
      </c>
      <c r="H1247">
        <v>-0.54871538605056902</v>
      </c>
    </row>
    <row r="1248" spans="2:8">
      <c r="B1248">
        <v>3</v>
      </c>
      <c r="C1248">
        <v>106</v>
      </c>
      <c r="D1248">
        <v>3</v>
      </c>
      <c r="E1248">
        <v>0</v>
      </c>
      <c r="F1248">
        <v>-0.26886879596646834</v>
      </c>
      <c r="G1248">
        <v>-0.13527107125995302</v>
      </c>
      <c r="H1248">
        <v>0.11819979587652207</v>
      </c>
    </row>
    <row r="1249" spans="2:8">
      <c r="B1249">
        <v>3</v>
      </c>
      <c r="C1249">
        <v>92.23681599999999</v>
      </c>
      <c r="D1249">
        <v>3</v>
      </c>
      <c r="E1249">
        <v>0</v>
      </c>
      <c r="F1249">
        <v>-0.13083785701845321</v>
      </c>
      <c r="G1249">
        <v>-8.3077093393628981E-2</v>
      </c>
      <c r="H1249">
        <v>-0.27246459253178223</v>
      </c>
    </row>
    <row r="1250" spans="2:8">
      <c r="B1250">
        <v>1</v>
      </c>
      <c r="C1250">
        <v>102</v>
      </c>
      <c r="D1250">
        <v>1</v>
      </c>
      <c r="E1250">
        <v>0</v>
      </c>
      <c r="F1250">
        <v>4.5349584724716403E-3</v>
      </c>
    </row>
    <row r="1251" spans="2:8">
      <c r="B1251">
        <v>1</v>
      </c>
      <c r="C1251">
        <v>102</v>
      </c>
      <c r="D1251">
        <v>1</v>
      </c>
      <c r="E1251">
        <v>0</v>
      </c>
      <c r="F1251">
        <v>0.17658306143470975</v>
      </c>
      <c r="G1251">
        <v>-0.22666338935278305</v>
      </c>
      <c r="H1251">
        <v>-0.28827315649065849</v>
      </c>
    </row>
    <row r="1252" spans="2:8">
      <c r="B1252">
        <v>3</v>
      </c>
      <c r="C1252">
        <v>92.23681599999999</v>
      </c>
      <c r="D1252">
        <v>2</v>
      </c>
      <c r="E1252">
        <v>0</v>
      </c>
      <c r="F1252">
        <v>-0.28761621182174524</v>
      </c>
      <c r="G1252">
        <v>-0.52350215775968578</v>
      </c>
      <c r="H1252">
        <v>-0.30520018447818686</v>
      </c>
    </row>
    <row r="1253" spans="2:8">
      <c r="B1253">
        <v>3</v>
      </c>
      <c r="C1253">
        <v>92.23681599999999</v>
      </c>
      <c r="D1253">
        <v>3</v>
      </c>
      <c r="E1253">
        <v>0</v>
      </c>
      <c r="F1253">
        <v>-0.25864470037553855</v>
      </c>
      <c r="G1253">
        <v>-0.3027851860109696</v>
      </c>
      <c r="H1253">
        <v>-1.6864806610704684E-2</v>
      </c>
    </row>
    <row r="1254" spans="2:8">
      <c r="B1254">
        <v>3</v>
      </c>
      <c r="C1254">
        <v>35.672566047297877</v>
      </c>
      <c r="D1254">
        <v>1</v>
      </c>
      <c r="E1254">
        <v>0</v>
      </c>
      <c r="F1254">
        <v>-0.14566823998688652</v>
      </c>
      <c r="G1254">
        <v>-0.43434589915577393</v>
      </c>
      <c r="H1254">
        <v>-0.64327433952702129</v>
      </c>
    </row>
    <row r="1255" spans="2:8">
      <c r="B1255">
        <v>1</v>
      </c>
      <c r="C1255">
        <v>102</v>
      </c>
      <c r="D1255">
        <v>1</v>
      </c>
      <c r="E1255">
        <v>0</v>
      </c>
      <c r="F1255">
        <v>4.8198951744104365E-2</v>
      </c>
    </row>
    <row r="1256" spans="2:8">
      <c r="B1256">
        <v>1</v>
      </c>
      <c r="C1256">
        <v>102</v>
      </c>
      <c r="D1256">
        <v>1</v>
      </c>
      <c r="E1256">
        <v>0</v>
      </c>
      <c r="F1256">
        <v>2.8087267787544191E-3</v>
      </c>
    </row>
    <row r="1257" spans="2:8">
      <c r="B1257">
        <v>3</v>
      </c>
      <c r="C1257">
        <v>92.23681599999999</v>
      </c>
      <c r="D1257">
        <v>3</v>
      </c>
      <c r="E1257">
        <v>0</v>
      </c>
      <c r="F1257">
        <v>-0.18634003185587442</v>
      </c>
      <c r="G1257">
        <v>-0.18843725423412305</v>
      </c>
      <c r="H1257">
        <v>-9.465896308202823E-2</v>
      </c>
    </row>
    <row r="1258" spans="2:8">
      <c r="B1258">
        <v>3</v>
      </c>
      <c r="C1258">
        <v>23.387832730818829</v>
      </c>
      <c r="D1258">
        <v>1</v>
      </c>
      <c r="E1258">
        <v>0</v>
      </c>
      <c r="F1258">
        <v>-0.1668034432151555</v>
      </c>
      <c r="G1258">
        <v>-0.5267775294246807</v>
      </c>
      <c r="H1258">
        <v>-0.76612167269181175</v>
      </c>
    </row>
    <row r="1259" spans="2:8">
      <c r="B1259">
        <v>1</v>
      </c>
      <c r="C1259">
        <v>102</v>
      </c>
      <c r="D1259">
        <v>1</v>
      </c>
      <c r="E1259">
        <v>0</v>
      </c>
      <c r="F1259">
        <v>0.12307764709139536</v>
      </c>
    </row>
    <row r="1260" spans="2:8">
      <c r="B1260">
        <v>1</v>
      </c>
      <c r="C1260">
        <v>102</v>
      </c>
      <c r="D1260">
        <v>1</v>
      </c>
      <c r="E1260">
        <v>0</v>
      </c>
      <c r="F1260">
        <v>0.29696615885458172</v>
      </c>
      <c r="G1260">
        <v>-0.77807934386146171</v>
      </c>
      <c r="H1260">
        <v>-0.90669741732904663</v>
      </c>
    </row>
    <row r="1261" spans="2:8">
      <c r="B1261">
        <v>3</v>
      </c>
      <c r="C1261">
        <v>92.23681599999999</v>
      </c>
      <c r="D1261">
        <v>3</v>
      </c>
      <c r="E1261">
        <v>0</v>
      </c>
      <c r="F1261">
        <v>-0.11203704759653456</v>
      </c>
      <c r="G1261">
        <v>-4.2433892150046698E-2</v>
      </c>
      <c r="H1261">
        <v>-0.20855669708894781</v>
      </c>
    </row>
    <row r="1262" spans="2:8">
      <c r="B1262">
        <v>3</v>
      </c>
      <c r="C1262">
        <v>92.23681599999999</v>
      </c>
      <c r="D1262">
        <v>3</v>
      </c>
      <c r="E1262">
        <v>0</v>
      </c>
      <c r="F1262">
        <v>-4.8068295681991877E-2</v>
      </c>
      <c r="G1262">
        <v>-0.18418075240926182</v>
      </c>
      <c r="H1262">
        <v>-0.27933654521118573</v>
      </c>
    </row>
    <row r="1263" spans="2:8">
      <c r="B1263">
        <v>3</v>
      </c>
      <c r="C1263">
        <v>92.23681599999999</v>
      </c>
      <c r="D1263">
        <v>3</v>
      </c>
      <c r="E1263">
        <v>0</v>
      </c>
      <c r="F1263">
        <v>-0.13267082570058961</v>
      </c>
      <c r="G1263">
        <v>-8.6878317920994166E-2</v>
      </c>
      <c r="H1263">
        <v>-0.27861740149744835</v>
      </c>
    </row>
    <row r="1264" spans="2:8">
      <c r="B1264">
        <v>1</v>
      </c>
      <c r="C1264">
        <v>102</v>
      </c>
      <c r="D1264">
        <v>1</v>
      </c>
      <c r="E1264">
        <v>0</v>
      </c>
      <c r="F1264">
        <v>0.16938644793258398</v>
      </c>
      <c r="G1264">
        <v>1.5763358491710178E-2</v>
      </c>
      <c r="H1264">
        <v>0.20288471635667593</v>
      </c>
    </row>
    <row r="1265" spans="2:8">
      <c r="B1265">
        <v>1</v>
      </c>
      <c r="C1265">
        <v>102</v>
      </c>
      <c r="D1265">
        <v>1</v>
      </c>
      <c r="E1265">
        <v>0</v>
      </c>
      <c r="F1265">
        <v>9.7052141288997584E-2</v>
      </c>
      <c r="G1265">
        <v>6.7352195916599245E-2</v>
      </c>
      <c r="H1265">
        <v>8.506477620613534E-2</v>
      </c>
    </row>
    <row r="1266" spans="2:8">
      <c r="B1266">
        <v>1</v>
      </c>
      <c r="C1266">
        <v>102</v>
      </c>
      <c r="D1266">
        <v>1</v>
      </c>
      <c r="E1266">
        <v>0</v>
      </c>
      <c r="F1266">
        <v>0.10382481423364154</v>
      </c>
      <c r="G1266">
        <v>-3.194827895270104E-2</v>
      </c>
      <c r="H1266">
        <v>-0.2230915724141912</v>
      </c>
    </row>
    <row r="1267" spans="2:8">
      <c r="B1267">
        <v>1</v>
      </c>
      <c r="C1267">
        <v>102</v>
      </c>
      <c r="D1267">
        <v>1</v>
      </c>
      <c r="E1267">
        <v>0</v>
      </c>
      <c r="F1267">
        <v>8.4252472869798298E-2</v>
      </c>
      <c r="G1267">
        <v>-8.5729912898746513E-2</v>
      </c>
      <c r="H1267">
        <v>-8.816885228944106E-2</v>
      </c>
    </row>
    <row r="1268" spans="2:8">
      <c r="B1268">
        <v>1</v>
      </c>
      <c r="C1268">
        <v>102</v>
      </c>
      <c r="D1268">
        <v>1</v>
      </c>
      <c r="E1268">
        <v>0</v>
      </c>
      <c r="F1268">
        <v>0.15245777376558445</v>
      </c>
      <c r="G1268">
        <v>-0.15027785475545691</v>
      </c>
      <c r="H1268">
        <v>-2.6550504950507686E-2</v>
      </c>
    </row>
    <row r="1269" spans="2:8">
      <c r="B1269">
        <v>3</v>
      </c>
      <c r="C1269">
        <v>59.359979357733067</v>
      </c>
      <c r="D1269">
        <v>2</v>
      </c>
      <c r="E1269">
        <v>0</v>
      </c>
      <c r="F1269">
        <v>-7.2895091420782359E-3</v>
      </c>
      <c r="G1269">
        <v>-0.35191446061580967</v>
      </c>
      <c r="H1269">
        <v>-0.40640020642266933</v>
      </c>
    </row>
    <row r="1270" spans="2:8">
      <c r="B1270">
        <v>1</v>
      </c>
      <c r="C1270">
        <v>102</v>
      </c>
      <c r="D1270">
        <v>1</v>
      </c>
      <c r="E1270">
        <v>0</v>
      </c>
      <c r="F1270">
        <v>5.1467152913133238E-2</v>
      </c>
      <c r="G1270">
        <v>-0.10733371616580099</v>
      </c>
      <c r="H1270">
        <v>-3.457763381871215E-2</v>
      </c>
    </row>
    <row r="1271" spans="2:8">
      <c r="B1271">
        <v>1</v>
      </c>
      <c r="C1271">
        <v>102</v>
      </c>
      <c r="D1271">
        <v>1</v>
      </c>
      <c r="E1271">
        <v>0</v>
      </c>
      <c r="F1271">
        <v>0.13638076347902259</v>
      </c>
      <c r="G1271">
        <v>-0.34335606763273852</v>
      </c>
      <c r="H1271">
        <v>-0.58511722576666469</v>
      </c>
    </row>
    <row r="1272" spans="2:8">
      <c r="B1272">
        <v>3</v>
      </c>
      <c r="C1272">
        <v>37.941188929614178</v>
      </c>
      <c r="D1272">
        <v>2</v>
      </c>
      <c r="E1272">
        <v>0</v>
      </c>
      <c r="F1272">
        <v>-0.18781867074358172</v>
      </c>
      <c r="G1272">
        <v>-0.34628236833715748</v>
      </c>
      <c r="H1272">
        <v>-0.62058811070385822</v>
      </c>
    </row>
    <row r="1273" spans="2:8">
      <c r="B1273">
        <v>1</v>
      </c>
      <c r="C1273">
        <v>102</v>
      </c>
      <c r="D1273">
        <v>1</v>
      </c>
      <c r="E1273">
        <v>0</v>
      </c>
      <c r="F1273">
        <v>3.7949081966444018E-2</v>
      </c>
    </row>
    <row r="1274" spans="2:8">
      <c r="B1274">
        <v>1</v>
      </c>
      <c r="C1274">
        <v>102</v>
      </c>
      <c r="D1274">
        <v>1</v>
      </c>
      <c r="E1274">
        <v>0</v>
      </c>
      <c r="F1274">
        <v>3.109635577528751E-2</v>
      </c>
      <c r="G1274">
        <v>-0.45605896813882557</v>
      </c>
      <c r="H1274">
        <v>-0.53926729915443394</v>
      </c>
    </row>
    <row r="1275" spans="2:8">
      <c r="B1275">
        <v>3</v>
      </c>
      <c r="C1275">
        <v>49.144817434150525</v>
      </c>
      <c r="D1275">
        <v>0</v>
      </c>
      <c r="E1275">
        <v>0</v>
      </c>
      <c r="F1275">
        <v>-0.42783152943564812</v>
      </c>
      <c r="G1275">
        <v>-0.5080037107462041</v>
      </c>
      <c r="H1275">
        <v>-0.50855182565849477</v>
      </c>
    </row>
    <row r="1276" spans="2:8">
      <c r="B1276">
        <v>1</v>
      </c>
      <c r="C1276">
        <v>102</v>
      </c>
      <c r="D1276">
        <v>1</v>
      </c>
      <c r="E1276">
        <v>0</v>
      </c>
      <c r="F1276">
        <v>9.0537701536336876E-2</v>
      </c>
    </row>
    <row r="1277" spans="2:8">
      <c r="B1277">
        <v>1</v>
      </c>
      <c r="C1277">
        <v>102</v>
      </c>
      <c r="D1277">
        <v>1</v>
      </c>
      <c r="E1277">
        <v>0</v>
      </c>
      <c r="F1277">
        <v>0.12607483083048776</v>
      </c>
    </row>
    <row r="1278" spans="2:8">
      <c r="B1278">
        <v>1</v>
      </c>
      <c r="C1278">
        <v>102</v>
      </c>
      <c r="D1278">
        <v>1</v>
      </c>
      <c r="E1278">
        <v>0</v>
      </c>
      <c r="F1278">
        <v>3.4841186722350384E-2</v>
      </c>
      <c r="G1278">
        <v>-0.5290778459155383</v>
      </c>
      <c r="H1278">
        <v>-0.62995600398087859</v>
      </c>
    </row>
    <row r="1279" spans="2:8">
      <c r="B1279">
        <v>3</v>
      </c>
      <c r="C1279">
        <v>51.222195693639797</v>
      </c>
      <c r="D1279">
        <v>2</v>
      </c>
      <c r="E1279">
        <v>0</v>
      </c>
      <c r="F1279">
        <v>-0.19404048938799415</v>
      </c>
      <c r="G1279">
        <v>-0.20170413312287819</v>
      </c>
      <c r="H1279">
        <v>-0.48777804306360201</v>
      </c>
    </row>
    <row r="1280" spans="2:8">
      <c r="B1280">
        <v>1</v>
      </c>
      <c r="C1280">
        <v>102</v>
      </c>
      <c r="D1280">
        <v>1</v>
      </c>
      <c r="E1280">
        <v>0</v>
      </c>
      <c r="F1280">
        <v>5.3480745129933796E-2</v>
      </c>
      <c r="G1280">
        <v>-0.12452160264059782</v>
      </c>
      <c r="H1280">
        <v>-6.310558179997186E-2</v>
      </c>
    </row>
    <row r="1281" spans="2:8">
      <c r="B1281">
        <v>3</v>
      </c>
      <c r="C1281">
        <v>92.23681599999999</v>
      </c>
      <c r="D1281">
        <v>3</v>
      </c>
      <c r="E1281">
        <v>0</v>
      </c>
      <c r="F1281">
        <v>-0.11954450699719815</v>
      </c>
      <c r="G1281">
        <v>-5.9047419353827471E-2</v>
      </c>
      <c r="H1281">
        <v>-0.23428596180080224</v>
      </c>
    </row>
    <row r="1282" spans="2:8">
      <c r="B1282">
        <v>3</v>
      </c>
      <c r="C1282">
        <v>92.23681599999999</v>
      </c>
      <c r="D1282">
        <v>2</v>
      </c>
      <c r="E1282">
        <v>0</v>
      </c>
      <c r="F1282">
        <v>-0.13756257223248894</v>
      </c>
      <c r="G1282">
        <v>-0.40733024287149566</v>
      </c>
      <c r="H1282">
        <v>-0.23927399017069223</v>
      </c>
    </row>
    <row r="1283" spans="2:8">
      <c r="B1283">
        <v>1</v>
      </c>
      <c r="C1283">
        <v>102</v>
      </c>
      <c r="D1283">
        <v>1</v>
      </c>
      <c r="E1283">
        <v>0</v>
      </c>
      <c r="F1283">
        <v>0.20967567078920094</v>
      </c>
      <c r="G1283">
        <v>6.2757138177671437E-2</v>
      </c>
      <c r="H1283">
        <v>0.12763229725294889</v>
      </c>
    </row>
    <row r="1284" spans="2:8">
      <c r="B1284">
        <v>1</v>
      </c>
      <c r="C1284">
        <v>102</v>
      </c>
      <c r="D1284">
        <v>1</v>
      </c>
      <c r="E1284">
        <v>0</v>
      </c>
      <c r="F1284">
        <v>4.4972318252765722E-2</v>
      </c>
      <c r="G1284">
        <v>-0.30666821168904373</v>
      </c>
      <c r="H1284">
        <v>-0.27820667757509171</v>
      </c>
    </row>
    <row r="1285" spans="2:8">
      <c r="B1285">
        <v>3</v>
      </c>
      <c r="C1285">
        <v>29.25713463897668</v>
      </c>
      <c r="D1285">
        <v>2</v>
      </c>
      <c r="E1285">
        <v>0</v>
      </c>
      <c r="F1285">
        <v>-0.23720117508125005</v>
      </c>
      <c r="G1285">
        <v>-0.27111258804424426</v>
      </c>
      <c r="H1285">
        <v>-0.70742865361023322</v>
      </c>
    </row>
    <row r="1286" spans="2:8">
      <c r="B1286">
        <v>1</v>
      </c>
      <c r="C1286">
        <v>102</v>
      </c>
      <c r="D1286">
        <v>1</v>
      </c>
      <c r="E1286">
        <v>0</v>
      </c>
      <c r="F1286">
        <v>0.19446482458452369</v>
      </c>
    </row>
    <row r="1287" spans="2:8">
      <c r="B1287">
        <v>1</v>
      </c>
      <c r="C1287">
        <v>102</v>
      </c>
      <c r="D1287">
        <v>1</v>
      </c>
      <c r="E1287">
        <v>0</v>
      </c>
      <c r="F1287">
        <v>6.0959269848467383E-2</v>
      </c>
    </row>
    <row r="1288" spans="2:8">
      <c r="B1288">
        <v>3</v>
      </c>
      <c r="C1288">
        <v>53.228375277871642</v>
      </c>
      <c r="D1288">
        <v>1</v>
      </c>
      <c r="E1288">
        <v>0</v>
      </c>
      <c r="F1288">
        <v>-0.35773167918821885</v>
      </c>
      <c r="G1288">
        <v>-0.63164384758355607</v>
      </c>
      <c r="H1288">
        <v>-0.46771624722128358</v>
      </c>
    </row>
    <row r="1289" spans="2:8">
      <c r="B1289">
        <v>3</v>
      </c>
      <c r="C1289">
        <v>58.826105853389961</v>
      </c>
      <c r="D1289">
        <v>2</v>
      </c>
      <c r="E1289">
        <v>0</v>
      </c>
      <c r="F1289">
        <v>-0.17239796544266026</v>
      </c>
      <c r="G1289">
        <v>-0.16365916432993138</v>
      </c>
      <c r="H1289">
        <v>-0.41173894146610035</v>
      </c>
    </row>
    <row r="1290" spans="2:8">
      <c r="B1290">
        <v>1</v>
      </c>
      <c r="C1290">
        <v>102</v>
      </c>
      <c r="D1290">
        <v>1</v>
      </c>
      <c r="E1290">
        <v>0</v>
      </c>
      <c r="F1290">
        <v>0.14881986330922833</v>
      </c>
      <c r="G1290">
        <v>-0.13238977733103766</v>
      </c>
      <c r="H1290">
        <v>8.0249779966660266E-3</v>
      </c>
    </row>
    <row r="1291" spans="2:8">
      <c r="B1291">
        <v>1</v>
      </c>
      <c r="C1291">
        <v>102</v>
      </c>
      <c r="D1291">
        <v>1</v>
      </c>
      <c r="E1291">
        <v>0</v>
      </c>
      <c r="F1291">
        <v>0.14306779993658389</v>
      </c>
      <c r="G1291">
        <v>-0.43095863831419984</v>
      </c>
      <c r="H1291">
        <v>-0.71291447156916388</v>
      </c>
    </row>
    <row r="1292" spans="2:8">
      <c r="B1292">
        <v>1</v>
      </c>
      <c r="C1292">
        <v>102</v>
      </c>
      <c r="D1292">
        <v>1</v>
      </c>
      <c r="E1292">
        <v>0</v>
      </c>
      <c r="F1292">
        <v>6.2678784119032755E-3</v>
      </c>
    </row>
    <row r="1293" spans="2:8">
      <c r="B1293">
        <v>1</v>
      </c>
      <c r="C1293">
        <v>102</v>
      </c>
      <c r="D1293">
        <v>1</v>
      </c>
      <c r="E1293">
        <v>0</v>
      </c>
      <c r="F1293">
        <v>7.3815184977648685E-3</v>
      </c>
      <c r="G1293">
        <v>-0.16248327338767307</v>
      </c>
      <c r="H1293">
        <v>-0.19835429769587054</v>
      </c>
    </row>
    <row r="1294" spans="2:8">
      <c r="B1294">
        <v>3</v>
      </c>
      <c r="C1294">
        <v>106</v>
      </c>
      <c r="D1294">
        <v>3</v>
      </c>
      <c r="E1294">
        <v>0</v>
      </c>
      <c r="F1294">
        <v>-0.20552810829299092</v>
      </c>
      <c r="G1294">
        <v>2.0529983793518565E-2</v>
      </c>
      <c r="H1294">
        <v>9.5743842673938928E-2</v>
      </c>
    </row>
    <row r="1295" spans="2:8">
      <c r="B1295">
        <v>3</v>
      </c>
      <c r="C1295">
        <v>92.23681599999999</v>
      </c>
      <c r="D1295">
        <v>3</v>
      </c>
      <c r="E1295">
        <v>0</v>
      </c>
      <c r="F1295">
        <v>-0.12131893116468523</v>
      </c>
      <c r="G1295">
        <v>-6.2896041326172408E-2</v>
      </c>
      <c r="H1295">
        <v>-0.24032131052728958</v>
      </c>
    </row>
    <row r="1296" spans="2:8">
      <c r="B1296">
        <v>3</v>
      </c>
      <c r="C1296">
        <v>92.23681599999999</v>
      </c>
      <c r="D1296">
        <v>3</v>
      </c>
      <c r="E1296">
        <v>0</v>
      </c>
      <c r="F1296">
        <v>-2.218173673219553E-2</v>
      </c>
      <c r="G1296">
        <v>-0.13003491655760083</v>
      </c>
      <c r="H1296">
        <v>-0.19902263519768321</v>
      </c>
    </row>
    <row r="1297" spans="2:8">
      <c r="B1297">
        <v>3</v>
      </c>
      <c r="C1297">
        <v>92.23681599999999</v>
      </c>
      <c r="D1297">
        <v>3</v>
      </c>
      <c r="E1297">
        <v>0</v>
      </c>
      <c r="F1297">
        <v>-0.24365920687614659</v>
      </c>
      <c r="G1297">
        <v>-0.28083406671629146</v>
      </c>
      <c r="H1297">
        <v>-0.23325723499266385</v>
      </c>
    </row>
    <row r="1298" spans="2:8">
      <c r="B1298">
        <v>3</v>
      </c>
      <c r="C1298">
        <v>92.23681599999999</v>
      </c>
      <c r="D1298">
        <v>3</v>
      </c>
      <c r="E1298">
        <v>0</v>
      </c>
      <c r="F1298">
        <v>-5.501440225509216E-2</v>
      </c>
      <c r="G1298">
        <v>-8.7879038838677856E-2</v>
      </c>
      <c r="H1298">
        <v>-0.19027481715827274</v>
      </c>
    </row>
    <row r="1299" spans="2:8">
      <c r="B1299">
        <v>3</v>
      </c>
      <c r="C1299">
        <v>92.23681599999999</v>
      </c>
      <c r="D1299">
        <v>3</v>
      </c>
      <c r="E1299">
        <v>0</v>
      </c>
      <c r="F1299">
        <v>-0.26241621848131325</v>
      </c>
      <c r="G1299">
        <v>-0.30818095555441566</v>
      </c>
      <c r="H1299">
        <v>-0.27083068827831153</v>
      </c>
    </row>
    <row r="1300" spans="2:8">
      <c r="B1300">
        <v>3</v>
      </c>
      <c r="C1300">
        <v>92.23681599999999</v>
      </c>
      <c r="D1300">
        <v>3</v>
      </c>
      <c r="E1300">
        <v>0</v>
      </c>
      <c r="F1300">
        <v>-2.9227233075747306E-2</v>
      </c>
      <c r="G1300">
        <v>-3.5808668748789713E-2</v>
      </c>
      <c r="H1300">
        <v>-0.1117956325664498</v>
      </c>
    </row>
    <row r="1301" spans="2:8">
      <c r="B1301">
        <v>1</v>
      </c>
      <c r="C1301">
        <v>102</v>
      </c>
      <c r="D1301">
        <v>1</v>
      </c>
      <c r="E1301">
        <v>0</v>
      </c>
      <c r="F1301">
        <v>0.15484487749033801</v>
      </c>
      <c r="G1301">
        <v>-0.27934547862962911</v>
      </c>
      <c r="H1301">
        <v>-0.35984770389683191</v>
      </c>
    </row>
    <row r="1302" spans="2:8">
      <c r="B1302">
        <v>3</v>
      </c>
      <c r="C1302">
        <v>19.294217811078227</v>
      </c>
      <c r="D1302">
        <v>1</v>
      </c>
      <c r="E1302">
        <v>0</v>
      </c>
      <c r="F1302">
        <v>-0.22910943759959251</v>
      </c>
      <c r="G1302">
        <v>-0.42214862090066108</v>
      </c>
      <c r="H1302">
        <v>-0.80705782188921771</v>
      </c>
    </row>
    <row r="1303" spans="2:8">
      <c r="B1303">
        <v>1</v>
      </c>
      <c r="C1303">
        <v>102</v>
      </c>
      <c r="D1303">
        <v>1</v>
      </c>
      <c r="E1303">
        <v>0</v>
      </c>
      <c r="F1303">
        <v>0.15866668357991176</v>
      </c>
      <c r="G1303">
        <v>-0.30653796691020058</v>
      </c>
      <c r="H1303">
        <v>-0.39578394368999426</v>
      </c>
    </row>
    <row r="1304" spans="2:8">
      <c r="B1304">
        <v>1</v>
      </c>
      <c r="C1304">
        <v>102</v>
      </c>
      <c r="D1304">
        <v>1</v>
      </c>
      <c r="E1304">
        <v>0</v>
      </c>
      <c r="F1304">
        <v>0.11829000556569988</v>
      </c>
      <c r="G1304">
        <v>9.0479964691033088E-2</v>
      </c>
      <c r="H1304">
        <v>4.0104121239441695E-2</v>
      </c>
    </row>
    <row r="1305" spans="2:8">
      <c r="B1305">
        <v>1</v>
      </c>
      <c r="C1305">
        <v>102</v>
      </c>
      <c r="D1305">
        <v>1</v>
      </c>
      <c r="E1305">
        <v>0</v>
      </c>
      <c r="F1305">
        <v>5.0185997949578676E-2</v>
      </c>
    </row>
    <row r="1306" spans="2:8">
      <c r="B1306">
        <v>3</v>
      </c>
      <c r="C1306">
        <v>92.23681599999999</v>
      </c>
      <c r="D1306">
        <v>2</v>
      </c>
      <c r="E1306">
        <v>0</v>
      </c>
      <c r="F1306">
        <v>-0.26489459880443594</v>
      </c>
      <c r="G1306">
        <v>-0.48515925567303936</v>
      </c>
      <c r="H1306">
        <v>-0.22089048953698032</v>
      </c>
    </row>
    <row r="1307" spans="2:8">
      <c r="B1307">
        <v>3</v>
      </c>
      <c r="C1307">
        <v>92.23681599999999</v>
      </c>
      <c r="D1307">
        <v>2</v>
      </c>
      <c r="E1307">
        <v>0</v>
      </c>
      <c r="F1307">
        <v>-0.34274609451833932</v>
      </c>
      <c r="G1307">
        <v>-0.41262678223421001</v>
      </c>
      <c r="H1307">
        <v>-0.24184674831482936</v>
      </c>
    </row>
    <row r="1308" spans="2:8">
      <c r="B1308">
        <v>3</v>
      </c>
      <c r="C1308">
        <v>92.23681599999999</v>
      </c>
      <c r="D1308">
        <v>3</v>
      </c>
      <c r="E1308">
        <v>0</v>
      </c>
      <c r="F1308">
        <v>-6.3590445274495103E-2</v>
      </c>
      <c r="G1308">
        <v>-0.10506428905243526</v>
      </c>
      <c r="H1308">
        <v>-0.21653546360925724</v>
      </c>
    </row>
    <row r="1309" spans="2:8">
      <c r="B1309">
        <v>3</v>
      </c>
      <c r="C1309">
        <v>92.23681599999999</v>
      </c>
      <c r="D1309">
        <v>3</v>
      </c>
      <c r="E1309">
        <v>0</v>
      </c>
      <c r="F1309">
        <v>-0.21243054343985196</v>
      </c>
      <c r="G1309">
        <v>-0.23226462081161675</v>
      </c>
      <c r="H1309">
        <v>-0.16286370970018249</v>
      </c>
    </row>
    <row r="1310" spans="2:8">
      <c r="B1310">
        <v>3</v>
      </c>
      <c r="C1310">
        <v>92.23681599999999</v>
      </c>
      <c r="D1310">
        <v>3</v>
      </c>
      <c r="E1310">
        <v>0</v>
      </c>
      <c r="F1310">
        <v>-0.10747184696855927</v>
      </c>
      <c r="G1310">
        <v>-0.19200221563050451</v>
      </c>
      <c r="H1310">
        <v>-0.35268255615288563</v>
      </c>
    </row>
    <row r="1311" spans="2:8">
      <c r="B1311">
        <v>3</v>
      </c>
      <c r="C1311">
        <v>92.23681599999999</v>
      </c>
      <c r="D1311">
        <v>3</v>
      </c>
      <c r="E1311">
        <v>0</v>
      </c>
      <c r="F1311">
        <v>-6.0924143304441757E-2</v>
      </c>
      <c r="G1311">
        <v>9.3089749635367203E-2</v>
      </c>
      <c r="H1311">
        <v>-1.5543276758655272E-2</v>
      </c>
    </row>
    <row r="1312" spans="2:8">
      <c r="B1312">
        <v>3</v>
      </c>
      <c r="C1312">
        <v>57.613401337079836</v>
      </c>
      <c r="D1312">
        <v>2</v>
      </c>
      <c r="E1312">
        <v>0</v>
      </c>
      <c r="F1312">
        <v>-9.1278101169684073E-2</v>
      </c>
      <c r="G1312">
        <v>-0.28194920606876972</v>
      </c>
      <c r="H1312">
        <v>-0.42386598662920166</v>
      </c>
    </row>
    <row r="1313" spans="2:8">
      <c r="B1313">
        <v>3</v>
      </c>
      <c r="C1313">
        <v>92.23681599999999</v>
      </c>
      <c r="D1313">
        <v>3</v>
      </c>
      <c r="E1313">
        <v>0</v>
      </c>
      <c r="F1313">
        <v>-9.3986660982688262E-6</v>
      </c>
      <c r="G1313">
        <v>-0.31380857276639013</v>
      </c>
      <c r="H1313">
        <v>-0.36134800783604543</v>
      </c>
    </row>
    <row r="1314" spans="2:8">
      <c r="B1314">
        <v>1</v>
      </c>
      <c r="C1314">
        <v>102</v>
      </c>
      <c r="D1314">
        <v>1</v>
      </c>
      <c r="E1314">
        <v>0</v>
      </c>
      <c r="F1314">
        <v>0.22046965688066869</v>
      </c>
      <c r="G1314">
        <v>-0.58838605125113286</v>
      </c>
      <c r="H1314">
        <v>-0.71882471310196105</v>
      </c>
    </row>
    <row r="1315" spans="2:8">
      <c r="B1315">
        <v>1</v>
      </c>
      <c r="C1315">
        <v>102</v>
      </c>
      <c r="D1315">
        <v>1</v>
      </c>
      <c r="E1315">
        <v>0</v>
      </c>
      <c r="F1315">
        <v>0.26059201094744283</v>
      </c>
      <c r="G1315">
        <v>9.4715566929291103E-2</v>
      </c>
      <c r="H1315">
        <v>0.17338337518063071</v>
      </c>
    </row>
    <row r="1316" spans="2:8">
      <c r="B1316">
        <v>3</v>
      </c>
      <c r="C1316">
        <v>92.23681599999999</v>
      </c>
      <c r="D1316">
        <v>3</v>
      </c>
      <c r="E1316">
        <v>0</v>
      </c>
      <c r="F1316">
        <v>-9.8469558092325077E-2</v>
      </c>
      <c r="G1316">
        <v>-0.17430384378468894</v>
      </c>
      <c r="H1316">
        <v>-0.32445477441154008</v>
      </c>
    </row>
    <row r="1317" spans="2:8">
      <c r="B1317">
        <v>3</v>
      </c>
      <c r="C1317">
        <v>92.23681599999999</v>
      </c>
      <c r="D1317">
        <v>3</v>
      </c>
      <c r="E1317">
        <v>0</v>
      </c>
      <c r="F1317">
        <v>-8.6881929524290746E-2</v>
      </c>
      <c r="G1317">
        <v>1.8043392916021844E-2</v>
      </c>
      <c r="H1317">
        <v>-0.11891134134401889</v>
      </c>
    </row>
    <row r="1318" spans="2:8">
      <c r="B1318">
        <v>3</v>
      </c>
      <c r="C1318">
        <v>92.23681599999999</v>
      </c>
      <c r="D1318">
        <v>3</v>
      </c>
      <c r="E1318">
        <v>0</v>
      </c>
      <c r="F1318">
        <v>-1.3406635910554719E-2</v>
      </c>
      <c r="G1318">
        <v>-0.11225081759795492</v>
      </c>
      <c r="H1318">
        <v>-0.17264569334827215</v>
      </c>
    </row>
    <row r="1319" spans="2:8">
      <c r="B1319">
        <v>3</v>
      </c>
      <c r="C1319">
        <v>92.23681599999999</v>
      </c>
      <c r="D1319">
        <v>3</v>
      </c>
      <c r="E1319">
        <v>0</v>
      </c>
      <c r="F1319">
        <v>-0.31244725519980915</v>
      </c>
      <c r="G1319">
        <v>-0.37535652796876573</v>
      </c>
      <c r="H1319">
        <v>-0.35745212051908448</v>
      </c>
    </row>
    <row r="1320" spans="2:8">
      <c r="B1320">
        <v>1</v>
      </c>
      <c r="C1320">
        <v>102</v>
      </c>
      <c r="D1320">
        <v>1</v>
      </c>
      <c r="E1320">
        <v>0</v>
      </c>
      <c r="F1320">
        <v>2.504963720608026E-2</v>
      </c>
      <c r="G1320">
        <v>-0.28839170040699019</v>
      </c>
      <c r="H1320">
        <v>-0.40932214660998134</v>
      </c>
    </row>
    <row r="1321" spans="2:8">
      <c r="B1321">
        <v>3</v>
      </c>
      <c r="C1321">
        <v>92.23681599999999</v>
      </c>
      <c r="D1321">
        <v>3</v>
      </c>
      <c r="E1321">
        <v>0</v>
      </c>
      <c r="F1321">
        <v>-0.15931084176337312</v>
      </c>
      <c r="G1321">
        <v>-0.1394463246523561</v>
      </c>
      <c r="H1321">
        <v>-0.36758823360172488</v>
      </c>
    </row>
    <row r="1322" spans="2:8">
      <c r="B1322">
        <v>3</v>
      </c>
      <c r="C1322">
        <v>92.23681599999999</v>
      </c>
      <c r="D1322">
        <v>3</v>
      </c>
      <c r="E1322">
        <v>0</v>
      </c>
      <c r="F1322">
        <v>-3.0865924068298359E-2</v>
      </c>
      <c r="G1322">
        <v>-0.14790657317189776</v>
      </c>
      <c r="H1322">
        <v>-0.2255344054659848</v>
      </c>
    </row>
    <row r="1323" spans="2:8">
      <c r="B1323">
        <v>3</v>
      </c>
      <c r="C1323">
        <v>92.23681599999999</v>
      </c>
      <c r="D1323">
        <v>3</v>
      </c>
      <c r="E1323">
        <v>0</v>
      </c>
      <c r="F1323">
        <v>-0.19889899489675356</v>
      </c>
      <c r="G1323">
        <v>-0.20992870202490352</v>
      </c>
      <c r="H1323">
        <v>-0.12872793277835964</v>
      </c>
    </row>
    <row r="1324" spans="2:8">
      <c r="B1324">
        <v>3</v>
      </c>
      <c r="C1324">
        <v>40.287169641988044</v>
      </c>
      <c r="D1324">
        <v>1</v>
      </c>
      <c r="E1324">
        <v>0</v>
      </c>
      <c r="F1324">
        <v>-0.13570092223118346</v>
      </c>
      <c r="G1324">
        <v>-0.40146483226563057</v>
      </c>
      <c r="H1324">
        <v>-0.59712830358011959</v>
      </c>
    </row>
    <row r="1325" spans="2:8">
      <c r="B1325">
        <v>1</v>
      </c>
      <c r="C1325">
        <v>102</v>
      </c>
      <c r="D1325">
        <v>1</v>
      </c>
      <c r="E1325">
        <v>0</v>
      </c>
      <c r="F1325">
        <v>1.8467620804518279E-2</v>
      </c>
      <c r="G1325">
        <v>0.15348312739213879</v>
      </c>
      <c r="H1325">
        <v>0.25527474720896615</v>
      </c>
    </row>
    <row r="1326" spans="2:8">
      <c r="B1326">
        <v>1</v>
      </c>
      <c r="C1326">
        <v>102</v>
      </c>
      <c r="D1326">
        <v>1</v>
      </c>
      <c r="E1326">
        <v>0</v>
      </c>
      <c r="F1326">
        <v>9.8670118893970413E-2</v>
      </c>
      <c r="G1326">
        <v>7.4789913169041003E-2</v>
      </c>
      <c r="H1326">
        <v>-9.2898151474311366E-2</v>
      </c>
    </row>
    <row r="1327" spans="2:8">
      <c r="B1327">
        <v>3</v>
      </c>
      <c r="C1327">
        <v>92.23681599999999</v>
      </c>
      <c r="D1327">
        <v>3</v>
      </c>
      <c r="E1327">
        <v>0</v>
      </c>
      <c r="F1327">
        <v>-1.719160460953593E-3</v>
      </c>
      <c r="G1327">
        <v>7.0068226595917243E-2</v>
      </c>
      <c r="H1327">
        <v>-9.3978335567810822E-2</v>
      </c>
    </row>
    <row r="1328" spans="2:8">
      <c r="B1328">
        <v>3</v>
      </c>
      <c r="C1328">
        <v>57.472715474649597</v>
      </c>
      <c r="D1328">
        <v>1</v>
      </c>
      <c r="E1328">
        <v>0</v>
      </c>
      <c r="F1328">
        <v>-0.16890540033281062</v>
      </c>
      <c r="G1328">
        <v>-0.53983383803225971</v>
      </c>
      <c r="H1328">
        <v>-0.42527284525350406</v>
      </c>
    </row>
    <row r="1329" spans="2:8">
      <c r="B1329">
        <v>3</v>
      </c>
      <c r="C1329">
        <v>38.404942611706957</v>
      </c>
      <c r="D1329">
        <v>2</v>
      </c>
      <c r="E1329">
        <v>0</v>
      </c>
      <c r="F1329">
        <v>-0.22430156085566549</v>
      </c>
      <c r="G1329">
        <v>-0.25119928504762412</v>
      </c>
      <c r="H1329">
        <v>-0.6159505738829304</v>
      </c>
    </row>
    <row r="1330" spans="2:8">
      <c r="B1330">
        <v>3</v>
      </c>
      <c r="C1330">
        <v>92.23681599999999</v>
      </c>
      <c r="D1330">
        <v>3</v>
      </c>
      <c r="E1330">
        <v>0</v>
      </c>
      <c r="F1330">
        <v>-0.21687282705956795</v>
      </c>
      <c r="G1330">
        <v>-1.8157163287626638E-2</v>
      </c>
      <c r="H1330">
        <v>-0.35821105738189679</v>
      </c>
    </row>
    <row r="1331" spans="2:8">
      <c r="B1331">
        <v>3</v>
      </c>
      <c r="C1331">
        <v>24.975671671028763</v>
      </c>
      <c r="D1331">
        <v>2</v>
      </c>
      <c r="E1331">
        <v>0</v>
      </c>
      <c r="F1331">
        <v>-0.2403919684217255</v>
      </c>
      <c r="G1331">
        <v>-0.27593599699750038</v>
      </c>
      <c r="H1331">
        <v>-0.75024328328971235</v>
      </c>
    </row>
    <row r="1332" spans="2:8">
      <c r="B1332">
        <v>3</v>
      </c>
      <c r="C1332">
        <v>11.012162093063026</v>
      </c>
      <c r="D1332">
        <v>1</v>
      </c>
      <c r="E1332">
        <v>0</v>
      </c>
      <c r="F1332">
        <v>-0.17814281936597631</v>
      </c>
      <c r="G1332">
        <v>-0.63243815501231271</v>
      </c>
      <c r="H1332">
        <v>-0.88987837906936973</v>
      </c>
    </row>
    <row r="1333" spans="2:8">
      <c r="B1333">
        <v>1</v>
      </c>
      <c r="C1333">
        <v>102</v>
      </c>
      <c r="D1333">
        <v>1</v>
      </c>
      <c r="E1333">
        <v>0</v>
      </c>
      <c r="F1333">
        <v>0.18120779664386602</v>
      </c>
      <c r="G1333">
        <v>-0.24983341266392714</v>
      </c>
      <c r="H1333">
        <v>-0.32004117325880721</v>
      </c>
    </row>
    <row r="1334" spans="2:8">
      <c r="B1334">
        <v>1</v>
      </c>
      <c r="C1334">
        <v>102</v>
      </c>
      <c r="D1334">
        <v>1</v>
      </c>
      <c r="E1334">
        <v>0</v>
      </c>
      <c r="F1334">
        <v>7.8171796607315505E-2</v>
      </c>
    </row>
    <row r="1335" spans="2:8">
      <c r="B1335">
        <v>1</v>
      </c>
      <c r="C1335">
        <v>102</v>
      </c>
      <c r="D1335">
        <v>1</v>
      </c>
      <c r="E1335">
        <v>0</v>
      </c>
      <c r="F1335">
        <v>0.18603665796053456</v>
      </c>
      <c r="G1335">
        <v>-0.27447051655138255</v>
      </c>
      <c r="H1335">
        <v>-0.35332716437796097</v>
      </c>
    </row>
    <row r="1336" spans="2:8">
      <c r="B1336">
        <v>3</v>
      </c>
      <c r="C1336">
        <v>92.23681599999999</v>
      </c>
      <c r="D1336">
        <v>3</v>
      </c>
      <c r="E1336">
        <v>0</v>
      </c>
      <c r="F1336">
        <v>-4.6445008103462262E-2</v>
      </c>
      <c r="G1336">
        <v>-7.0642580817118633E-2</v>
      </c>
      <c r="H1336">
        <v>-0.16412020700096561</v>
      </c>
    </row>
    <row r="1337" spans="2:8">
      <c r="B1337">
        <v>3</v>
      </c>
      <c r="C1337">
        <v>58.549684527428397</v>
      </c>
      <c r="D1337">
        <v>1</v>
      </c>
      <c r="E1337">
        <v>0</v>
      </c>
      <c r="F1337">
        <v>-0.35156601654357106</v>
      </c>
      <c r="G1337">
        <v>-0.4230793482371713</v>
      </c>
      <c r="H1337">
        <v>-0.41450315472571603</v>
      </c>
    </row>
    <row r="1338" spans="2:8">
      <c r="B1338">
        <v>1</v>
      </c>
      <c r="C1338">
        <v>102</v>
      </c>
      <c r="D1338">
        <v>1</v>
      </c>
      <c r="E1338">
        <v>0</v>
      </c>
      <c r="F1338">
        <v>5.5511296776833217E-2</v>
      </c>
      <c r="G1338">
        <v>-0.14176540794330522</v>
      </c>
      <c r="H1338">
        <v>-9.1143063469292906E-2</v>
      </c>
    </row>
    <row r="1339" spans="2:8">
      <c r="B1339">
        <v>3</v>
      </c>
      <c r="C1339">
        <v>92.23681599999999</v>
      </c>
      <c r="D1339">
        <v>3</v>
      </c>
      <c r="E1339">
        <v>0</v>
      </c>
      <c r="F1339">
        <v>-0.30100805113782919</v>
      </c>
      <c r="G1339">
        <v>-0.36066791165513723</v>
      </c>
      <c r="H1339">
        <v>-0.15885307608762111</v>
      </c>
    </row>
    <row r="1340" spans="2:8">
      <c r="B1340">
        <v>3</v>
      </c>
      <c r="C1340">
        <v>54.023364650801462</v>
      </c>
      <c r="D1340">
        <v>2</v>
      </c>
      <c r="E1340">
        <v>0</v>
      </c>
      <c r="F1340">
        <v>-0.23211992506591037</v>
      </c>
      <c r="G1340">
        <v>-5.9375605644628154E-2</v>
      </c>
      <c r="H1340">
        <v>-0.45976635349198541</v>
      </c>
    </row>
    <row r="1341" spans="2:8">
      <c r="B1341">
        <v>3</v>
      </c>
      <c r="C1341">
        <v>50.331922827019618</v>
      </c>
      <c r="D1341">
        <v>2</v>
      </c>
      <c r="E1341">
        <v>0</v>
      </c>
      <c r="F1341">
        <v>-0.19645317283163449</v>
      </c>
      <c r="G1341">
        <v>-0.20580224667872266</v>
      </c>
      <c r="H1341">
        <v>-0.49668077172980385</v>
      </c>
    </row>
    <row r="1342" spans="2:8">
      <c r="B1342">
        <v>3</v>
      </c>
      <c r="C1342">
        <v>92.23681599999999</v>
      </c>
      <c r="D1342">
        <v>3</v>
      </c>
      <c r="E1342">
        <v>0</v>
      </c>
      <c r="F1342">
        <v>-0.36837117156326532</v>
      </c>
      <c r="G1342">
        <v>-0.2783693427400819</v>
      </c>
      <c r="H1342">
        <v>-0.11843098745259348</v>
      </c>
    </row>
    <row r="1343" spans="2:8">
      <c r="B1343">
        <v>3</v>
      </c>
      <c r="C1343">
        <v>106</v>
      </c>
      <c r="D1343">
        <v>3</v>
      </c>
      <c r="E1343">
        <v>0</v>
      </c>
      <c r="F1343">
        <v>-5.0730411535269027E-2</v>
      </c>
      <c r="G1343">
        <v>0.12943577176483187</v>
      </c>
      <c r="H1343">
        <v>3.1516633452149272E-2</v>
      </c>
    </row>
    <row r="1344" spans="2:8">
      <c r="B1344">
        <v>3</v>
      </c>
      <c r="C1344">
        <v>92.23681599999999</v>
      </c>
      <c r="D1344">
        <v>3</v>
      </c>
      <c r="E1344">
        <v>0</v>
      </c>
      <c r="F1344">
        <v>-0.29759990851440293</v>
      </c>
      <c r="G1344">
        <v>-0.18277777116965266</v>
      </c>
      <c r="H1344">
        <v>-0.16011971640266856</v>
      </c>
    </row>
    <row r="1345" spans="2:8">
      <c r="B1345">
        <v>1</v>
      </c>
      <c r="C1345">
        <v>102</v>
      </c>
      <c r="D1345">
        <v>1</v>
      </c>
      <c r="E1345">
        <v>0</v>
      </c>
      <c r="F1345">
        <v>1.0877802611849204E-2</v>
      </c>
      <c r="G1345">
        <v>-0.20456070991791553</v>
      </c>
      <c r="H1345">
        <v>-0.25759815413708192</v>
      </c>
    </row>
    <row r="1346" spans="2:8">
      <c r="B1346">
        <v>3</v>
      </c>
      <c r="C1346">
        <v>92.23681599999999</v>
      </c>
      <c r="D1346">
        <v>3</v>
      </c>
      <c r="E1346">
        <v>0</v>
      </c>
      <c r="F1346">
        <v>-0.11489764589648899</v>
      </c>
      <c r="G1346">
        <v>-0.20654593784274586</v>
      </c>
      <c r="H1346">
        <v>-0.3761169950241261</v>
      </c>
    </row>
    <row r="1347" spans="2:8">
      <c r="B1347">
        <v>3</v>
      </c>
      <c r="C1347">
        <v>106</v>
      </c>
      <c r="D1347">
        <v>3</v>
      </c>
      <c r="E1347">
        <v>0</v>
      </c>
      <c r="F1347">
        <v>-0.15275320705839271</v>
      </c>
      <c r="G1347">
        <v>-0.12693780588957657</v>
      </c>
      <c r="H1347">
        <v>1.1696663854816368E-2</v>
      </c>
    </row>
    <row r="1348" spans="2:8">
      <c r="B1348">
        <v>3</v>
      </c>
      <c r="C1348">
        <v>92.23681599999999</v>
      </c>
      <c r="D1348">
        <v>3</v>
      </c>
      <c r="E1348">
        <v>0</v>
      </c>
      <c r="F1348">
        <v>-0.32293353479107595</v>
      </c>
      <c r="G1348">
        <v>-0.2196877875949097</v>
      </c>
      <c r="H1348">
        <v>-3.6930076885368257E-2</v>
      </c>
    </row>
    <row r="1349" spans="2:8">
      <c r="B1349">
        <v>3</v>
      </c>
      <c r="C1349">
        <v>92.23681599999999</v>
      </c>
      <c r="D1349">
        <v>3</v>
      </c>
      <c r="E1349">
        <v>0</v>
      </c>
      <c r="F1349">
        <v>-7.6521336015863278E-2</v>
      </c>
      <c r="G1349">
        <v>4.5900486326568693E-2</v>
      </c>
      <c r="H1349">
        <v>-7.9558765635685563E-2</v>
      </c>
    </row>
    <row r="1350" spans="2:8">
      <c r="B1350">
        <v>3</v>
      </c>
      <c r="C1350">
        <v>92.23681599999999</v>
      </c>
      <c r="D1350">
        <v>2</v>
      </c>
      <c r="E1350">
        <v>0</v>
      </c>
      <c r="F1350">
        <v>-0.15801684678382349</v>
      </c>
      <c r="G1350">
        <v>-0.48245897000087579</v>
      </c>
      <c r="H1350">
        <v>-0.35231091468772269</v>
      </c>
    </row>
    <row r="1351" spans="2:8">
      <c r="B1351">
        <v>3</v>
      </c>
      <c r="C1351">
        <v>92.23681599999999</v>
      </c>
      <c r="D1351">
        <v>3</v>
      </c>
      <c r="E1351">
        <v>0</v>
      </c>
      <c r="F1351">
        <v>-0.28006087987182987</v>
      </c>
      <c r="G1351">
        <v>-0.3327731670778542</v>
      </c>
      <c r="H1351">
        <v>-0.10257129157916536</v>
      </c>
    </row>
    <row r="1352" spans="2:8">
      <c r="B1352">
        <v>3</v>
      </c>
      <c r="C1352">
        <v>92.23681599999999</v>
      </c>
      <c r="D1352">
        <v>3</v>
      </c>
      <c r="E1352">
        <v>0</v>
      </c>
      <c r="F1352">
        <v>-0.11665108197710003</v>
      </c>
      <c r="G1352">
        <v>-0.20997266033978498</v>
      </c>
      <c r="H1352">
        <v>-0.38167245569383323</v>
      </c>
    </row>
    <row r="1353" spans="2:8">
      <c r="B1353">
        <v>3</v>
      </c>
      <c r="C1353">
        <v>106</v>
      </c>
      <c r="D1353">
        <v>3</v>
      </c>
      <c r="E1353">
        <v>0</v>
      </c>
      <c r="F1353">
        <v>-3.5182427538077966E-2</v>
      </c>
      <c r="G1353">
        <v>0.20391279817431648</v>
      </c>
      <c r="H1353">
        <v>0.1219390820197007</v>
      </c>
    </row>
    <row r="1354" spans="2:8">
      <c r="B1354">
        <v>3</v>
      </c>
      <c r="C1354">
        <v>40.664751429955956</v>
      </c>
      <c r="D1354">
        <v>1</v>
      </c>
      <c r="E1354">
        <v>0</v>
      </c>
      <c r="F1354">
        <v>-0.1803609702111246</v>
      </c>
      <c r="G1354">
        <v>-0.69377093575427351</v>
      </c>
      <c r="H1354">
        <v>-0.59335248570044041</v>
      </c>
    </row>
    <row r="1355" spans="2:8">
      <c r="B1355">
        <v>3</v>
      </c>
      <c r="C1355">
        <v>54.799780152242008</v>
      </c>
      <c r="D1355">
        <v>2</v>
      </c>
      <c r="E1355">
        <v>0</v>
      </c>
      <c r="F1355">
        <v>-0.18405414611845713</v>
      </c>
      <c r="G1355">
        <v>-0.18444291251598421</v>
      </c>
      <c r="H1355">
        <v>-0.45200219847757994</v>
      </c>
    </row>
    <row r="1356" spans="2:8">
      <c r="B1356">
        <v>1</v>
      </c>
      <c r="C1356">
        <v>102</v>
      </c>
      <c r="D1356">
        <v>1</v>
      </c>
      <c r="E1356">
        <v>0</v>
      </c>
      <c r="F1356">
        <v>0.22771280190457308</v>
      </c>
    </row>
    <row r="1357" spans="2:8">
      <c r="B1357">
        <v>1</v>
      </c>
      <c r="C1357">
        <v>102</v>
      </c>
      <c r="D1357">
        <v>1</v>
      </c>
      <c r="E1357">
        <v>0</v>
      </c>
      <c r="F1357">
        <v>2.9906733259299875E-2</v>
      </c>
      <c r="G1357">
        <v>0.20703172909969197</v>
      </c>
      <c r="H1357">
        <v>0.32595062619628151</v>
      </c>
    </row>
    <row r="1358" spans="2:8">
      <c r="B1358">
        <v>3</v>
      </c>
      <c r="C1358">
        <v>42.22126509585383</v>
      </c>
      <c r="D1358">
        <v>2</v>
      </c>
      <c r="E1358">
        <v>0</v>
      </c>
      <c r="F1358">
        <v>-0.17594852012774473</v>
      </c>
      <c r="G1358">
        <v>-0.32397317369176454</v>
      </c>
      <c r="H1358">
        <v>-0.57778734904146167</v>
      </c>
    </row>
    <row r="1359" spans="2:8">
      <c r="B1359">
        <v>1</v>
      </c>
      <c r="C1359">
        <v>102</v>
      </c>
      <c r="D1359">
        <v>1</v>
      </c>
      <c r="E1359">
        <v>0</v>
      </c>
      <c r="F1359">
        <v>9.1259702172543471E-3</v>
      </c>
      <c r="G1359">
        <v>-0.18323974959423056</v>
      </c>
      <c r="H1359">
        <v>-0.22770584011304093</v>
      </c>
    </row>
    <row r="1360" spans="2:8">
      <c r="B1360">
        <v>1</v>
      </c>
      <c r="C1360">
        <v>102</v>
      </c>
      <c r="D1360">
        <v>1</v>
      </c>
      <c r="E1360">
        <v>0</v>
      </c>
      <c r="F1360">
        <v>0.14528325083649885</v>
      </c>
      <c r="G1360">
        <v>-0.11459777947415241</v>
      </c>
      <c r="H1360">
        <v>4.4920322249548623E-2</v>
      </c>
    </row>
    <row r="1361" spans="2:8">
      <c r="B1361">
        <v>3</v>
      </c>
      <c r="C1361">
        <v>46.193807060568538</v>
      </c>
      <c r="D1361">
        <v>2</v>
      </c>
      <c r="E1361">
        <v>0</v>
      </c>
      <c r="F1361">
        <v>-0.2071760751002539</v>
      </c>
      <c r="G1361">
        <v>-0.22368898100506215</v>
      </c>
      <c r="H1361">
        <v>-0.53806192939431463</v>
      </c>
    </row>
    <row r="1362" spans="2:8">
      <c r="B1362">
        <v>1</v>
      </c>
      <c r="C1362">
        <v>102</v>
      </c>
      <c r="D1362">
        <v>1</v>
      </c>
      <c r="E1362">
        <v>0</v>
      </c>
      <c r="F1362">
        <v>8.813187485732589E-2</v>
      </c>
    </row>
    <row r="1363" spans="2:8">
      <c r="B1363">
        <v>3</v>
      </c>
      <c r="C1363">
        <v>39.876251274012553</v>
      </c>
      <c r="D1363">
        <v>2</v>
      </c>
      <c r="E1363">
        <v>0</v>
      </c>
      <c r="F1363">
        <v>-0.22144541105938312</v>
      </c>
      <c r="G1363">
        <v>-0.24669816875279083</v>
      </c>
      <c r="H1363">
        <v>-0.60123748725987447</v>
      </c>
    </row>
    <row r="1364" spans="2:8">
      <c r="B1364">
        <v>1</v>
      </c>
      <c r="C1364">
        <v>102</v>
      </c>
      <c r="D1364">
        <v>1</v>
      </c>
      <c r="E1364">
        <v>0</v>
      </c>
      <c r="F1364">
        <v>0.13113245602815402</v>
      </c>
      <c r="G1364">
        <v>-0.28492934227966416</v>
      </c>
      <c r="H1364">
        <v>-0.30780800091177329</v>
      </c>
    </row>
    <row r="1365" spans="2:8">
      <c r="B1365">
        <v>1</v>
      </c>
      <c r="C1365">
        <v>102</v>
      </c>
      <c r="D1365">
        <v>1</v>
      </c>
      <c r="E1365">
        <v>0</v>
      </c>
      <c r="F1365">
        <v>0.21610887055075806</v>
      </c>
      <c r="G1365">
        <v>3.8181365951736185E-2</v>
      </c>
      <c r="H1365">
        <v>9.2104385550227541E-2</v>
      </c>
    </row>
    <row r="1366" spans="2:8">
      <c r="B1366">
        <v>3</v>
      </c>
      <c r="C1366">
        <v>92.23681599999999</v>
      </c>
      <c r="D1366">
        <v>3</v>
      </c>
      <c r="E1366">
        <v>0</v>
      </c>
      <c r="F1366">
        <v>-7.2197913755024351E-2</v>
      </c>
      <c r="G1366">
        <v>-0.12224856111277504</v>
      </c>
      <c r="H1366">
        <v>-0.24298840902715391</v>
      </c>
    </row>
    <row r="1367" spans="2:8">
      <c r="B1367">
        <v>3</v>
      </c>
      <c r="C1367">
        <v>92.23681599999999</v>
      </c>
      <c r="D1367">
        <v>3</v>
      </c>
      <c r="E1367">
        <v>0</v>
      </c>
      <c r="F1367">
        <v>-0.17455508862201377</v>
      </c>
      <c r="G1367">
        <v>-0.16755914024527982</v>
      </c>
      <c r="H1367">
        <v>-6.022573580193457E-2</v>
      </c>
    </row>
    <row r="1368" spans="2:8">
      <c r="B1368">
        <v>3</v>
      </c>
      <c r="C1368">
        <v>92.23681599999999</v>
      </c>
      <c r="D1368">
        <v>3</v>
      </c>
      <c r="E1368">
        <v>0</v>
      </c>
      <c r="F1368">
        <v>-0.20298725717975499</v>
      </c>
      <c r="G1368">
        <v>3.078978514528067E-2</v>
      </c>
      <c r="H1368">
        <v>-0.27393138195551003</v>
      </c>
    </row>
    <row r="1369" spans="2:8">
      <c r="B1369">
        <v>3</v>
      </c>
      <c r="C1369">
        <v>92.23681599999999</v>
      </c>
      <c r="D1369">
        <v>3</v>
      </c>
      <c r="E1369">
        <v>0</v>
      </c>
      <c r="F1369">
        <v>-0.30656548295987207</v>
      </c>
      <c r="G1369">
        <v>-0.36784960702804853</v>
      </c>
      <c r="H1369">
        <v>-0.17162679716940962</v>
      </c>
    </row>
    <row r="1370" spans="2:8">
      <c r="B1370">
        <v>3</v>
      </c>
      <c r="C1370">
        <v>92.23681599999999</v>
      </c>
      <c r="D1370">
        <v>3</v>
      </c>
      <c r="E1370">
        <v>0</v>
      </c>
      <c r="F1370">
        <v>-8.9609977894768308E-2</v>
      </c>
      <c r="G1370">
        <v>-0.15681603562391708</v>
      </c>
      <c r="H1370">
        <v>-0.29684378920111187</v>
      </c>
    </row>
    <row r="1371" spans="2:8">
      <c r="B1371">
        <v>3</v>
      </c>
      <c r="C1371">
        <v>92.23681599999999</v>
      </c>
      <c r="D1371">
        <v>3</v>
      </c>
      <c r="E1371">
        <v>0</v>
      </c>
      <c r="F1371">
        <v>-0.11377842241216628</v>
      </c>
      <c r="G1371">
        <v>-4.6336940070288823E-2</v>
      </c>
      <c r="H1371">
        <v>-0.21455526534041922</v>
      </c>
    </row>
    <row r="1372" spans="2:8">
      <c r="B1372">
        <v>1</v>
      </c>
      <c r="C1372">
        <v>102</v>
      </c>
      <c r="D1372">
        <v>1</v>
      </c>
      <c r="E1372">
        <v>0</v>
      </c>
      <c r="F1372">
        <v>7.5917907936591353E-2</v>
      </c>
    </row>
    <row r="1373" spans="2:8">
      <c r="B1373">
        <v>3</v>
      </c>
      <c r="C1373">
        <v>55.590335022269507</v>
      </c>
      <c r="D1373">
        <v>2</v>
      </c>
      <c r="E1373">
        <v>0</v>
      </c>
      <c r="F1373">
        <v>-0.18179476217071439</v>
      </c>
      <c r="G1373">
        <v>-0.18046908717208116</v>
      </c>
      <c r="H1373">
        <v>-0.44409664977730495</v>
      </c>
    </row>
    <row r="1374" spans="2:8">
      <c r="B1374">
        <v>1</v>
      </c>
      <c r="C1374">
        <v>102</v>
      </c>
      <c r="D1374">
        <v>1</v>
      </c>
      <c r="E1374">
        <v>0</v>
      </c>
      <c r="F1374">
        <v>2.3228989014179226E-2</v>
      </c>
      <c r="G1374">
        <v>-0.22633284311446877</v>
      </c>
      <c r="H1374">
        <v>-0.33799028298645467</v>
      </c>
    </row>
    <row r="1375" spans="2:8">
      <c r="B1375">
        <v>1</v>
      </c>
      <c r="C1375">
        <v>102</v>
      </c>
      <c r="D1375">
        <v>1</v>
      </c>
      <c r="E1375">
        <v>0</v>
      </c>
      <c r="F1375">
        <v>7.9629243585690609E-2</v>
      </c>
      <c r="G1375">
        <v>-4.5158845944968933E-2</v>
      </c>
      <c r="H1375">
        <v>-2.9229221871217112E-2</v>
      </c>
    </row>
    <row r="1376" spans="2:8">
      <c r="B1376">
        <v>1</v>
      </c>
      <c r="C1376">
        <v>102</v>
      </c>
      <c r="D1376">
        <v>1</v>
      </c>
      <c r="E1376">
        <v>0</v>
      </c>
      <c r="F1376">
        <v>4.1091563857021625E-2</v>
      </c>
      <c r="G1376">
        <v>-0.26384517140210928</v>
      </c>
      <c r="H1376">
        <v>-0.21521332077420591</v>
      </c>
    </row>
    <row r="1377" spans="2:8">
      <c r="B1377">
        <v>1</v>
      </c>
      <c r="C1377">
        <v>102</v>
      </c>
      <c r="D1377">
        <v>1</v>
      </c>
      <c r="E1377">
        <v>0</v>
      </c>
      <c r="F1377">
        <v>0.20364067015902257</v>
      </c>
      <c r="G1377">
        <v>8.9375043359565795E-2</v>
      </c>
      <c r="H1377">
        <v>0.1657833115263786</v>
      </c>
    </row>
    <row r="1378" spans="2:8">
      <c r="B1378">
        <v>3</v>
      </c>
      <c r="C1378">
        <v>39.901240578143636</v>
      </c>
      <c r="D1378">
        <v>0</v>
      </c>
      <c r="E1378">
        <v>0</v>
      </c>
      <c r="F1378">
        <v>-0.44641135381799757</v>
      </c>
      <c r="G1378">
        <v>-0.74517764108301243</v>
      </c>
      <c r="H1378">
        <v>-0.60098759421856363</v>
      </c>
    </row>
    <row r="1379" spans="2:8">
      <c r="B1379">
        <v>3</v>
      </c>
      <c r="C1379">
        <v>92.23681599999999</v>
      </c>
      <c r="D1379">
        <v>3</v>
      </c>
      <c r="E1379">
        <v>0</v>
      </c>
      <c r="F1379">
        <v>-0.14064191267829407</v>
      </c>
      <c r="G1379">
        <v>-0.10311458316729893</v>
      </c>
      <c r="H1379">
        <v>-0.30528209695721054</v>
      </c>
    </row>
    <row r="1380" spans="2:8">
      <c r="B1380">
        <v>1</v>
      </c>
      <c r="C1380">
        <v>102</v>
      </c>
      <c r="D1380">
        <v>1</v>
      </c>
      <c r="E1380">
        <v>0</v>
      </c>
      <c r="F1380">
        <v>3.2962905285958063E-2</v>
      </c>
      <c r="G1380">
        <v>-0.48988988708679221</v>
      </c>
      <c r="H1380">
        <v>-0.58187319938964777</v>
      </c>
    </row>
    <row r="1381" spans="2:8">
      <c r="B1381">
        <v>1</v>
      </c>
      <c r="C1381">
        <v>102</v>
      </c>
      <c r="D1381">
        <v>1</v>
      </c>
      <c r="E1381">
        <v>0</v>
      </c>
      <c r="F1381">
        <v>4.6227347173871697E-2</v>
      </c>
    </row>
    <row r="1382" spans="2:8">
      <c r="B1382">
        <v>1</v>
      </c>
      <c r="C1382">
        <v>102</v>
      </c>
      <c r="D1382">
        <v>1</v>
      </c>
      <c r="E1382">
        <v>0</v>
      </c>
      <c r="F1382">
        <v>0.16521130724973301</v>
      </c>
    </row>
    <row r="1383" spans="2:8">
      <c r="B1383">
        <v>3</v>
      </c>
      <c r="C1383">
        <v>106</v>
      </c>
      <c r="D1383">
        <v>3</v>
      </c>
      <c r="E1383">
        <v>0</v>
      </c>
      <c r="F1383">
        <v>-0.25498426597929252</v>
      </c>
      <c r="G1383">
        <v>-0.29749961757931187</v>
      </c>
      <c r="H1383">
        <v>5.4645635761746509E-3</v>
      </c>
    </row>
    <row r="1384" spans="2:8">
      <c r="B1384">
        <v>3</v>
      </c>
      <c r="C1384">
        <v>92.23681599999999</v>
      </c>
      <c r="D1384">
        <v>1</v>
      </c>
      <c r="E1384">
        <v>0</v>
      </c>
      <c r="F1384">
        <v>-0.49433266959900762</v>
      </c>
      <c r="G1384">
        <v>-0.41666252670065551</v>
      </c>
      <c r="H1384">
        <v>-0.27588663931389046</v>
      </c>
    </row>
    <row r="1385" spans="2:8">
      <c r="B1385">
        <v>3</v>
      </c>
      <c r="C1385">
        <v>106</v>
      </c>
      <c r="D1385">
        <v>3</v>
      </c>
      <c r="E1385">
        <v>0</v>
      </c>
      <c r="F1385">
        <v>-2.4887873049293123E-2</v>
      </c>
      <c r="G1385">
        <v>0.30298716103659867</v>
      </c>
      <c r="H1385">
        <v>0.23132169275045245</v>
      </c>
    </row>
    <row r="1386" spans="2:8">
      <c r="B1386">
        <v>1</v>
      </c>
      <c r="C1386">
        <v>102</v>
      </c>
      <c r="D1386">
        <v>1</v>
      </c>
      <c r="E1386">
        <v>0</v>
      </c>
      <c r="F1386">
        <v>0.1280280792449614</v>
      </c>
      <c r="G1386">
        <v>-0.26512671750833378</v>
      </c>
      <c r="H1386">
        <v>-0.27923857532765362</v>
      </c>
    </row>
    <row r="1387" spans="2:8">
      <c r="B1387">
        <v>3</v>
      </c>
      <c r="C1387">
        <v>59.552252942746442</v>
      </c>
      <c r="D1387">
        <v>2</v>
      </c>
      <c r="E1387">
        <v>0</v>
      </c>
      <c r="F1387">
        <v>-0.17026238303543337</v>
      </c>
      <c r="G1387">
        <v>-0.15977340839343354</v>
      </c>
      <c r="H1387">
        <v>-0.40447747057253558</v>
      </c>
    </row>
    <row r="1388" spans="2:8">
      <c r="B1388">
        <v>3</v>
      </c>
      <c r="C1388">
        <v>92.23681599999999</v>
      </c>
      <c r="D1388">
        <v>3</v>
      </c>
      <c r="E1388">
        <v>0</v>
      </c>
      <c r="F1388">
        <v>-4.5116362310779704E-3</v>
      </c>
      <c r="G1388">
        <v>-9.4490890860030888E-2</v>
      </c>
      <c r="H1388">
        <v>-0.14631507643449435</v>
      </c>
    </row>
    <row r="1389" spans="2:8">
      <c r="B1389">
        <v>1</v>
      </c>
      <c r="C1389">
        <v>102</v>
      </c>
      <c r="D1389">
        <v>1</v>
      </c>
      <c r="E1389">
        <v>0</v>
      </c>
      <c r="F1389">
        <v>0.30927442449053444</v>
      </c>
    </row>
    <row r="1390" spans="2:8">
      <c r="B1390">
        <v>1</v>
      </c>
      <c r="C1390">
        <v>102</v>
      </c>
      <c r="D1390">
        <v>1</v>
      </c>
      <c r="E1390">
        <v>0</v>
      </c>
      <c r="F1390">
        <v>0.13430762472609761</v>
      </c>
      <c r="G1390">
        <v>-0.30545626814854882</v>
      </c>
      <c r="H1390">
        <v>-0.33701303651605846</v>
      </c>
    </row>
    <row r="1391" spans="2:8">
      <c r="B1391">
        <v>1</v>
      </c>
      <c r="C1391">
        <v>102</v>
      </c>
      <c r="D1391">
        <v>1</v>
      </c>
      <c r="E1391">
        <v>0</v>
      </c>
      <c r="F1391">
        <v>2.0263165903092496E-2</v>
      </c>
      <c r="G1391">
        <v>0.11900930905361955</v>
      </c>
      <c r="H1391">
        <v>0.20766420697521604</v>
      </c>
    </row>
    <row r="1392" spans="2:8">
      <c r="B1392">
        <v>3</v>
      </c>
      <c r="C1392">
        <v>53.110652985415285</v>
      </c>
      <c r="D1392">
        <v>2</v>
      </c>
      <c r="E1392">
        <v>0</v>
      </c>
      <c r="F1392">
        <v>-0.14375417883178057</v>
      </c>
      <c r="G1392">
        <v>-0.26255772603138783</v>
      </c>
      <c r="H1392">
        <v>-0.46889347014584715</v>
      </c>
    </row>
    <row r="1393" spans="2:8">
      <c r="B1393">
        <v>3</v>
      </c>
      <c r="C1393">
        <v>92.23681599999999</v>
      </c>
      <c r="D1393">
        <v>3</v>
      </c>
      <c r="E1393">
        <v>0</v>
      </c>
      <c r="F1393">
        <v>-6.9519168354821193E-2</v>
      </c>
      <c r="G1393">
        <v>6.614085143167775E-2</v>
      </c>
      <c r="H1393">
        <v>-5.1696675167869535E-2</v>
      </c>
    </row>
    <row r="1394" spans="2:8">
      <c r="B1394">
        <v>3</v>
      </c>
      <c r="C1394">
        <v>92.23681599999999</v>
      </c>
      <c r="D1394">
        <v>3</v>
      </c>
      <c r="E1394">
        <v>0</v>
      </c>
      <c r="F1394">
        <v>-6.5217139896961401E-2</v>
      </c>
      <c r="G1394">
        <v>-0.22167067142972482</v>
      </c>
      <c r="H1394">
        <v>-0.33488091102356654</v>
      </c>
    </row>
    <row r="1395" spans="2:8">
      <c r="B1395">
        <v>3</v>
      </c>
      <c r="C1395">
        <v>92.23681599999999</v>
      </c>
      <c r="D1395">
        <v>3</v>
      </c>
      <c r="E1395">
        <v>0</v>
      </c>
      <c r="F1395">
        <v>-7.8163040227235206E-2</v>
      </c>
      <c r="G1395">
        <v>4.1334974101139357E-2</v>
      </c>
      <c r="H1395">
        <v>-8.5927996433461648E-2</v>
      </c>
    </row>
    <row r="1396" spans="2:8">
      <c r="B1396">
        <v>3</v>
      </c>
      <c r="C1396">
        <v>92.23681599999999</v>
      </c>
      <c r="D1396">
        <v>3</v>
      </c>
      <c r="E1396">
        <v>0</v>
      </c>
      <c r="F1396">
        <v>-3.9486216600087928E-2</v>
      </c>
      <c r="G1396">
        <v>-0.16593169444903835</v>
      </c>
      <c r="H1396">
        <v>-0.25227300345110198</v>
      </c>
    </row>
    <row r="1397" spans="2:8">
      <c r="B1397">
        <v>3</v>
      </c>
      <c r="C1397">
        <v>92.23681599999999</v>
      </c>
      <c r="D1397">
        <v>3</v>
      </c>
      <c r="E1397">
        <v>0</v>
      </c>
      <c r="F1397">
        <v>-0.16339702740739304</v>
      </c>
      <c r="G1397">
        <v>-0.14711074475623395</v>
      </c>
      <c r="H1397">
        <v>-2.4963668675991868E-2</v>
      </c>
    </row>
    <row r="1398" spans="2:8">
      <c r="B1398">
        <v>3</v>
      </c>
      <c r="C1398">
        <v>106</v>
      </c>
      <c r="D1398">
        <v>3</v>
      </c>
      <c r="E1398">
        <v>0</v>
      </c>
      <c r="F1398">
        <v>-0.24919867844722496</v>
      </c>
      <c r="G1398">
        <v>-9.7556135698056587E-2</v>
      </c>
      <c r="H1398">
        <v>0.2473662058321055</v>
      </c>
    </row>
    <row r="1399" spans="2:8">
      <c r="B1399">
        <v>3</v>
      </c>
      <c r="C1399">
        <v>92.23681599999999</v>
      </c>
      <c r="D1399">
        <v>3</v>
      </c>
      <c r="E1399">
        <v>0</v>
      </c>
      <c r="F1399">
        <v>-0.16134507673078527</v>
      </c>
      <c r="G1399">
        <v>-0.14327410145586866</v>
      </c>
      <c r="H1399">
        <v>-0.37440616820481198</v>
      </c>
    </row>
    <row r="1400" spans="2:8">
      <c r="B1400">
        <v>1</v>
      </c>
      <c r="C1400">
        <v>102</v>
      </c>
      <c r="D1400">
        <v>1</v>
      </c>
      <c r="E1400">
        <v>0</v>
      </c>
      <c r="F1400">
        <v>0.10122749541529311</v>
      </c>
      <c r="G1400">
        <v>1.3709303969850067E-2</v>
      </c>
      <c r="H1400">
        <v>-0.16536662969722929</v>
      </c>
    </row>
    <row r="1401" spans="2:8">
      <c r="B1401">
        <v>3</v>
      </c>
      <c r="C1401">
        <v>92.23681599999999</v>
      </c>
      <c r="D1401">
        <v>3</v>
      </c>
      <c r="E1401">
        <v>0</v>
      </c>
      <c r="F1401">
        <v>-0.27569348181286224</v>
      </c>
      <c r="G1401">
        <v>-0.32678340036047426</v>
      </c>
      <c r="H1401">
        <v>-8.8481526390154663E-2</v>
      </c>
    </row>
    <row r="1402" spans="2:8">
      <c r="B1402">
        <v>3</v>
      </c>
      <c r="C1402">
        <v>106</v>
      </c>
      <c r="D1402">
        <v>3</v>
      </c>
      <c r="E1402">
        <v>0</v>
      </c>
      <c r="F1402">
        <v>-0.29249137014805698</v>
      </c>
      <c r="G1402">
        <v>-0.17483634787306412</v>
      </c>
      <c r="H1402">
        <v>3.6888755130376497E-2</v>
      </c>
    </row>
    <row r="1403" spans="2:8">
      <c r="B1403">
        <v>3</v>
      </c>
      <c r="C1403">
        <v>92.23681599999999</v>
      </c>
      <c r="D1403">
        <v>3</v>
      </c>
      <c r="E1403">
        <v>0</v>
      </c>
      <c r="F1403">
        <v>-0.10295081415473056</v>
      </c>
      <c r="G1403">
        <v>-2.1535492283841006E-2</v>
      </c>
      <c r="H1403">
        <v>-0.17689554193202861</v>
      </c>
    </row>
    <row r="1404" spans="2:8">
      <c r="B1404">
        <v>3</v>
      </c>
      <c r="C1404">
        <v>92.23681599999999</v>
      </c>
      <c r="D1404">
        <v>3</v>
      </c>
      <c r="E1404">
        <v>0</v>
      </c>
      <c r="F1404">
        <v>-7.3833392873515341E-2</v>
      </c>
      <c r="G1404">
        <v>-0.24110088747080005</v>
      </c>
      <c r="H1404">
        <v>-0.36362084351259005</v>
      </c>
    </row>
    <row r="1405" spans="2:8">
      <c r="B1405">
        <v>3</v>
      </c>
      <c r="C1405">
        <v>106</v>
      </c>
      <c r="D1405">
        <v>3</v>
      </c>
      <c r="E1405">
        <v>0</v>
      </c>
      <c r="F1405">
        <v>-5.2352802489923661E-2</v>
      </c>
      <c r="G1405">
        <v>0.12323104259132887</v>
      </c>
      <c r="H1405">
        <v>2.3620905940501927E-2</v>
      </c>
    </row>
    <row r="1406" spans="2:8">
      <c r="B1406">
        <v>3</v>
      </c>
      <c r="C1406">
        <v>47.494231101509342</v>
      </c>
      <c r="D1406">
        <v>2</v>
      </c>
      <c r="E1406">
        <v>0</v>
      </c>
      <c r="F1406">
        <v>-0.11841223256434012</v>
      </c>
      <c r="G1406">
        <v>-0.35120787931821768</v>
      </c>
      <c r="H1406">
        <v>-0.52505768898490657</v>
      </c>
    </row>
    <row r="1407" spans="2:8">
      <c r="B1407">
        <v>1</v>
      </c>
      <c r="C1407">
        <v>102</v>
      </c>
      <c r="D1407">
        <v>1</v>
      </c>
      <c r="E1407">
        <v>0</v>
      </c>
      <c r="F1407">
        <v>9.4556353273971355E-2</v>
      </c>
    </row>
    <row r="1408" spans="2:8">
      <c r="B1408">
        <v>3</v>
      </c>
      <c r="C1408">
        <v>92.23681599999999</v>
      </c>
      <c r="D1408">
        <v>2</v>
      </c>
      <c r="E1408">
        <v>0</v>
      </c>
      <c r="F1408">
        <v>-0.24579455070956707</v>
      </c>
      <c r="G1408">
        <v>-0.45189090190561454</v>
      </c>
      <c r="H1408">
        <v>-5.4001701258839879E-2</v>
      </c>
    </row>
    <row r="1409" spans="2:8">
      <c r="B1409">
        <v>1</v>
      </c>
      <c r="C1409">
        <v>102</v>
      </c>
      <c r="D1409">
        <v>1</v>
      </c>
      <c r="E1409">
        <v>0</v>
      </c>
      <c r="F1409">
        <v>0.25023585262311615</v>
      </c>
      <c r="G1409">
        <v>0.12508655864826301</v>
      </c>
      <c r="H1409">
        <v>0.21615433490735211</v>
      </c>
    </row>
    <row r="1410" spans="2:8">
      <c r="B1410">
        <v>1</v>
      </c>
      <c r="C1410">
        <v>102</v>
      </c>
      <c r="D1410">
        <v>1</v>
      </c>
      <c r="E1410">
        <v>0</v>
      </c>
      <c r="F1410">
        <v>1.5541128013728756E-2</v>
      </c>
    </row>
    <row r="1411" spans="2:8">
      <c r="B1411">
        <v>3</v>
      </c>
      <c r="C1411">
        <v>92.23681599999999</v>
      </c>
      <c r="D1411">
        <v>3</v>
      </c>
      <c r="E1411">
        <v>0</v>
      </c>
      <c r="F1411">
        <v>-0.12901508654412991</v>
      </c>
      <c r="G1411">
        <v>-7.927074540882291E-2</v>
      </c>
      <c r="H1411">
        <v>-0.26633582224934227</v>
      </c>
    </row>
    <row r="1412" spans="2:8">
      <c r="B1412">
        <v>3</v>
      </c>
      <c r="C1412">
        <v>51.059568222490128</v>
      </c>
      <c r="D1412">
        <v>2</v>
      </c>
      <c r="E1412">
        <v>0</v>
      </c>
      <c r="F1412">
        <v>-0.10919529296609569</v>
      </c>
      <c r="G1412">
        <v>-0.32667786945645477</v>
      </c>
      <c r="H1412">
        <v>-0.48940431777509874</v>
      </c>
    </row>
    <row r="1413" spans="2:8">
      <c r="B1413">
        <v>1</v>
      </c>
      <c r="C1413">
        <v>102</v>
      </c>
      <c r="D1413">
        <v>1</v>
      </c>
      <c r="E1413">
        <v>0</v>
      </c>
      <c r="F1413">
        <v>5.8880878202081849E-2</v>
      </c>
    </row>
    <row r="1414" spans="2:8">
      <c r="B1414">
        <v>3</v>
      </c>
      <c r="C1414">
        <v>56.33102212418504</v>
      </c>
      <c r="D1414">
        <v>2</v>
      </c>
      <c r="E1414">
        <v>0</v>
      </c>
      <c r="F1414">
        <v>-0.13385044192646112</v>
      </c>
      <c r="G1414">
        <v>-0.24342850418160722</v>
      </c>
      <c r="H1414">
        <v>-0.43668977875814963</v>
      </c>
    </row>
    <row r="1415" spans="2:8">
      <c r="B1415">
        <v>3</v>
      </c>
      <c r="C1415">
        <v>92.23681599999999</v>
      </c>
      <c r="D1415">
        <v>3</v>
      </c>
      <c r="E1415">
        <v>0</v>
      </c>
      <c r="F1415">
        <v>-9.5703596702577692E-2</v>
      </c>
      <c r="G1415">
        <v>-4.1482803950920761E-3</v>
      </c>
      <c r="H1415">
        <v>-0.15111444932078633</v>
      </c>
    </row>
    <row r="1416" spans="2:8">
      <c r="B1416">
        <v>1</v>
      </c>
      <c r="C1416">
        <v>102</v>
      </c>
      <c r="D1416">
        <v>1</v>
      </c>
      <c r="E1416">
        <v>0</v>
      </c>
      <c r="F1416">
        <v>1.376846758162128E-2</v>
      </c>
    </row>
    <row r="1417" spans="2:8">
      <c r="B1417">
        <v>1</v>
      </c>
      <c r="C1417">
        <v>102</v>
      </c>
      <c r="D1417">
        <v>1</v>
      </c>
      <c r="E1417">
        <v>0</v>
      </c>
      <c r="F1417">
        <v>0.12014090757922606</v>
      </c>
    </row>
    <row r="1418" spans="2:8">
      <c r="B1418">
        <v>3</v>
      </c>
      <c r="C1418">
        <v>49.719937672503342</v>
      </c>
      <c r="D1418">
        <v>2</v>
      </c>
      <c r="E1418">
        <v>0</v>
      </c>
      <c r="F1418">
        <v>-0.15401993168986955</v>
      </c>
      <c r="G1418">
        <v>-0.28227430188548186</v>
      </c>
      <c r="H1418">
        <v>-0.50280062327496655</v>
      </c>
    </row>
    <row r="1419" spans="2:8">
      <c r="B1419">
        <v>3</v>
      </c>
      <c r="C1419">
        <v>106</v>
      </c>
      <c r="D1419">
        <v>3</v>
      </c>
      <c r="E1419">
        <v>0</v>
      </c>
      <c r="F1419">
        <v>-4.37804644430696E-2</v>
      </c>
      <c r="G1419">
        <v>0.15857119520959043</v>
      </c>
      <c r="H1419">
        <v>6.7837075973144728E-2</v>
      </c>
    </row>
    <row r="1420" spans="2:8">
      <c r="B1420">
        <v>3</v>
      </c>
      <c r="C1420">
        <v>92.23681599999999</v>
      </c>
      <c r="D1420">
        <v>2</v>
      </c>
      <c r="E1420">
        <v>0</v>
      </c>
      <c r="F1420">
        <v>-0.14759569954808116</v>
      </c>
      <c r="G1420">
        <v>-0.44119796566666947</v>
      </c>
      <c r="H1420">
        <v>-0.29350167491121343</v>
      </c>
    </row>
    <row r="1421" spans="2:8">
      <c r="B1421">
        <v>3</v>
      </c>
      <c r="C1421">
        <v>92.23681599999999</v>
      </c>
      <c r="D1421">
        <v>1</v>
      </c>
      <c r="E1421">
        <v>0</v>
      </c>
      <c r="F1421">
        <v>-0.4062216017783532</v>
      </c>
      <c r="G1421">
        <v>-0.48474877394035526</v>
      </c>
      <c r="H1421">
        <v>-0.33475505277874557</v>
      </c>
    </row>
    <row r="1422" spans="2:8">
      <c r="B1422">
        <v>3</v>
      </c>
      <c r="C1422">
        <v>92.23681599999999</v>
      </c>
      <c r="D1422">
        <v>3</v>
      </c>
      <c r="E1422">
        <v>0</v>
      </c>
      <c r="F1422">
        <v>-3.7857620675087376E-2</v>
      </c>
      <c r="G1422">
        <v>-5.3303616162740805E-2</v>
      </c>
      <c r="H1422">
        <v>-0.13798809908353132</v>
      </c>
    </row>
    <row r="1423" spans="2:8">
      <c r="B1423">
        <v>1</v>
      </c>
      <c r="C1423">
        <v>102</v>
      </c>
      <c r="D1423">
        <v>1</v>
      </c>
      <c r="E1423">
        <v>0</v>
      </c>
      <c r="F1423">
        <v>0.24101234374725181</v>
      </c>
      <c r="G1423">
        <v>0.16082472293790945</v>
      </c>
      <c r="H1423">
        <v>0.26522264840448961</v>
      </c>
    </row>
    <row r="1424" spans="2:8">
      <c r="B1424">
        <v>1</v>
      </c>
      <c r="C1424">
        <v>102</v>
      </c>
      <c r="D1424">
        <v>1</v>
      </c>
      <c r="E1424">
        <v>0</v>
      </c>
      <c r="F1424">
        <v>0.19995874187090784</v>
      </c>
    </row>
    <row r="1425" spans="2:8">
      <c r="B1425">
        <v>3</v>
      </c>
      <c r="C1425">
        <v>92.23681599999999</v>
      </c>
      <c r="D1425">
        <v>3</v>
      </c>
      <c r="E1425">
        <v>0</v>
      </c>
      <c r="F1425">
        <v>-5.930005310477203E-2</v>
      </c>
      <c r="G1425">
        <v>9.8509396916243774E-2</v>
      </c>
      <c r="H1425">
        <v>-8.4022735890311364E-3</v>
      </c>
    </row>
    <row r="1426" spans="2:8">
      <c r="B1426">
        <v>3</v>
      </c>
      <c r="C1426">
        <v>92.23681599999999</v>
      </c>
      <c r="D1426">
        <v>3</v>
      </c>
      <c r="E1426">
        <v>0</v>
      </c>
      <c r="F1426">
        <v>-0.23519530923496434</v>
      </c>
      <c r="G1426">
        <v>-6.6747032444743906E-2</v>
      </c>
      <c r="H1426">
        <v>-1.3901781878576871E-2</v>
      </c>
    </row>
    <row r="1427" spans="2:8">
      <c r="B1427">
        <v>3</v>
      </c>
      <c r="C1427">
        <v>92.23681599999999</v>
      </c>
      <c r="D1427">
        <v>3</v>
      </c>
      <c r="E1427">
        <v>0</v>
      </c>
      <c r="F1427">
        <v>-6.7888683863597421E-2</v>
      </c>
      <c r="G1427">
        <v>7.105498418406489E-2</v>
      </c>
      <c r="H1427">
        <v>-4.5023936239825202E-2</v>
      </c>
    </row>
    <row r="1428" spans="2:8">
      <c r="B1428">
        <v>3</v>
      </c>
      <c r="C1428">
        <v>106</v>
      </c>
      <c r="D1428">
        <v>3</v>
      </c>
      <c r="E1428">
        <v>0</v>
      </c>
      <c r="F1428">
        <v>-0.19251181640130774</v>
      </c>
      <c r="G1428">
        <v>8.5495762961333446E-2</v>
      </c>
      <c r="H1428">
        <v>0.17287706947423448</v>
      </c>
    </row>
    <row r="1429" spans="2:8">
      <c r="B1429">
        <v>3</v>
      </c>
      <c r="C1429">
        <v>92.23681599999999</v>
      </c>
      <c r="D1429">
        <v>3</v>
      </c>
      <c r="E1429">
        <v>0</v>
      </c>
      <c r="F1429">
        <v>-0.15078804768043919</v>
      </c>
      <c r="G1429">
        <v>-0.123137528340659</v>
      </c>
      <c r="H1429">
        <v>-0.33911804048070715</v>
      </c>
    </row>
    <row r="1430" spans="2:8">
      <c r="B1430">
        <v>1</v>
      </c>
      <c r="C1430">
        <v>102</v>
      </c>
      <c r="D1430">
        <v>1</v>
      </c>
      <c r="E1430">
        <v>0</v>
      </c>
      <c r="F1430">
        <v>6.4411224104100578E-2</v>
      </c>
    </row>
    <row r="1431" spans="2:8">
      <c r="B1431">
        <v>3</v>
      </c>
      <c r="C1431">
        <v>92.23681599999999</v>
      </c>
      <c r="D1431">
        <v>3</v>
      </c>
      <c r="E1431">
        <v>0</v>
      </c>
      <c r="F1431">
        <v>-0.14883757526576449</v>
      </c>
      <c r="G1431">
        <v>-0.11934130609281511</v>
      </c>
      <c r="H1431">
        <v>-0.33261442762642451</v>
      </c>
    </row>
    <row r="1432" spans="2:8">
      <c r="B1432">
        <v>3</v>
      </c>
      <c r="C1432">
        <v>92.23681599999999</v>
      </c>
      <c r="D1432">
        <v>3</v>
      </c>
      <c r="E1432">
        <v>0</v>
      </c>
      <c r="F1432">
        <v>-5.6637060302684679E-2</v>
      </c>
      <c r="G1432">
        <v>-0.20273122210196504</v>
      </c>
      <c r="H1432">
        <v>-0.30683236674795056</v>
      </c>
    </row>
    <row r="1433" spans="2:8">
      <c r="B1433">
        <v>3</v>
      </c>
      <c r="C1433">
        <v>92.23681599999999</v>
      </c>
      <c r="D1433">
        <v>3</v>
      </c>
      <c r="E1433">
        <v>0</v>
      </c>
      <c r="F1433">
        <v>-0.10465806397442542</v>
      </c>
      <c r="G1433">
        <v>-2.5534234589201048E-2</v>
      </c>
      <c r="H1433">
        <v>-0.18289548601915814</v>
      </c>
    </row>
    <row r="1434" spans="2:8">
      <c r="B1434">
        <v>1</v>
      </c>
      <c r="C1434">
        <v>102</v>
      </c>
      <c r="D1434">
        <v>1</v>
      </c>
      <c r="E1434">
        <v>0</v>
      </c>
      <c r="F1434">
        <v>4.3024901593202707E-2</v>
      </c>
      <c r="G1434">
        <v>-0.28476475006688068</v>
      </c>
      <c r="H1434">
        <v>-0.24639910331258791</v>
      </c>
    </row>
    <row r="1435" spans="2:8">
      <c r="B1435">
        <v>1</v>
      </c>
      <c r="C1435">
        <v>102</v>
      </c>
      <c r="D1435">
        <v>1</v>
      </c>
      <c r="E1435">
        <v>0</v>
      </c>
      <c r="F1435">
        <v>1.6680994109522274E-2</v>
      </c>
      <c r="G1435">
        <v>0.19699632988655266</v>
      </c>
      <c r="H1435">
        <v>0.31305875111157955</v>
      </c>
    </row>
    <row r="1436" spans="2:8">
      <c r="B1436">
        <v>3</v>
      </c>
      <c r="C1436">
        <v>92.23681599999999</v>
      </c>
      <c r="D1436">
        <v>3</v>
      </c>
      <c r="E1436">
        <v>0</v>
      </c>
      <c r="F1436">
        <v>-0.25269415604431889</v>
      </c>
      <c r="G1436">
        <v>-0.10466642205002015</v>
      </c>
      <c r="H1436">
        <v>-6.2251453184591472E-2</v>
      </c>
    </row>
    <row r="1437" spans="2:8">
      <c r="B1437">
        <v>3</v>
      </c>
      <c r="C1437">
        <v>106</v>
      </c>
      <c r="D1437">
        <v>3</v>
      </c>
      <c r="E1437">
        <v>0</v>
      </c>
      <c r="F1437">
        <v>-4.2155112014446078E-2</v>
      </c>
      <c r="G1437">
        <v>0.16615104985317689</v>
      </c>
      <c r="H1437">
        <v>7.7083727776153521E-2</v>
      </c>
    </row>
    <row r="1438" spans="2:8">
      <c r="B1438">
        <v>1</v>
      </c>
      <c r="C1438">
        <v>102</v>
      </c>
      <c r="D1438">
        <v>1</v>
      </c>
      <c r="E1438">
        <v>0</v>
      </c>
      <c r="F1438">
        <v>0.43477100028959825</v>
      </c>
      <c r="G1438">
        <v>-0.32982019991253941</v>
      </c>
      <c r="H1438">
        <v>-0.31096096461740097</v>
      </c>
    </row>
    <row r="1439" spans="2:8">
      <c r="B1439">
        <v>1</v>
      </c>
      <c r="C1439">
        <v>102</v>
      </c>
      <c r="D1439">
        <v>1</v>
      </c>
      <c r="E1439">
        <v>0</v>
      </c>
      <c r="F1439">
        <v>0.11089024586386539</v>
      </c>
    </row>
    <row r="1440" spans="2:8">
      <c r="B1440">
        <v>1</v>
      </c>
      <c r="C1440">
        <v>102</v>
      </c>
      <c r="D1440">
        <v>1</v>
      </c>
      <c r="E1440">
        <v>0</v>
      </c>
      <c r="F1440">
        <v>6.6542332887534694E-2</v>
      </c>
    </row>
    <row r="1441" spans="2:8">
      <c r="B1441">
        <v>1</v>
      </c>
      <c r="C1441">
        <v>102</v>
      </c>
      <c r="D1441">
        <v>1</v>
      </c>
      <c r="E1441">
        <v>0</v>
      </c>
      <c r="F1441">
        <v>0.37513545448010194</v>
      </c>
    </row>
    <row r="1442" spans="2:8">
      <c r="B1442">
        <v>3</v>
      </c>
      <c r="C1442">
        <v>44.409766330585818</v>
      </c>
      <c r="D1442">
        <v>2</v>
      </c>
      <c r="E1442">
        <v>0</v>
      </c>
      <c r="F1442">
        <v>-0.12604593737331987</v>
      </c>
      <c r="G1442">
        <v>-0.37258723175973618</v>
      </c>
      <c r="H1442">
        <v>-0.5559023366941418</v>
      </c>
    </row>
    <row r="1443" spans="2:8">
      <c r="B1443">
        <v>3</v>
      </c>
      <c r="C1443">
        <v>58.126702890614709</v>
      </c>
      <c r="D1443">
        <v>2</v>
      </c>
      <c r="E1443">
        <v>0</v>
      </c>
      <c r="F1443">
        <v>-8.9760311881192639E-3</v>
      </c>
      <c r="G1443">
        <v>-0.3626246631270178</v>
      </c>
      <c r="H1443">
        <v>-0.41873297109385288</v>
      </c>
    </row>
    <row r="1444" spans="2:8">
      <c r="B1444">
        <v>3</v>
      </c>
      <c r="C1444">
        <v>92.23681599999999</v>
      </c>
      <c r="D1444">
        <v>3</v>
      </c>
      <c r="E1444">
        <v>0</v>
      </c>
      <c r="F1444">
        <v>-0.38062271297596212</v>
      </c>
      <c r="G1444">
        <v>-0.29301962908245077</v>
      </c>
      <c r="H1444">
        <v>-0.28902863946189422</v>
      </c>
    </row>
    <row r="1445" spans="2:8">
      <c r="B1445">
        <v>1</v>
      </c>
      <c r="C1445">
        <v>102</v>
      </c>
      <c r="D1445">
        <v>1</v>
      </c>
      <c r="E1445">
        <v>0</v>
      </c>
      <c r="F1445">
        <v>7.2274518769662358E-2</v>
      </c>
      <c r="G1445">
        <v>-0.12959235012172099</v>
      </c>
      <c r="H1445">
        <v>-0.26120247052788881</v>
      </c>
    </row>
    <row r="1446" spans="2:8">
      <c r="B1446">
        <v>1</v>
      </c>
      <c r="C1446">
        <v>102</v>
      </c>
      <c r="D1446">
        <v>1</v>
      </c>
      <c r="E1446">
        <v>0</v>
      </c>
      <c r="F1446">
        <v>0.23558089502474791</v>
      </c>
    </row>
    <row r="1447" spans="2:8">
      <c r="B1447">
        <v>3</v>
      </c>
      <c r="C1447">
        <v>92.23681599999999</v>
      </c>
      <c r="D1447">
        <v>3</v>
      </c>
      <c r="E1447">
        <v>0</v>
      </c>
      <c r="F1447">
        <v>-8.5223946745459384E-2</v>
      </c>
      <c r="G1447">
        <v>2.2358792908692145E-2</v>
      </c>
      <c r="H1447">
        <v>-0.11273797308972983</v>
      </c>
    </row>
    <row r="1448" spans="2:8">
      <c r="B1448">
        <v>3</v>
      </c>
      <c r="C1448">
        <v>43.65899259063346</v>
      </c>
      <c r="D1448">
        <v>2</v>
      </c>
      <c r="E1448">
        <v>0</v>
      </c>
      <c r="F1448">
        <v>-0.12785272358949787</v>
      </c>
      <c r="G1448">
        <v>-0.37781783720949164</v>
      </c>
      <c r="H1448">
        <v>-0.56341007409366539</v>
      </c>
    </row>
    <row r="1449" spans="2:8">
      <c r="B1449">
        <v>1</v>
      </c>
      <c r="C1449">
        <v>102</v>
      </c>
      <c r="D1449">
        <v>1</v>
      </c>
      <c r="E1449">
        <v>0</v>
      </c>
      <c r="F1449">
        <v>0.13968227639802558</v>
      </c>
      <c r="G1449">
        <v>-0.38081302031589587</v>
      </c>
      <c r="H1449">
        <v>-0.6410352782024471</v>
      </c>
    </row>
    <row r="1450" spans="2:8">
      <c r="B1450">
        <v>1</v>
      </c>
      <c r="C1450">
        <v>102</v>
      </c>
      <c r="D1450">
        <v>1</v>
      </c>
      <c r="E1450">
        <v>0</v>
      </c>
      <c r="F1450">
        <v>0.17371854439645704</v>
      </c>
      <c r="G1450">
        <v>-2.5124513625140615E-3</v>
      </c>
      <c r="H1450">
        <v>0.16098064225859313</v>
      </c>
    </row>
    <row r="1451" spans="2:8">
      <c r="B1451">
        <v>3</v>
      </c>
      <c r="C1451">
        <v>106</v>
      </c>
      <c r="D1451">
        <v>3</v>
      </c>
      <c r="E1451">
        <v>0</v>
      </c>
      <c r="F1451">
        <v>-3.354939300285105E-2</v>
      </c>
      <c r="G1451">
        <v>0.21455523995832701</v>
      </c>
      <c r="H1451">
        <v>0.13422972245523362</v>
      </c>
    </row>
    <row r="1452" spans="2:8">
      <c r="B1452">
        <v>1</v>
      </c>
      <c r="C1452">
        <v>102</v>
      </c>
      <c r="D1452">
        <v>1</v>
      </c>
      <c r="E1452">
        <v>0</v>
      </c>
      <c r="F1452">
        <v>0.18924777487134795</v>
      </c>
    </row>
    <row r="1453" spans="2:8">
      <c r="B1453">
        <v>3</v>
      </c>
      <c r="C1453">
        <v>92.23681599999999</v>
      </c>
      <c r="D1453">
        <v>2</v>
      </c>
      <c r="E1453">
        <v>0</v>
      </c>
      <c r="F1453">
        <v>-0.3347285218804345</v>
      </c>
      <c r="G1453">
        <v>-0.40297835259691078</v>
      </c>
      <c r="H1453">
        <v>-0.22781180185830738</v>
      </c>
    </row>
    <row r="1454" spans="2:8">
      <c r="B1454">
        <v>3</v>
      </c>
      <c r="C1454">
        <v>92.23681599999999</v>
      </c>
      <c r="D1454">
        <v>3</v>
      </c>
      <c r="E1454">
        <v>0</v>
      </c>
      <c r="F1454">
        <v>-0.19015046079031139</v>
      </c>
      <c r="G1454">
        <v>0.10300099678205153</v>
      </c>
      <c r="H1454">
        <v>-0.17561831061443017</v>
      </c>
    </row>
    <row r="1455" spans="2:8">
      <c r="B1455">
        <v>1</v>
      </c>
      <c r="C1455">
        <v>102</v>
      </c>
      <c r="D1455">
        <v>1</v>
      </c>
      <c r="E1455">
        <v>0</v>
      </c>
      <c r="F1455">
        <v>0.33425442664932387</v>
      </c>
    </row>
    <row r="1456" spans="2:8">
      <c r="B1456">
        <v>3</v>
      </c>
      <c r="C1456">
        <v>92.23681599999999</v>
      </c>
      <c r="D1456">
        <v>3</v>
      </c>
      <c r="E1456">
        <v>0</v>
      </c>
      <c r="F1456">
        <v>-1.1732446832056237E-2</v>
      </c>
      <c r="G1456">
        <v>-1.1844072048231903E-4</v>
      </c>
      <c r="H1456">
        <v>-5.8889466193401151E-2</v>
      </c>
    </row>
    <row r="1457" spans="2:8">
      <c r="B1457">
        <v>1</v>
      </c>
      <c r="C1457">
        <v>102</v>
      </c>
      <c r="D1457">
        <v>1</v>
      </c>
      <c r="E1457">
        <v>0</v>
      </c>
      <c r="F1457">
        <v>6.7918572395001445E-2</v>
      </c>
      <c r="G1457">
        <v>-8.9528088043541121E-2</v>
      </c>
      <c r="H1457">
        <v>-9.3668608455295385E-2</v>
      </c>
    </row>
    <row r="1458" spans="2:8">
      <c r="B1458">
        <v>1</v>
      </c>
      <c r="C1458">
        <v>102</v>
      </c>
      <c r="D1458">
        <v>1</v>
      </c>
      <c r="E1458">
        <v>0</v>
      </c>
      <c r="F1458">
        <v>7.3689257662018365E-2</v>
      </c>
    </row>
    <row r="1459" spans="2:8">
      <c r="B1459">
        <v>1</v>
      </c>
      <c r="C1459">
        <v>102</v>
      </c>
      <c r="D1459">
        <v>1</v>
      </c>
      <c r="E1459">
        <v>0</v>
      </c>
      <c r="F1459">
        <v>5.6821146440735049E-2</v>
      </c>
    </row>
    <row r="1460" spans="2:8">
      <c r="B1460">
        <v>1</v>
      </c>
      <c r="C1460">
        <v>102</v>
      </c>
      <c r="D1460">
        <v>1</v>
      </c>
      <c r="E1460">
        <v>0</v>
      </c>
      <c r="F1460">
        <v>0.11265280464775364</v>
      </c>
      <c r="G1460">
        <v>-0.53572799213478739</v>
      </c>
      <c r="H1460">
        <v>-0.56892025238520705</v>
      </c>
    </row>
    <row r="1461" spans="2:8">
      <c r="B1461">
        <v>3</v>
      </c>
      <c r="C1461">
        <v>92.23681599999999</v>
      </c>
      <c r="D1461">
        <v>3</v>
      </c>
      <c r="E1461">
        <v>0</v>
      </c>
      <c r="F1461">
        <v>-0.13876108553871033</v>
      </c>
      <c r="G1461">
        <v>-9.932536851254474E-2</v>
      </c>
      <c r="H1461">
        <v>-0.29900117823341349</v>
      </c>
    </row>
    <row r="1462" spans="2:8">
      <c r="B1462">
        <v>3</v>
      </c>
      <c r="C1462">
        <v>92.23681599999999</v>
      </c>
      <c r="D1462">
        <v>3</v>
      </c>
      <c r="E1462">
        <v>0</v>
      </c>
      <c r="F1462">
        <v>-8.2511417268593165E-2</v>
      </c>
      <c r="G1462">
        <v>-0.26114365277686841</v>
      </c>
      <c r="H1462">
        <v>-0.39321609450433198</v>
      </c>
    </row>
    <row r="1463" spans="2:8">
      <c r="B1463">
        <v>3</v>
      </c>
      <c r="C1463">
        <v>106</v>
      </c>
      <c r="D1463">
        <v>3</v>
      </c>
      <c r="E1463">
        <v>0</v>
      </c>
      <c r="F1463">
        <v>-2.6533467650244332E-2</v>
      </c>
      <c r="G1463">
        <v>0.27824060446183196</v>
      </c>
      <c r="H1463">
        <v>0.20494033934251132</v>
      </c>
    </row>
    <row r="1464" spans="2:8">
      <c r="B1464">
        <v>3</v>
      </c>
      <c r="C1464">
        <v>106</v>
      </c>
      <c r="D1464">
        <v>3</v>
      </c>
      <c r="E1464">
        <v>0</v>
      </c>
      <c r="F1464">
        <v>-0.21964383902577209</v>
      </c>
      <c r="G1464">
        <v>-2.6357702631543054E-2</v>
      </c>
      <c r="H1464">
        <v>3.7387136815566185E-2</v>
      </c>
    </row>
    <row r="1465" spans="2:8">
      <c r="B1465">
        <v>3</v>
      </c>
      <c r="C1465">
        <v>92.23681599999999</v>
      </c>
      <c r="D1465">
        <v>3</v>
      </c>
      <c r="E1465">
        <v>0</v>
      </c>
      <c r="F1465">
        <v>-9.4023927181309669E-2</v>
      </c>
      <c r="G1465">
        <v>-1.5762784860123039E-5</v>
      </c>
      <c r="H1465">
        <v>-0.14505888883976176</v>
      </c>
    </row>
    <row r="1466" spans="2:8">
      <c r="B1466">
        <v>3</v>
      </c>
      <c r="C1466">
        <v>54.417952081905241</v>
      </c>
      <c r="D1466">
        <v>2</v>
      </c>
      <c r="E1466">
        <v>0</v>
      </c>
      <c r="F1466">
        <v>-0.10016224468410495</v>
      </c>
      <c r="G1466">
        <v>-0.30370923120564269</v>
      </c>
      <c r="H1466">
        <v>-0.45582047918094759</v>
      </c>
    </row>
    <row r="1467" spans="2:8">
      <c r="B1467">
        <v>1</v>
      </c>
      <c r="C1467">
        <v>102</v>
      </c>
      <c r="D1467">
        <v>1</v>
      </c>
      <c r="E1467">
        <v>0</v>
      </c>
      <c r="F1467">
        <v>2.8058577648046659E-2</v>
      </c>
      <c r="G1467">
        <v>0.28494980446853857</v>
      </c>
      <c r="H1467">
        <v>0.41996118167657465</v>
      </c>
    </row>
    <row r="1468" spans="2:8">
      <c r="B1468">
        <v>1</v>
      </c>
      <c r="C1468">
        <v>102</v>
      </c>
      <c r="D1468">
        <v>1</v>
      </c>
      <c r="E1468">
        <v>0</v>
      </c>
      <c r="F1468">
        <v>6.2300692156254507E-2</v>
      </c>
    </row>
    <row r="1469" spans="2:8">
      <c r="B1469">
        <v>1</v>
      </c>
      <c r="C1469">
        <v>102</v>
      </c>
      <c r="D1469">
        <v>1</v>
      </c>
      <c r="E1469">
        <v>0</v>
      </c>
      <c r="F1469">
        <v>9.2095891048001935E-2</v>
      </c>
    </row>
    <row r="1470" spans="2:8">
      <c r="B1470">
        <v>1</v>
      </c>
      <c r="C1470">
        <v>102</v>
      </c>
      <c r="D1470">
        <v>1</v>
      </c>
      <c r="E1470">
        <v>0</v>
      </c>
      <c r="F1470">
        <v>1.2003928840827424E-2</v>
      </c>
      <c r="G1470">
        <v>-0.30452285855054934</v>
      </c>
      <c r="H1470">
        <v>-0.59914003977446895</v>
      </c>
    </row>
    <row r="1471" spans="2:8">
      <c r="B1471">
        <v>3</v>
      </c>
      <c r="C1471">
        <v>92.23681599999999</v>
      </c>
      <c r="D1471">
        <v>3</v>
      </c>
      <c r="E1471">
        <v>0</v>
      </c>
      <c r="F1471">
        <v>-0.22721346622799271</v>
      </c>
      <c r="G1471">
        <v>-0.25575343406514828</v>
      </c>
      <c r="H1471">
        <v>-0.19752275076268486</v>
      </c>
    </row>
    <row r="1472" spans="2:8">
      <c r="B1472">
        <v>3</v>
      </c>
      <c r="C1472">
        <v>92.23681599999999</v>
      </c>
      <c r="D1472">
        <v>3</v>
      </c>
      <c r="E1472">
        <v>0</v>
      </c>
      <c r="F1472">
        <v>-8.0862225049653694E-2</v>
      </c>
      <c r="G1472">
        <v>-0.13948206437043661</v>
      </c>
      <c r="H1472">
        <v>-0.2697248991028437</v>
      </c>
    </row>
    <row r="1473" spans="2:8">
      <c r="B1473">
        <v>3</v>
      </c>
      <c r="C1473">
        <v>106</v>
      </c>
      <c r="D1473">
        <v>3</v>
      </c>
      <c r="E1473">
        <v>0</v>
      </c>
      <c r="F1473">
        <v>-0.14253497148210456</v>
      </c>
      <c r="G1473">
        <v>-0.1069032787051698</v>
      </c>
      <c r="H1473">
        <v>5.0547699989974396E-2</v>
      </c>
    </row>
    <row r="1474" spans="2:8">
      <c r="B1474">
        <v>1</v>
      </c>
      <c r="C1474">
        <v>102</v>
      </c>
      <c r="D1474">
        <v>1</v>
      </c>
      <c r="E1474">
        <v>0</v>
      </c>
      <c r="F1474">
        <v>0.28111269552117046</v>
      </c>
      <c r="G1474">
        <v>-0.64190241615830435</v>
      </c>
      <c r="H1474">
        <v>-0.76106025162803093</v>
      </c>
    </row>
    <row r="1475" spans="2:8">
      <c r="B1475">
        <v>1</v>
      </c>
      <c r="C1475">
        <v>102</v>
      </c>
      <c r="D1475">
        <v>1</v>
      </c>
      <c r="E1475">
        <v>0</v>
      </c>
      <c r="F1475">
        <v>1.706401340731126E-3</v>
      </c>
      <c r="G1475">
        <v>-0.25437118581717627</v>
      </c>
      <c r="H1475">
        <v>-0.32621196946832415</v>
      </c>
    </row>
    <row r="1476" spans="2:8">
      <c r="B1476">
        <v>1</v>
      </c>
      <c r="C1476">
        <v>102</v>
      </c>
      <c r="D1476">
        <v>1</v>
      </c>
      <c r="E1476">
        <v>0</v>
      </c>
      <c r="F1476">
        <v>2.1418119852579177E-2</v>
      </c>
      <c r="G1476">
        <v>-0.18035684817560943</v>
      </c>
      <c r="H1476">
        <v>-0.28293533818195005</v>
      </c>
    </row>
    <row r="1477" spans="2:8">
      <c r="B1477">
        <v>3</v>
      </c>
      <c r="C1477">
        <v>92.23681599999999</v>
      </c>
      <c r="D1477">
        <v>3</v>
      </c>
      <c r="E1477">
        <v>0</v>
      </c>
      <c r="F1477">
        <v>-0.2846045764672776</v>
      </c>
      <c r="G1477">
        <v>-0.33893923359506456</v>
      </c>
      <c r="H1477">
        <v>-0.3114600523632759</v>
      </c>
    </row>
    <row r="1478" spans="2:8">
      <c r="B1478">
        <v>3</v>
      </c>
      <c r="C1478">
        <v>92.23681599999999</v>
      </c>
      <c r="D1478">
        <v>3</v>
      </c>
      <c r="E1478">
        <v>0</v>
      </c>
      <c r="F1478">
        <v>-2.8112709980175781E-3</v>
      </c>
      <c r="G1478">
        <v>1.8206879582532941E-2</v>
      </c>
      <c r="H1478">
        <v>-3.1994867372234573E-2</v>
      </c>
    </row>
    <row r="1479" spans="2:8">
      <c r="B1479">
        <v>1</v>
      </c>
      <c r="C1479">
        <v>102</v>
      </c>
      <c r="D1479">
        <v>1</v>
      </c>
      <c r="E1479">
        <v>0</v>
      </c>
      <c r="F1479">
        <v>3.6050657662917852E-2</v>
      </c>
    </row>
    <row r="1480" spans="2:8">
      <c r="B1480">
        <v>1</v>
      </c>
      <c r="C1480">
        <v>102</v>
      </c>
      <c r="D1480">
        <v>1</v>
      </c>
      <c r="E1480">
        <v>0</v>
      </c>
      <c r="F1480">
        <v>0.26798632037639825</v>
      </c>
      <c r="G1480">
        <v>-0.5769078753344179</v>
      </c>
      <c r="H1480">
        <v>-0.68683243623709589</v>
      </c>
    </row>
    <row r="1481" spans="2:8">
      <c r="B1481">
        <v>1</v>
      </c>
      <c r="C1481">
        <v>102</v>
      </c>
      <c r="D1481">
        <v>1</v>
      </c>
      <c r="E1481">
        <v>0</v>
      </c>
      <c r="F1481">
        <v>0.16261304527865747</v>
      </c>
      <c r="G1481">
        <v>-0.33705591884823966</v>
      </c>
      <c r="H1481">
        <v>-0.43515625569209837</v>
      </c>
    </row>
    <row r="1482" spans="2:8">
      <c r="B1482">
        <v>3</v>
      </c>
      <c r="C1482">
        <v>92.23681599999999</v>
      </c>
      <c r="D1482">
        <v>3</v>
      </c>
      <c r="E1482">
        <v>0</v>
      </c>
      <c r="F1482">
        <v>-2.0527955097301202E-2</v>
      </c>
      <c r="G1482">
        <v>-1.8100853198686821E-2</v>
      </c>
      <c r="H1482">
        <v>-8.5458619712098685E-2</v>
      </c>
    </row>
    <row r="1483" spans="2:8">
      <c r="B1483">
        <v>1</v>
      </c>
      <c r="C1483">
        <v>102</v>
      </c>
      <c r="D1483">
        <v>1</v>
      </c>
      <c r="E1483">
        <v>0</v>
      </c>
      <c r="F1483">
        <v>0.10551039871385189</v>
      </c>
    </row>
    <row r="1484" spans="2:8">
      <c r="B1484">
        <v>3</v>
      </c>
      <c r="C1484">
        <v>59.414938684828989</v>
      </c>
      <c r="D1484">
        <v>2</v>
      </c>
      <c r="E1484">
        <v>0</v>
      </c>
      <c r="F1484">
        <v>-0.12424845627626688</v>
      </c>
      <c r="G1484">
        <v>-0.22478648608817015</v>
      </c>
      <c r="H1484">
        <v>-0.40585061315171012</v>
      </c>
    </row>
    <row r="1485" spans="2:8">
      <c r="B1485">
        <v>3</v>
      </c>
      <c r="C1485">
        <v>92.23681599999999</v>
      </c>
      <c r="D1485">
        <v>3</v>
      </c>
      <c r="E1485">
        <v>0</v>
      </c>
      <c r="F1485">
        <v>-0.12310183548551072</v>
      </c>
      <c r="G1485">
        <v>-6.673463406582783E-2</v>
      </c>
      <c r="H1485">
        <v>-0.24637017944006229</v>
      </c>
    </row>
    <row r="1486" spans="2:8">
      <c r="B1486">
        <v>1</v>
      </c>
      <c r="C1486">
        <v>102</v>
      </c>
      <c r="D1486">
        <v>1</v>
      </c>
      <c r="E1486">
        <v>0</v>
      </c>
      <c r="F1486">
        <v>0.11544531410668667</v>
      </c>
      <c r="G1486">
        <v>-0.3310224133523062</v>
      </c>
      <c r="H1486">
        <v>-0.37282219216982898</v>
      </c>
    </row>
    <row r="1487" spans="2:8">
      <c r="B1487">
        <v>3</v>
      </c>
      <c r="C1487">
        <v>92.23681599999999</v>
      </c>
      <c r="D1487">
        <v>2</v>
      </c>
      <c r="E1487">
        <v>0</v>
      </c>
      <c r="F1487">
        <v>-0.38961379541461399</v>
      </c>
      <c r="G1487">
        <v>-0.46649868404553668</v>
      </c>
      <c r="H1487">
        <v>-0.31283236928664621</v>
      </c>
    </row>
    <row r="1488" spans="2:8">
      <c r="B1488">
        <v>3</v>
      </c>
      <c r="C1488">
        <v>30.280889611792389</v>
      </c>
      <c r="D1488">
        <v>1</v>
      </c>
      <c r="E1488">
        <v>0</v>
      </c>
      <c r="F1488">
        <v>-0.15601033033487025</v>
      </c>
      <c r="G1488">
        <v>-0.47382614630404085</v>
      </c>
      <c r="H1488">
        <v>-0.69719110388207606</v>
      </c>
    </row>
    <row r="1489" spans="2:8">
      <c r="B1489">
        <v>1</v>
      </c>
      <c r="C1489">
        <v>102</v>
      </c>
      <c r="D1489">
        <v>1</v>
      </c>
      <c r="E1489">
        <v>0</v>
      </c>
      <c r="F1489">
        <v>8.1926807318661254E-2</v>
      </c>
      <c r="G1489">
        <v>-0.50696999085341587</v>
      </c>
      <c r="H1489">
        <v>-0.50032249555679664</v>
      </c>
    </row>
    <row r="1490" spans="2:8">
      <c r="B1490">
        <v>3</v>
      </c>
      <c r="C1490">
        <v>33.088196832619886</v>
      </c>
      <c r="D1490">
        <v>2</v>
      </c>
      <c r="E1490">
        <v>0</v>
      </c>
      <c r="F1490">
        <v>-0.2004837521269843</v>
      </c>
      <c r="G1490">
        <v>-0.36985762592035981</v>
      </c>
      <c r="H1490">
        <v>-0.66911803167380113</v>
      </c>
    </row>
    <row r="1491" spans="2:8">
      <c r="B1491">
        <v>1</v>
      </c>
      <c r="C1491">
        <v>102</v>
      </c>
      <c r="D1491">
        <v>1</v>
      </c>
      <c r="E1491">
        <v>0</v>
      </c>
      <c r="F1491">
        <v>7.0085169486824389E-2</v>
      </c>
      <c r="G1491">
        <v>0.109971801863987</v>
      </c>
      <c r="H1491">
        <v>9.6930658960048877E-2</v>
      </c>
    </row>
    <row r="1492" spans="2:8">
      <c r="B1492">
        <v>3</v>
      </c>
      <c r="C1492">
        <v>46.112514890627423</v>
      </c>
      <c r="D1492">
        <v>2</v>
      </c>
      <c r="E1492">
        <v>0</v>
      </c>
      <c r="F1492">
        <v>-0.16472099703485224</v>
      </c>
      <c r="G1492">
        <v>-0.30269763121072973</v>
      </c>
      <c r="H1492">
        <v>-0.53887485109372579</v>
      </c>
    </row>
    <row r="1493" spans="2:8">
      <c r="B1493">
        <v>3</v>
      </c>
      <c r="C1493">
        <v>48.381344336363377</v>
      </c>
      <c r="D1493">
        <v>1</v>
      </c>
      <c r="E1493">
        <v>0</v>
      </c>
      <c r="F1493">
        <v>-1.7807307952121851E-2</v>
      </c>
      <c r="G1493">
        <v>-0.45149958190509626</v>
      </c>
      <c r="H1493">
        <v>-0.51618655663636626</v>
      </c>
    </row>
    <row r="1494" spans="2:8">
      <c r="B1494">
        <v>3</v>
      </c>
      <c r="C1494">
        <v>92.23681599999999</v>
      </c>
      <c r="D1494">
        <v>3</v>
      </c>
      <c r="E1494">
        <v>0</v>
      </c>
      <c r="F1494">
        <v>-0.2729810289017896</v>
      </c>
      <c r="G1494">
        <v>-0.1425424036894446</v>
      </c>
      <c r="H1494">
        <v>-0.11016816328777645</v>
      </c>
    </row>
    <row r="1495" spans="2:8">
      <c r="B1495">
        <v>3</v>
      </c>
      <c r="C1495">
        <v>51.032248910007432</v>
      </c>
      <c r="D1495">
        <v>1</v>
      </c>
      <c r="E1495">
        <v>0</v>
      </c>
      <c r="F1495">
        <v>-1.6144012107798762E-2</v>
      </c>
      <c r="G1495">
        <v>-0.4266168456244212</v>
      </c>
      <c r="H1495">
        <v>-0.48967751089992567</v>
      </c>
    </row>
    <row r="1496" spans="2:8">
      <c r="B1496">
        <v>1</v>
      </c>
      <c r="C1496">
        <v>102</v>
      </c>
      <c r="D1496">
        <v>1</v>
      </c>
      <c r="E1496">
        <v>0</v>
      </c>
      <c r="F1496">
        <v>8.5757475657979032E-2</v>
      </c>
    </row>
    <row r="1497" spans="2:8">
      <c r="B1497">
        <v>1</v>
      </c>
      <c r="C1497">
        <v>102</v>
      </c>
      <c r="D1497">
        <v>1</v>
      </c>
      <c r="E1497">
        <v>0</v>
      </c>
      <c r="F1497">
        <v>2.6221135172555563E-2</v>
      </c>
      <c r="G1497">
        <v>-0.165440520846767</v>
      </c>
      <c r="H1497">
        <v>-1.2173487245824101E-2</v>
      </c>
    </row>
    <row r="1498" spans="2:8">
      <c r="B1498">
        <v>3</v>
      </c>
      <c r="C1498">
        <v>92.23681599999999</v>
      </c>
      <c r="D1498">
        <v>3</v>
      </c>
      <c r="E1498">
        <v>0</v>
      </c>
      <c r="F1498">
        <v>-0.32994287685452123</v>
      </c>
      <c r="G1498">
        <v>-0.22928543242177232</v>
      </c>
      <c r="H1498">
        <v>-0.21607314208028719</v>
      </c>
    </row>
    <row r="1499" spans="2:8">
      <c r="B1499">
        <v>1</v>
      </c>
      <c r="C1499">
        <v>102</v>
      </c>
      <c r="D1499">
        <v>1</v>
      </c>
      <c r="E1499">
        <v>0</v>
      </c>
      <c r="F1499">
        <v>3.9860354889602018E-2</v>
      </c>
    </row>
    <row r="1500" spans="2:8">
      <c r="B1500">
        <v>3</v>
      </c>
      <c r="C1500">
        <v>27.273110235968574</v>
      </c>
      <c r="D1500">
        <v>2</v>
      </c>
      <c r="E1500">
        <v>0</v>
      </c>
      <c r="F1500">
        <v>-0.2141502023196217</v>
      </c>
      <c r="G1500">
        <v>-0.39500600197015528</v>
      </c>
      <c r="H1500">
        <v>-0.72726889764031422</v>
      </c>
    </row>
    <row r="1501" spans="2:8">
      <c r="B1501">
        <v>1</v>
      </c>
      <c r="C1501">
        <v>102</v>
      </c>
      <c r="D1501">
        <v>1</v>
      </c>
      <c r="E1501">
        <v>0</v>
      </c>
      <c r="F1501">
        <v>0.10817758621542868</v>
      </c>
    </row>
    <row r="1502" spans="2:8">
      <c r="B1502">
        <v>3</v>
      </c>
      <c r="C1502">
        <v>92.23681599999999</v>
      </c>
      <c r="D1502">
        <v>2</v>
      </c>
      <c r="E1502">
        <v>0</v>
      </c>
      <c r="F1502">
        <v>-0.31640748052751233</v>
      </c>
      <c r="G1502">
        <v>-0.56988920799630016</v>
      </c>
      <c r="H1502">
        <v>-0.38223120531925991</v>
      </c>
    </row>
    <row r="1503" spans="2:8">
      <c r="B1503">
        <v>3</v>
      </c>
      <c r="C1503">
        <v>45.128461394943095</v>
      </c>
      <c r="D1503">
        <v>2</v>
      </c>
      <c r="E1503">
        <v>0</v>
      </c>
      <c r="F1503">
        <v>-0.20978213224967474</v>
      </c>
      <c r="G1503">
        <v>-0.22795748337538949</v>
      </c>
      <c r="H1503">
        <v>-0.54871538605056902</v>
      </c>
    </row>
    <row r="1504" spans="2:8">
      <c r="B1504">
        <v>3</v>
      </c>
      <c r="C1504">
        <v>106</v>
      </c>
      <c r="D1504">
        <v>3</v>
      </c>
      <c r="E1504">
        <v>0</v>
      </c>
      <c r="F1504">
        <v>-0.26886879596646834</v>
      </c>
      <c r="G1504">
        <v>-0.13527107125995302</v>
      </c>
      <c r="H1504">
        <v>0.11819979587652207</v>
      </c>
    </row>
    <row r="1505" spans="2:8">
      <c r="B1505">
        <v>3</v>
      </c>
      <c r="C1505">
        <v>92.23681599999999</v>
      </c>
      <c r="D1505">
        <v>3</v>
      </c>
      <c r="E1505">
        <v>0</v>
      </c>
      <c r="F1505">
        <v>-0.13083785701845321</v>
      </c>
      <c r="G1505">
        <v>-8.3077093393628981E-2</v>
      </c>
      <c r="H1505">
        <v>-0.27246459253178223</v>
      </c>
    </row>
    <row r="1506" spans="2:8">
      <c r="B1506">
        <v>1</v>
      </c>
      <c r="C1506">
        <v>102</v>
      </c>
      <c r="D1506">
        <v>1</v>
      </c>
      <c r="E1506">
        <v>0</v>
      </c>
      <c r="F1506">
        <v>4.5349584724716403E-3</v>
      </c>
    </row>
    <row r="1507" spans="2:8">
      <c r="B1507">
        <v>1</v>
      </c>
      <c r="C1507">
        <v>102</v>
      </c>
      <c r="D1507">
        <v>1</v>
      </c>
      <c r="E1507">
        <v>0</v>
      </c>
      <c r="F1507">
        <v>0.17658306143470975</v>
      </c>
      <c r="G1507">
        <v>-9.4328461330895827E-2</v>
      </c>
      <c r="H1507">
        <v>-0.15593822846877131</v>
      </c>
    </row>
    <row r="1508" spans="2:8">
      <c r="B1508">
        <v>3</v>
      </c>
      <c r="C1508">
        <v>92.23681599999999</v>
      </c>
      <c r="D1508">
        <v>2</v>
      </c>
      <c r="E1508">
        <v>0</v>
      </c>
      <c r="F1508">
        <v>-0.28761621182174524</v>
      </c>
      <c r="G1508">
        <v>-0.52350215775968578</v>
      </c>
      <c r="H1508">
        <v>-0.30520018447818686</v>
      </c>
    </row>
    <row r="1509" spans="2:8">
      <c r="B1509">
        <v>3</v>
      </c>
      <c r="C1509">
        <v>92.23681599999999</v>
      </c>
      <c r="D1509">
        <v>3</v>
      </c>
      <c r="E1509">
        <v>0</v>
      </c>
      <c r="F1509">
        <v>-0.25864470037553855</v>
      </c>
      <c r="G1509">
        <v>-0.3027851860109696</v>
      </c>
      <c r="H1509">
        <v>-1.6864806610704684E-2</v>
      </c>
    </row>
    <row r="1510" spans="2:8">
      <c r="B1510">
        <v>3</v>
      </c>
      <c r="C1510">
        <v>35.672566047297877</v>
      </c>
      <c r="D1510">
        <v>1</v>
      </c>
      <c r="E1510">
        <v>0</v>
      </c>
      <c r="F1510">
        <v>-0.14566823998688652</v>
      </c>
      <c r="G1510">
        <v>-0.43434589915577393</v>
      </c>
      <c r="H1510">
        <v>-0.64327433952702129</v>
      </c>
    </row>
    <row r="1511" spans="2:8">
      <c r="B1511">
        <v>1</v>
      </c>
      <c r="C1511">
        <v>102</v>
      </c>
      <c r="D1511">
        <v>1</v>
      </c>
      <c r="E1511">
        <v>0</v>
      </c>
      <c r="F1511">
        <v>4.8198951744104365E-2</v>
      </c>
    </row>
    <row r="1512" spans="2:8">
      <c r="B1512">
        <v>1</v>
      </c>
      <c r="C1512">
        <v>102</v>
      </c>
      <c r="D1512">
        <v>1</v>
      </c>
      <c r="E1512">
        <v>0</v>
      </c>
      <c r="F1512">
        <v>2.8087267787544191E-3</v>
      </c>
    </row>
    <row r="1513" spans="2:8">
      <c r="B1513">
        <v>3</v>
      </c>
      <c r="C1513">
        <v>92.23681599999999</v>
      </c>
      <c r="D1513">
        <v>3</v>
      </c>
      <c r="E1513">
        <v>0</v>
      </c>
      <c r="F1513">
        <v>-0.18634003185587442</v>
      </c>
      <c r="G1513">
        <v>-0.18843725423412305</v>
      </c>
      <c r="H1513">
        <v>-9.465896308202823E-2</v>
      </c>
    </row>
    <row r="1514" spans="2:8">
      <c r="B1514">
        <v>3</v>
      </c>
      <c r="C1514">
        <v>23.387832730818829</v>
      </c>
      <c r="D1514">
        <v>1</v>
      </c>
      <c r="E1514">
        <v>0</v>
      </c>
      <c r="F1514">
        <v>-0.1668034432151555</v>
      </c>
      <c r="G1514">
        <v>-0.5267775294246807</v>
      </c>
      <c r="H1514">
        <v>-0.76612167269181175</v>
      </c>
    </row>
    <row r="1515" spans="2:8">
      <c r="B1515">
        <v>1</v>
      </c>
      <c r="C1515">
        <v>102</v>
      </c>
      <c r="D1515">
        <v>1</v>
      </c>
      <c r="E1515">
        <v>0</v>
      </c>
      <c r="F1515">
        <v>0.12307764709139536</v>
      </c>
    </row>
    <row r="1516" spans="2:8">
      <c r="B1516">
        <v>1</v>
      </c>
      <c r="C1516">
        <v>102</v>
      </c>
      <c r="D1516">
        <v>1</v>
      </c>
      <c r="E1516">
        <v>0</v>
      </c>
      <c r="F1516">
        <v>0.29696615885458172</v>
      </c>
      <c r="G1516">
        <v>-0.60094669654015886</v>
      </c>
      <c r="H1516">
        <v>-0.72956477000774356</v>
      </c>
    </row>
    <row r="1517" spans="2:8">
      <c r="B1517">
        <v>3</v>
      </c>
      <c r="C1517">
        <v>92.23681599999999</v>
      </c>
      <c r="D1517">
        <v>3</v>
      </c>
      <c r="E1517">
        <v>0</v>
      </c>
      <c r="F1517">
        <v>-0.11203704759653456</v>
      </c>
      <c r="G1517">
        <v>-4.2433892150046698E-2</v>
      </c>
      <c r="H1517">
        <v>-0.20855669708894781</v>
      </c>
    </row>
    <row r="1518" spans="2:8">
      <c r="B1518">
        <v>3</v>
      </c>
      <c r="C1518">
        <v>92.23681599999999</v>
      </c>
      <c r="D1518">
        <v>3</v>
      </c>
      <c r="E1518">
        <v>0</v>
      </c>
      <c r="F1518">
        <v>-4.8068295681991877E-2</v>
      </c>
      <c r="G1518">
        <v>-0.18418075240926182</v>
      </c>
      <c r="H1518">
        <v>-0.27933654521118573</v>
      </c>
    </row>
    <row r="1519" spans="2:8">
      <c r="B1519">
        <v>3</v>
      </c>
      <c r="C1519">
        <v>92.23681599999999</v>
      </c>
      <c r="D1519">
        <v>3</v>
      </c>
      <c r="E1519">
        <v>0</v>
      </c>
      <c r="F1519">
        <v>-0.13267082570058961</v>
      </c>
      <c r="G1519">
        <v>-8.6878317920994166E-2</v>
      </c>
      <c r="H1519">
        <v>-0.27861740149744835</v>
      </c>
    </row>
    <row r="1520" spans="2:8">
      <c r="B1520">
        <v>1</v>
      </c>
      <c r="C1520">
        <v>102</v>
      </c>
      <c r="D1520">
        <v>1</v>
      </c>
      <c r="E1520">
        <v>0</v>
      </c>
      <c r="F1520">
        <v>0.16938644793258398</v>
      </c>
      <c r="G1520">
        <v>0.1924201031557278</v>
      </c>
      <c r="H1520">
        <v>0.37954146102069375</v>
      </c>
    </row>
    <row r="1521" spans="2:8">
      <c r="B1521">
        <v>1</v>
      </c>
      <c r="C1521">
        <v>102</v>
      </c>
      <c r="D1521">
        <v>1</v>
      </c>
      <c r="E1521">
        <v>0</v>
      </c>
      <c r="F1521">
        <v>9.7052141288997584E-2</v>
      </c>
      <c r="G1521">
        <v>-0.32774431932526815</v>
      </c>
      <c r="H1521">
        <v>-0.31003173903573206</v>
      </c>
    </row>
    <row r="1522" spans="2:8">
      <c r="B1522">
        <v>1</v>
      </c>
      <c r="C1522">
        <v>102</v>
      </c>
      <c r="D1522">
        <v>1</v>
      </c>
      <c r="E1522">
        <v>0</v>
      </c>
      <c r="F1522">
        <v>0.10382481423364154</v>
      </c>
      <c r="G1522">
        <v>-0.40858958498107839</v>
      </c>
      <c r="H1522">
        <v>-0.59973287844256862</v>
      </c>
    </row>
    <row r="1523" spans="2:8">
      <c r="B1523">
        <v>1</v>
      </c>
      <c r="C1523">
        <v>102</v>
      </c>
      <c r="D1523">
        <v>1</v>
      </c>
      <c r="E1523">
        <v>0</v>
      </c>
      <c r="F1523">
        <v>8.4252472869798298E-2</v>
      </c>
      <c r="G1523">
        <v>0.26893255643106773</v>
      </c>
      <c r="H1523">
        <v>0.26649361704037317</v>
      </c>
    </row>
    <row r="1524" spans="2:8">
      <c r="B1524">
        <v>1</v>
      </c>
      <c r="C1524">
        <v>102</v>
      </c>
      <c r="D1524">
        <v>1</v>
      </c>
      <c r="E1524">
        <v>0</v>
      </c>
      <c r="F1524">
        <v>0.15245777376558445</v>
      </c>
      <c r="G1524">
        <v>-4.1453327228901993E-2</v>
      </c>
      <c r="H1524">
        <v>8.2274022576047462E-2</v>
      </c>
    </row>
    <row r="1525" spans="2:8">
      <c r="B1525">
        <v>3</v>
      </c>
      <c r="C1525">
        <v>59.359979357733067</v>
      </c>
      <c r="D1525">
        <v>2</v>
      </c>
      <c r="E1525">
        <v>0</v>
      </c>
      <c r="F1525">
        <v>-7.2895091420782359E-3</v>
      </c>
      <c r="G1525">
        <v>-0.35191446061580967</v>
      </c>
      <c r="H1525">
        <v>-0.40640020642266933</v>
      </c>
    </row>
    <row r="1526" spans="2:8">
      <c r="B1526">
        <v>1</v>
      </c>
      <c r="C1526">
        <v>102</v>
      </c>
      <c r="D1526">
        <v>1</v>
      </c>
      <c r="E1526">
        <v>0</v>
      </c>
      <c r="F1526">
        <v>5.1467152913133238E-2</v>
      </c>
      <c r="G1526">
        <v>1.2004913394948866E-2</v>
      </c>
      <c r="H1526">
        <v>8.4760995742037784E-2</v>
      </c>
    </row>
    <row r="1527" spans="2:8">
      <c r="B1527">
        <v>1</v>
      </c>
      <c r="C1527">
        <v>102</v>
      </c>
      <c r="D1527">
        <v>1</v>
      </c>
      <c r="E1527">
        <v>0</v>
      </c>
      <c r="F1527">
        <v>0.13638076347902259</v>
      </c>
      <c r="G1527">
        <v>-0.22825877014052887</v>
      </c>
      <c r="H1527">
        <v>-0.4700199282744551</v>
      </c>
    </row>
    <row r="1528" spans="2:8">
      <c r="B1528">
        <v>3</v>
      </c>
      <c r="C1528">
        <v>37.941188929614178</v>
      </c>
      <c r="D1528">
        <v>2</v>
      </c>
      <c r="E1528">
        <v>0</v>
      </c>
      <c r="F1528">
        <v>-0.18781867074358172</v>
      </c>
      <c r="G1528">
        <v>-0.34628236833715748</v>
      </c>
      <c r="H1528">
        <v>-0.62058811070385822</v>
      </c>
    </row>
    <row r="1529" spans="2:8">
      <c r="B1529">
        <v>1</v>
      </c>
      <c r="C1529">
        <v>102</v>
      </c>
      <c r="D1529">
        <v>1</v>
      </c>
      <c r="E1529">
        <v>0</v>
      </c>
      <c r="F1529">
        <v>3.7949081966444018E-2</v>
      </c>
    </row>
    <row r="1530" spans="2:8">
      <c r="B1530">
        <v>1</v>
      </c>
      <c r="C1530">
        <v>102</v>
      </c>
      <c r="D1530">
        <v>1</v>
      </c>
      <c r="E1530">
        <v>0</v>
      </c>
      <c r="F1530">
        <v>3.109635577528751E-2</v>
      </c>
      <c r="G1530">
        <v>-0.32842685369806085</v>
      </c>
      <c r="H1530">
        <v>-0.41163518471366922</v>
      </c>
    </row>
    <row r="1531" spans="2:8">
      <c r="B1531">
        <v>3</v>
      </c>
      <c r="C1531">
        <v>49.144817434150525</v>
      </c>
      <c r="D1531">
        <v>0</v>
      </c>
      <c r="E1531">
        <v>0</v>
      </c>
      <c r="F1531">
        <v>-0.42783152943564812</v>
      </c>
      <c r="G1531">
        <v>-0.5080037107462041</v>
      </c>
      <c r="H1531">
        <v>-0.50855182565849477</v>
      </c>
    </row>
    <row r="1532" spans="2:8">
      <c r="B1532">
        <v>1</v>
      </c>
      <c r="C1532">
        <v>102</v>
      </c>
      <c r="D1532">
        <v>1</v>
      </c>
      <c r="E1532">
        <v>0</v>
      </c>
      <c r="F1532">
        <v>9.0537701536336876E-2</v>
      </c>
    </row>
    <row r="1533" spans="2:8">
      <c r="B1533">
        <v>1</v>
      </c>
      <c r="C1533">
        <v>102</v>
      </c>
      <c r="D1533">
        <v>1</v>
      </c>
      <c r="E1533">
        <v>0</v>
      </c>
      <c r="F1533">
        <v>0.12607483083048776</v>
      </c>
    </row>
    <row r="1534" spans="2:8">
      <c r="B1534">
        <v>1</v>
      </c>
      <c r="C1534">
        <v>102</v>
      </c>
      <c r="D1534">
        <v>1</v>
      </c>
      <c r="E1534">
        <v>0</v>
      </c>
      <c r="F1534">
        <v>3.4841186722350384E-2</v>
      </c>
      <c r="G1534">
        <v>-0.38885299646985616</v>
      </c>
      <c r="H1534">
        <v>-0.48973115453519622</v>
      </c>
    </row>
    <row r="1535" spans="2:8">
      <c r="B1535">
        <v>3</v>
      </c>
      <c r="C1535">
        <v>51.222195693639797</v>
      </c>
      <c r="D1535">
        <v>2</v>
      </c>
      <c r="E1535">
        <v>0</v>
      </c>
      <c r="F1535">
        <v>-0.19404048938799415</v>
      </c>
      <c r="G1535">
        <v>-0.20170413312287819</v>
      </c>
      <c r="H1535">
        <v>-0.48777804306360201</v>
      </c>
    </row>
    <row r="1536" spans="2:8">
      <c r="B1536">
        <v>1</v>
      </c>
      <c r="C1536">
        <v>102</v>
      </c>
      <c r="D1536">
        <v>1</v>
      </c>
      <c r="E1536">
        <v>0</v>
      </c>
      <c r="F1536">
        <v>5.3480745129933796E-2</v>
      </c>
      <c r="G1536">
        <v>-8.1591361288112611E-3</v>
      </c>
      <c r="H1536">
        <v>5.3256884711814778E-2</v>
      </c>
    </row>
    <row r="1537" spans="2:8">
      <c r="B1537">
        <v>3</v>
      </c>
      <c r="C1537">
        <v>92.23681599999999</v>
      </c>
      <c r="D1537">
        <v>3</v>
      </c>
      <c r="E1537">
        <v>0</v>
      </c>
      <c r="F1537">
        <v>-0.11954450699719815</v>
      </c>
      <c r="G1537">
        <v>-5.9047419353827471E-2</v>
      </c>
      <c r="H1537">
        <v>-0.23428596180080224</v>
      </c>
    </row>
    <row r="1538" spans="2:8">
      <c r="B1538">
        <v>3</v>
      </c>
      <c r="C1538">
        <v>92.23681599999999</v>
      </c>
      <c r="D1538">
        <v>2</v>
      </c>
      <c r="E1538">
        <v>0</v>
      </c>
      <c r="F1538">
        <v>-0.13756257223248894</v>
      </c>
      <c r="G1538">
        <v>-0.40733024287149566</v>
      </c>
      <c r="H1538">
        <v>-0.23927399017069223</v>
      </c>
    </row>
    <row r="1539" spans="2:8">
      <c r="B1539">
        <v>1</v>
      </c>
      <c r="C1539">
        <v>102</v>
      </c>
      <c r="D1539">
        <v>1</v>
      </c>
      <c r="E1539">
        <v>0</v>
      </c>
      <c r="F1539">
        <v>0.20967567078920094</v>
      </c>
      <c r="G1539">
        <v>-0.29391997129655362</v>
      </c>
      <c r="H1539">
        <v>-0.2290448122212761</v>
      </c>
    </row>
    <row r="1540" spans="2:8">
      <c r="B1540">
        <v>1</v>
      </c>
      <c r="C1540">
        <v>102</v>
      </c>
      <c r="D1540">
        <v>1</v>
      </c>
      <c r="E1540">
        <v>0</v>
      </c>
      <c r="F1540">
        <v>4.4972318252765722E-2</v>
      </c>
      <c r="G1540">
        <v>-0.17996768940853397</v>
      </c>
      <c r="H1540">
        <v>-0.151506155294582</v>
      </c>
    </row>
    <row r="1541" spans="2:8">
      <c r="B1541">
        <v>3</v>
      </c>
      <c r="C1541">
        <v>29.25713463897668</v>
      </c>
      <c r="D1541">
        <v>2</v>
      </c>
      <c r="E1541">
        <v>0</v>
      </c>
      <c r="F1541">
        <v>-0.23720117508125005</v>
      </c>
      <c r="G1541">
        <v>-0.27111258804424426</v>
      </c>
      <c r="H1541">
        <v>-0.70742865361023322</v>
      </c>
    </row>
    <row r="1542" spans="2:8">
      <c r="B1542">
        <v>1</v>
      </c>
      <c r="C1542">
        <v>102</v>
      </c>
      <c r="D1542">
        <v>1</v>
      </c>
      <c r="E1542">
        <v>0</v>
      </c>
      <c r="F1542">
        <v>0.19446482458452369</v>
      </c>
    </row>
    <row r="1543" spans="2:8">
      <c r="B1543">
        <v>1</v>
      </c>
      <c r="C1543">
        <v>102</v>
      </c>
      <c r="D1543">
        <v>1</v>
      </c>
      <c r="E1543">
        <v>0</v>
      </c>
      <c r="F1543">
        <v>6.0959269848467383E-2</v>
      </c>
    </row>
    <row r="1544" spans="2:8">
      <c r="B1544">
        <v>3</v>
      </c>
      <c r="C1544">
        <v>53.228375277871642</v>
      </c>
      <c r="D1544">
        <v>1</v>
      </c>
      <c r="E1544">
        <v>0</v>
      </c>
      <c r="F1544">
        <v>-0.35773167918821885</v>
      </c>
      <c r="G1544">
        <v>-0.63164384758355607</v>
      </c>
      <c r="H1544">
        <v>-0.46771624722128358</v>
      </c>
    </row>
    <row r="1545" spans="2:8">
      <c r="B1545">
        <v>3</v>
      </c>
      <c r="C1545">
        <v>58.826105853389961</v>
      </c>
      <c r="D1545">
        <v>2</v>
      </c>
      <c r="E1545">
        <v>0</v>
      </c>
      <c r="F1545">
        <v>-0.17239796544266026</v>
      </c>
      <c r="G1545">
        <v>-0.16365916432993138</v>
      </c>
      <c r="H1545">
        <v>-0.41173894146610035</v>
      </c>
    </row>
    <row r="1546" spans="2:8">
      <c r="B1546">
        <v>1</v>
      </c>
      <c r="C1546">
        <v>102</v>
      </c>
      <c r="D1546">
        <v>1</v>
      </c>
      <c r="E1546">
        <v>0</v>
      </c>
      <c r="F1546">
        <v>0.14881986330922833</v>
      </c>
      <c r="G1546">
        <v>-2.3820412376250353E-2</v>
      </c>
      <c r="H1546">
        <v>0.11659434295145309</v>
      </c>
    </row>
    <row r="1547" spans="2:8">
      <c r="B1547">
        <v>1</v>
      </c>
      <c r="C1547">
        <v>102</v>
      </c>
      <c r="D1547">
        <v>1</v>
      </c>
      <c r="E1547">
        <v>0</v>
      </c>
      <c r="F1547">
        <v>0.14306779993658389</v>
      </c>
      <c r="G1547">
        <v>-0.31966600249334359</v>
      </c>
      <c r="H1547">
        <v>-0.60162183574830763</v>
      </c>
    </row>
    <row r="1548" spans="2:8">
      <c r="B1548">
        <v>1</v>
      </c>
      <c r="C1548">
        <v>102</v>
      </c>
      <c r="D1548">
        <v>1</v>
      </c>
      <c r="E1548">
        <v>0</v>
      </c>
      <c r="F1548">
        <v>6.2678784119032755E-3</v>
      </c>
    </row>
    <row r="1549" spans="2:8">
      <c r="B1549">
        <v>1</v>
      </c>
      <c r="C1549">
        <v>102</v>
      </c>
      <c r="D1549">
        <v>1</v>
      </c>
      <c r="E1549">
        <v>0</v>
      </c>
      <c r="F1549">
        <v>7.3815184977648685E-3</v>
      </c>
      <c r="G1549">
        <v>-3.5430066743962585E-3</v>
      </c>
      <c r="H1549">
        <v>-3.9414030982593558E-2</v>
      </c>
    </row>
    <row r="1550" spans="2:8">
      <c r="B1550">
        <v>3</v>
      </c>
      <c r="C1550">
        <v>106</v>
      </c>
      <c r="D1550">
        <v>3</v>
      </c>
      <c r="E1550">
        <v>0</v>
      </c>
      <c r="F1550">
        <v>-0.20552810829299092</v>
      </c>
      <c r="G1550">
        <v>2.0529983793518565E-2</v>
      </c>
      <c r="H1550">
        <v>9.5743842673938928E-2</v>
      </c>
    </row>
    <row r="1551" spans="2:8">
      <c r="B1551">
        <v>3</v>
      </c>
      <c r="C1551">
        <v>92.23681599999999</v>
      </c>
      <c r="D1551">
        <v>3</v>
      </c>
      <c r="E1551">
        <v>0</v>
      </c>
      <c r="F1551">
        <v>-0.12131893116468523</v>
      </c>
      <c r="G1551">
        <v>-6.2896041326172408E-2</v>
      </c>
      <c r="H1551">
        <v>-0.24032131052728958</v>
      </c>
    </row>
    <row r="1552" spans="2:8">
      <c r="B1552">
        <v>3</v>
      </c>
      <c r="C1552">
        <v>92.23681599999999</v>
      </c>
      <c r="D1552">
        <v>3</v>
      </c>
      <c r="E1552">
        <v>0</v>
      </c>
      <c r="F1552">
        <v>-2.218173673219553E-2</v>
      </c>
      <c r="G1552">
        <v>-0.13003491655760083</v>
      </c>
      <c r="H1552">
        <v>-0.19902263519768321</v>
      </c>
    </row>
    <row r="1553" spans="2:8">
      <c r="B1553">
        <v>3</v>
      </c>
      <c r="C1553">
        <v>92.23681599999999</v>
      </c>
      <c r="D1553">
        <v>3</v>
      </c>
      <c r="E1553">
        <v>0</v>
      </c>
      <c r="F1553">
        <v>-0.24365920687614659</v>
      </c>
      <c r="G1553">
        <v>-0.28083406671629146</v>
      </c>
      <c r="H1553">
        <v>-0.23325723499266385</v>
      </c>
    </row>
    <row r="1554" spans="2:8">
      <c r="B1554">
        <v>3</v>
      </c>
      <c r="C1554">
        <v>92.23681599999999</v>
      </c>
      <c r="D1554">
        <v>3</v>
      </c>
      <c r="E1554">
        <v>0</v>
      </c>
      <c r="F1554">
        <v>-5.501440225509216E-2</v>
      </c>
      <c r="G1554">
        <v>-8.7879038838677856E-2</v>
      </c>
      <c r="H1554">
        <v>-0.19027481715827274</v>
      </c>
    </row>
    <row r="1555" spans="2:8">
      <c r="B1555">
        <v>3</v>
      </c>
      <c r="C1555">
        <v>92.23681599999999</v>
      </c>
      <c r="D1555">
        <v>3</v>
      </c>
      <c r="E1555">
        <v>0</v>
      </c>
      <c r="F1555">
        <v>-0.26241621848131325</v>
      </c>
      <c r="G1555">
        <v>-0.30818095555441566</v>
      </c>
      <c r="H1555">
        <v>-0.27083068827831153</v>
      </c>
    </row>
    <row r="1556" spans="2:8">
      <c r="B1556">
        <v>3</v>
      </c>
      <c r="C1556">
        <v>92.23681599999999</v>
      </c>
      <c r="D1556">
        <v>3</v>
      </c>
      <c r="E1556">
        <v>0</v>
      </c>
      <c r="F1556">
        <v>-2.9227233075747306E-2</v>
      </c>
      <c r="G1556">
        <v>-3.5808668748789713E-2</v>
      </c>
      <c r="H1556">
        <v>-0.1117956325664498</v>
      </c>
    </row>
    <row r="1557" spans="2:8">
      <c r="B1557">
        <v>1</v>
      </c>
      <c r="C1557">
        <v>102</v>
      </c>
      <c r="D1557">
        <v>1</v>
      </c>
      <c r="E1557">
        <v>0</v>
      </c>
      <c r="F1557">
        <v>0.15484487749033801</v>
      </c>
      <c r="G1557">
        <v>-0.15756243142819648</v>
      </c>
      <c r="H1557">
        <v>-0.2380646566953992</v>
      </c>
    </row>
    <row r="1558" spans="2:8">
      <c r="B1558">
        <v>3</v>
      </c>
      <c r="C1558">
        <v>19.294217811078227</v>
      </c>
      <c r="D1558">
        <v>1</v>
      </c>
      <c r="E1558">
        <v>0</v>
      </c>
      <c r="F1558">
        <v>-0.22910943759959251</v>
      </c>
      <c r="G1558">
        <v>-0.42214862090066108</v>
      </c>
      <c r="H1558">
        <v>-0.80705782188921771</v>
      </c>
    </row>
    <row r="1559" spans="2:8">
      <c r="B1559">
        <v>1</v>
      </c>
      <c r="C1559">
        <v>102</v>
      </c>
      <c r="D1559">
        <v>1</v>
      </c>
      <c r="E1559">
        <v>0</v>
      </c>
      <c r="F1559">
        <v>0.15866668357991176</v>
      </c>
      <c r="G1559">
        <v>-0.18819178869864306</v>
      </c>
      <c r="H1559">
        <v>-0.27743776547843668</v>
      </c>
    </row>
    <row r="1560" spans="2:8">
      <c r="B1560">
        <v>1</v>
      </c>
      <c r="C1560">
        <v>102</v>
      </c>
      <c r="D1560">
        <v>1</v>
      </c>
      <c r="E1560">
        <v>0</v>
      </c>
      <c r="F1560">
        <v>0.11829000556569988</v>
      </c>
      <c r="G1560">
        <v>-0.35371027187225201</v>
      </c>
      <c r="H1560">
        <v>-0.40408611532384331</v>
      </c>
    </row>
    <row r="1561" spans="2:8">
      <c r="B1561">
        <v>1</v>
      </c>
      <c r="C1561">
        <v>102</v>
      </c>
      <c r="D1561">
        <v>1</v>
      </c>
      <c r="E1561">
        <v>0</v>
      </c>
      <c r="F1561">
        <v>5.0185997949578676E-2</v>
      </c>
    </row>
    <row r="1562" spans="2:8">
      <c r="B1562">
        <v>3</v>
      </c>
      <c r="C1562">
        <v>92.23681599999999</v>
      </c>
      <c r="D1562">
        <v>2</v>
      </c>
      <c r="E1562">
        <v>0</v>
      </c>
      <c r="F1562">
        <v>-0.26489459880443594</v>
      </c>
      <c r="G1562">
        <v>-0.48515925567303936</v>
      </c>
      <c r="H1562">
        <v>-0.22089048953698032</v>
      </c>
    </row>
    <row r="1563" spans="2:8">
      <c r="B1563">
        <v>3</v>
      </c>
      <c r="C1563">
        <v>92.23681599999999</v>
      </c>
      <c r="D1563">
        <v>2</v>
      </c>
      <c r="E1563">
        <v>0</v>
      </c>
      <c r="F1563">
        <v>-0.34274609451833932</v>
      </c>
      <c r="G1563">
        <v>-0.41262678223421001</v>
      </c>
      <c r="H1563">
        <v>-0.24184674831482936</v>
      </c>
    </row>
    <row r="1564" spans="2:8">
      <c r="B1564">
        <v>3</v>
      </c>
      <c r="C1564">
        <v>92.23681599999999</v>
      </c>
      <c r="D1564">
        <v>3</v>
      </c>
      <c r="E1564">
        <v>0</v>
      </c>
      <c r="F1564">
        <v>-6.3590445274495103E-2</v>
      </c>
      <c r="G1564">
        <v>-0.10506428905243526</v>
      </c>
      <c r="H1564">
        <v>-0.21653546360925724</v>
      </c>
    </row>
    <row r="1565" spans="2:8">
      <c r="B1565">
        <v>3</v>
      </c>
      <c r="C1565">
        <v>92.23681599999999</v>
      </c>
      <c r="D1565">
        <v>3</v>
      </c>
      <c r="E1565">
        <v>0</v>
      </c>
      <c r="F1565">
        <v>-0.21243054343985196</v>
      </c>
      <c r="G1565">
        <v>-0.23226462081161675</v>
      </c>
      <c r="H1565">
        <v>-0.16286370970018249</v>
      </c>
    </row>
    <row r="1566" spans="2:8">
      <c r="B1566">
        <v>3</v>
      </c>
      <c r="C1566">
        <v>92.23681599999999</v>
      </c>
      <c r="D1566">
        <v>3</v>
      </c>
      <c r="E1566">
        <v>0</v>
      </c>
      <c r="F1566">
        <v>-0.10747184696855927</v>
      </c>
      <c r="G1566">
        <v>-0.19200221563050451</v>
      </c>
      <c r="H1566">
        <v>-0.35268255615288563</v>
      </c>
    </row>
    <row r="1567" spans="2:8">
      <c r="B1567">
        <v>3</v>
      </c>
      <c r="C1567">
        <v>92.23681599999999</v>
      </c>
      <c r="D1567">
        <v>3</v>
      </c>
      <c r="E1567">
        <v>0</v>
      </c>
      <c r="F1567">
        <v>-6.0924143304441757E-2</v>
      </c>
      <c r="G1567">
        <v>9.3089749635367203E-2</v>
      </c>
      <c r="H1567">
        <v>-1.5543276758655272E-2</v>
      </c>
    </row>
    <row r="1568" spans="2:8">
      <c r="B1568">
        <v>3</v>
      </c>
      <c r="C1568">
        <v>57.613401337079836</v>
      </c>
      <c r="D1568">
        <v>2</v>
      </c>
      <c r="E1568">
        <v>0</v>
      </c>
      <c r="F1568">
        <v>-9.1278101169684073E-2</v>
      </c>
      <c r="G1568">
        <v>-0.28194920606876972</v>
      </c>
      <c r="H1568">
        <v>-0.42386598662920166</v>
      </c>
    </row>
    <row r="1569" spans="2:8">
      <c r="B1569">
        <v>3</v>
      </c>
      <c r="C1569">
        <v>92.23681599999999</v>
      </c>
      <c r="D1569">
        <v>3</v>
      </c>
      <c r="E1569">
        <v>0</v>
      </c>
      <c r="F1569">
        <v>-9.3986660982688262E-6</v>
      </c>
      <c r="G1569">
        <v>-0.31380857276639013</v>
      </c>
      <c r="H1569">
        <v>-0.36134800783604543</v>
      </c>
    </row>
    <row r="1570" spans="2:8">
      <c r="B1570">
        <v>1</v>
      </c>
      <c r="C1570">
        <v>102</v>
      </c>
      <c r="D1570">
        <v>1</v>
      </c>
      <c r="E1570">
        <v>0</v>
      </c>
      <c r="F1570">
        <v>0.22046965688066869</v>
      </c>
      <c r="G1570">
        <v>-0.97265559987872274</v>
      </c>
      <c r="H1570">
        <v>-1.1030942617295509</v>
      </c>
    </row>
    <row r="1571" spans="2:8">
      <c r="B1571">
        <v>1</v>
      </c>
      <c r="C1571">
        <v>102</v>
      </c>
      <c r="D1571">
        <v>1</v>
      </c>
      <c r="E1571">
        <v>0</v>
      </c>
      <c r="F1571">
        <v>0.26059201094744283</v>
      </c>
      <c r="G1571">
        <v>-0.26667658546020856</v>
      </c>
      <c r="H1571">
        <v>-0.18800877720886877</v>
      </c>
    </row>
    <row r="1572" spans="2:8">
      <c r="B1572">
        <v>3</v>
      </c>
      <c r="C1572">
        <v>92.23681599999999</v>
      </c>
      <c r="D1572">
        <v>3</v>
      </c>
      <c r="E1572">
        <v>0</v>
      </c>
      <c r="F1572">
        <v>-9.8469558092325077E-2</v>
      </c>
      <c r="G1572">
        <v>-0.17430384378468894</v>
      </c>
      <c r="H1572">
        <v>-0.32445477441154008</v>
      </c>
    </row>
    <row r="1573" spans="2:8">
      <c r="B1573">
        <v>3</v>
      </c>
      <c r="C1573">
        <v>92.23681599999999</v>
      </c>
      <c r="D1573">
        <v>3</v>
      </c>
      <c r="E1573">
        <v>0</v>
      </c>
      <c r="F1573">
        <v>-8.6881929524290746E-2</v>
      </c>
      <c r="G1573">
        <v>1.8043392916021844E-2</v>
      </c>
      <c r="H1573">
        <v>-0.11891134134401889</v>
      </c>
    </row>
    <row r="1574" spans="2:8">
      <c r="B1574">
        <v>3</v>
      </c>
      <c r="C1574">
        <v>92.23681599999999</v>
      </c>
      <c r="D1574">
        <v>3</v>
      </c>
      <c r="E1574">
        <v>0</v>
      </c>
      <c r="F1574">
        <v>-1.3406635910554719E-2</v>
      </c>
      <c r="G1574">
        <v>-0.11225081759795492</v>
      </c>
      <c r="H1574">
        <v>-0.17264569334827215</v>
      </c>
    </row>
    <row r="1575" spans="2:8">
      <c r="B1575">
        <v>3</v>
      </c>
      <c r="C1575">
        <v>92.23681599999999</v>
      </c>
      <c r="D1575">
        <v>3</v>
      </c>
      <c r="E1575">
        <v>0</v>
      </c>
      <c r="F1575">
        <v>-0.31244725519980915</v>
      </c>
      <c r="G1575">
        <v>-0.37535652796876573</v>
      </c>
      <c r="H1575">
        <v>-0.35745212051908448</v>
      </c>
    </row>
    <row r="1576" spans="2:8">
      <c r="B1576">
        <v>1</v>
      </c>
      <c r="C1576">
        <v>102</v>
      </c>
      <c r="D1576">
        <v>1</v>
      </c>
      <c r="E1576">
        <v>0</v>
      </c>
      <c r="F1576">
        <v>2.504963720608026E-2</v>
      </c>
      <c r="G1576">
        <v>-0.65802562524365305</v>
      </c>
      <c r="H1576">
        <v>-0.77895607144664414</v>
      </c>
    </row>
    <row r="1577" spans="2:8">
      <c r="B1577">
        <v>3</v>
      </c>
      <c r="C1577">
        <v>92.23681599999999</v>
      </c>
      <c r="D1577">
        <v>3</v>
      </c>
      <c r="E1577">
        <v>0</v>
      </c>
      <c r="F1577">
        <v>-0.15931084176337312</v>
      </c>
      <c r="G1577">
        <v>-0.1394463246523561</v>
      </c>
      <c r="H1577">
        <v>-0.36758823360172488</v>
      </c>
    </row>
    <row r="1578" spans="2:8">
      <c r="B1578">
        <v>3</v>
      </c>
      <c r="C1578">
        <v>92.23681599999999</v>
      </c>
      <c r="D1578">
        <v>3</v>
      </c>
      <c r="E1578">
        <v>0</v>
      </c>
      <c r="F1578">
        <v>-3.0865924068298359E-2</v>
      </c>
      <c r="G1578">
        <v>-0.14790657317189776</v>
      </c>
      <c r="H1578">
        <v>-0.2255344054659848</v>
      </c>
    </row>
    <row r="1579" spans="2:8">
      <c r="B1579">
        <v>3</v>
      </c>
      <c r="C1579">
        <v>92.23681599999999</v>
      </c>
      <c r="D1579">
        <v>3</v>
      </c>
      <c r="E1579">
        <v>0</v>
      </c>
      <c r="F1579">
        <v>-0.19889899489675356</v>
      </c>
      <c r="G1579">
        <v>-0.20992870202490352</v>
      </c>
      <c r="H1579">
        <v>-0.12872793277835964</v>
      </c>
    </row>
    <row r="1580" spans="2:8">
      <c r="B1580">
        <v>3</v>
      </c>
      <c r="C1580">
        <v>40.287169641988044</v>
      </c>
      <c r="D1580">
        <v>1</v>
      </c>
      <c r="E1580">
        <v>0</v>
      </c>
      <c r="F1580">
        <v>-0.13570092223118346</v>
      </c>
      <c r="G1580">
        <v>-0.40146483226563057</v>
      </c>
      <c r="H1580">
        <v>-0.59712830358011959</v>
      </c>
    </row>
    <row r="1581" spans="2:8">
      <c r="B1581">
        <v>1</v>
      </c>
      <c r="C1581">
        <v>102</v>
      </c>
      <c r="D1581">
        <v>1</v>
      </c>
      <c r="E1581">
        <v>0</v>
      </c>
      <c r="F1581">
        <v>1.8467620804518279E-2</v>
      </c>
      <c r="G1581">
        <v>-0.22814783926164864</v>
      </c>
      <c r="H1581">
        <v>-0.1263562194448212</v>
      </c>
    </row>
    <row r="1582" spans="2:8">
      <c r="B1582">
        <v>1</v>
      </c>
      <c r="C1582">
        <v>102</v>
      </c>
      <c r="D1582">
        <v>1</v>
      </c>
      <c r="E1582">
        <v>0</v>
      </c>
      <c r="F1582">
        <v>9.8670118893970413E-2</v>
      </c>
      <c r="G1582">
        <v>-0.35815002020636377</v>
      </c>
      <c r="H1582">
        <v>-0.52583808484971617</v>
      </c>
    </row>
    <row r="1583" spans="2:8">
      <c r="B1583">
        <v>3</v>
      </c>
      <c r="C1583">
        <v>92.23681599999999</v>
      </c>
      <c r="D1583">
        <v>3</v>
      </c>
      <c r="E1583">
        <v>0</v>
      </c>
      <c r="F1583">
        <v>-1.719160460953593E-3</v>
      </c>
      <c r="G1583">
        <v>7.0068226595917243E-2</v>
      </c>
      <c r="H1583">
        <v>-9.3978335567810822E-2</v>
      </c>
    </row>
    <row r="1584" spans="2:8">
      <c r="B1584">
        <v>3</v>
      </c>
      <c r="C1584">
        <v>57.472715474649597</v>
      </c>
      <c r="D1584">
        <v>1</v>
      </c>
      <c r="E1584">
        <v>0</v>
      </c>
      <c r="F1584">
        <v>-0.16890540033281062</v>
      </c>
      <c r="G1584">
        <v>-0.53983383803225971</v>
      </c>
      <c r="H1584">
        <v>-0.42527284525350406</v>
      </c>
    </row>
    <row r="1585" spans="2:8">
      <c r="B1585">
        <v>3</v>
      </c>
      <c r="C1585">
        <v>38.404942611706957</v>
      </c>
      <c r="D1585">
        <v>2</v>
      </c>
      <c r="E1585">
        <v>0</v>
      </c>
      <c r="F1585">
        <v>-0.22430156085566549</v>
      </c>
      <c r="G1585">
        <v>-0.25119928504762412</v>
      </c>
      <c r="H1585">
        <v>-0.6159505738829304</v>
      </c>
    </row>
    <row r="1586" spans="2:8">
      <c r="B1586">
        <v>3</v>
      </c>
      <c r="C1586">
        <v>92.23681599999999</v>
      </c>
      <c r="D1586">
        <v>3</v>
      </c>
      <c r="E1586">
        <v>0</v>
      </c>
      <c r="F1586">
        <v>-0.21687282705956795</v>
      </c>
      <c r="G1586">
        <v>-1.8157163287626638E-2</v>
      </c>
      <c r="H1586">
        <v>-0.35821105738189679</v>
      </c>
    </row>
    <row r="1587" spans="2:8">
      <c r="B1587">
        <v>3</v>
      </c>
      <c r="C1587">
        <v>24.975671671028763</v>
      </c>
      <c r="D1587">
        <v>2</v>
      </c>
      <c r="E1587">
        <v>0</v>
      </c>
      <c r="F1587">
        <v>-0.2403919684217255</v>
      </c>
      <c r="G1587">
        <v>-0.27593599699750038</v>
      </c>
      <c r="H1587">
        <v>-0.75024328328971235</v>
      </c>
    </row>
    <row r="1588" spans="2:8">
      <c r="B1588">
        <v>3</v>
      </c>
      <c r="C1588">
        <v>11.012162093063026</v>
      </c>
      <c r="D1588">
        <v>1</v>
      </c>
      <c r="E1588">
        <v>0</v>
      </c>
      <c r="F1588">
        <v>-0.17814281936597631</v>
      </c>
      <c r="G1588">
        <v>-0.63243815501231271</v>
      </c>
      <c r="H1588">
        <v>-0.88987837906936973</v>
      </c>
    </row>
    <row r="1589" spans="2:8">
      <c r="B1589">
        <v>1</v>
      </c>
      <c r="C1589">
        <v>102</v>
      </c>
      <c r="D1589">
        <v>1</v>
      </c>
      <c r="E1589">
        <v>0</v>
      </c>
      <c r="F1589">
        <v>0.18120779664386602</v>
      </c>
      <c r="G1589">
        <v>-0.12292200594535042</v>
      </c>
      <c r="H1589">
        <v>-0.19312976654023042</v>
      </c>
    </row>
    <row r="1590" spans="2:8">
      <c r="B1590">
        <v>1</v>
      </c>
      <c r="C1590">
        <v>102</v>
      </c>
      <c r="D1590">
        <v>1</v>
      </c>
      <c r="E1590">
        <v>0</v>
      </c>
      <c r="F1590">
        <v>7.8171796607315505E-2</v>
      </c>
    </row>
    <row r="1591" spans="2:8">
      <c r="B1591">
        <v>1</v>
      </c>
      <c r="C1591">
        <v>102</v>
      </c>
      <c r="D1591">
        <v>1</v>
      </c>
      <c r="E1591">
        <v>0</v>
      </c>
      <c r="F1591">
        <v>0.18603665796053456</v>
      </c>
      <c r="G1591">
        <v>-0.15195294569895806</v>
      </c>
      <c r="H1591">
        <v>-0.23080959352553643</v>
      </c>
    </row>
    <row r="1592" spans="2:8">
      <c r="B1592">
        <v>3</v>
      </c>
      <c r="C1592">
        <v>92.23681599999999</v>
      </c>
      <c r="D1592">
        <v>3</v>
      </c>
      <c r="E1592">
        <v>0</v>
      </c>
      <c r="F1592">
        <v>-4.6445008103462262E-2</v>
      </c>
      <c r="G1592">
        <v>-7.0642580817118633E-2</v>
      </c>
      <c r="H1592">
        <v>-0.16412020700096561</v>
      </c>
    </row>
    <row r="1593" spans="2:8">
      <c r="B1593">
        <v>3</v>
      </c>
      <c r="C1593">
        <v>58.549684527428397</v>
      </c>
      <c r="D1593">
        <v>1</v>
      </c>
      <c r="E1593">
        <v>0</v>
      </c>
      <c r="F1593">
        <v>-0.35156601654357106</v>
      </c>
      <c r="G1593">
        <v>-0.4230793482371713</v>
      </c>
      <c r="H1593">
        <v>-0.41450315472571603</v>
      </c>
    </row>
    <row r="1594" spans="2:8">
      <c r="B1594">
        <v>1</v>
      </c>
      <c r="C1594">
        <v>102</v>
      </c>
      <c r="D1594">
        <v>1</v>
      </c>
      <c r="E1594">
        <v>0</v>
      </c>
      <c r="F1594">
        <v>5.5511296776833217E-2</v>
      </c>
      <c r="G1594">
        <v>-2.7799343325363695E-2</v>
      </c>
      <c r="H1594">
        <v>2.2823001148648749E-2</v>
      </c>
    </row>
    <row r="1595" spans="2:8">
      <c r="B1595">
        <v>3</v>
      </c>
      <c r="C1595">
        <v>92.23681599999999</v>
      </c>
      <c r="D1595">
        <v>3</v>
      </c>
      <c r="E1595">
        <v>0</v>
      </c>
      <c r="F1595">
        <v>-0.30100805113782919</v>
      </c>
      <c r="G1595">
        <v>-0.36066791165513723</v>
      </c>
      <c r="H1595">
        <v>-0.15885307608762111</v>
      </c>
    </row>
    <row r="1596" spans="2:8">
      <c r="B1596">
        <v>3</v>
      </c>
      <c r="C1596">
        <v>54.023364650801462</v>
      </c>
      <c r="D1596">
        <v>2</v>
      </c>
      <c r="E1596">
        <v>0</v>
      </c>
      <c r="F1596">
        <v>-0.23211992506591037</v>
      </c>
      <c r="G1596">
        <v>-5.9375605644628154E-2</v>
      </c>
      <c r="H1596">
        <v>-0.45976635349198541</v>
      </c>
    </row>
    <row r="1597" spans="2:8">
      <c r="B1597">
        <v>3</v>
      </c>
      <c r="C1597">
        <v>50.331922827019618</v>
      </c>
      <c r="D1597">
        <v>2</v>
      </c>
      <c r="E1597">
        <v>0</v>
      </c>
      <c r="F1597">
        <v>-0.19645317283163449</v>
      </c>
      <c r="G1597">
        <v>-0.20580224667872266</v>
      </c>
      <c r="H1597">
        <v>-0.49668077172980385</v>
      </c>
    </row>
    <row r="1598" spans="2:8">
      <c r="B1598">
        <v>3</v>
      </c>
      <c r="C1598">
        <v>92.23681599999999</v>
      </c>
      <c r="D1598">
        <v>3</v>
      </c>
      <c r="E1598">
        <v>0</v>
      </c>
      <c r="F1598">
        <v>-0.36837117156326532</v>
      </c>
      <c r="G1598">
        <v>-0.2783693427400819</v>
      </c>
      <c r="H1598">
        <v>-0.11843098745259348</v>
      </c>
    </row>
    <row r="1599" spans="2:8">
      <c r="B1599">
        <v>3</v>
      </c>
      <c r="C1599">
        <v>106</v>
      </c>
      <c r="D1599">
        <v>3</v>
      </c>
      <c r="E1599">
        <v>0</v>
      </c>
      <c r="F1599">
        <v>-5.0730411535269027E-2</v>
      </c>
      <c r="G1599">
        <v>0.12943577176483187</v>
      </c>
      <c r="H1599">
        <v>3.1516633452149272E-2</v>
      </c>
    </row>
    <row r="1600" spans="2:8">
      <c r="B1600">
        <v>3</v>
      </c>
      <c r="C1600">
        <v>92.23681599999999</v>
      </c>
      <c r="D1600">
        <v>3</v>
      </c>
      <c r="E1600">
        <v>0</v>
      </c>
      <c r="F1600">
        <v>-0.29759990851440293</v>
      </c>
      <c r="G1600">
        <v>-0.18277777116965266</v>
      </c>
      <c r="H1600">
        <v>-0.16011971640266856</v>
      </c>
    </row>
    <row r="1601" spans="2:8">
      <c r="B1601">
        <v>1</v>
      </c>
      <c r="C1601">
        <v>102</v>
      </c>
      <c r="D1601">
        <v>1</v>
      </c>
      <c r="E1601">
        <v>0</v>
      </c>
      <c r="F1601">
        <v>1.0877802611849204E-2</v>
      </c>
      <c r="G1601">
        <v>-6.5460501388355144E-2</v>
      </c>
      <c r="H1601">
        <v>-0.1184979456075215</v>
      </c>
    </row>
    <row r="1602" spans="2:8">
      <c r="B1602">
        <v>3</v>
      </c>
      <c r="C1602">
        <v>92.23681599999999</v>
      </c>
      <c r="D1602">
        <v>3</v>
      </c>
      <c r="E1602">
        <v>0</v>
      </c>
      <c r="F1602">
        <v>-0.11489764589648899</v>
      </c>
      <c r="G1602">
        <v>-0.20654593784274586</v>
      </c>
      <c r="H1602">
        <v>-0.3761169950241261</v>
      </c>
    </row>
    <row r="1603" spans="2:8">
      <c r="B1603">
        <v>3</v>
      </c>
      <c r="C1603">
        <v>106</v>
      </c>
      <c r="D1603">
        <v>3</v>
      </c>
      <c r="E1603">
        <v>0</v>
      </c>
      <c r="F1603">
        <v>-0.15275320705839271</v>
      </c>
      <c r="G1603">
        <v>-0.12693780588957657</v>
      </c>
      <c r="H1603">
        <v>1.1696663854816368E-2</v>
      </c>
    </row>
    <row r="1604" spans="2:8">
      <c r="B1604">
        <v>3</v>
      </c>
      <c r="C1604">
        <v>92.23681599999999</v>
      </c>
      <c r="D1604">
        <v>3</v>
      </c>
      <c r="E1604">
        <v>0</v>
      </c>
      <c r="F1604">
        <v>-0.32293353479107595</v>
      </c>
      <c r="G1604">
        <v>-0.2196877875949097</v>
      </c>
      <c r="H1604">
        <v>-3.6930076885368257E-2</v>
      </c>
    </row>
    <row r="1605" spans="2:8">
      <c r="B1605">
        <v>3</v>
      </c>
      <c r="C1605">
        <v>92.23681599999999</v>
      </c>
      <c r="D1605">
        <v>3</v>
      </c>
      <c r="E1605">
        <v>0</v>
      </c>
      <c r="F1605">
        <v>-7.6521336015863278E-2</v>
      </c>
      <c r="G1605">
        <v>4.5900486326568693E-2</v>
      </c>
      <c r="H1605">
        <v>-7.9558765635685563E-2</v>
      </c>
    </row>
    <row r="1606" spans="2:8">
      <c r="B1606">
        <v>3</v>
      </c>
      <c r="C1606">
        <v>92.23681599999999</v>
      </c>
      <c r="D1606">
        <v>2</v>
      </c>
      <c r="E1606">
        <v>0</v>
      </c>
      <c r="F1606">
        <v>-0.15801684678382349</v>
      </c>
      <c r="G1606">
        <v>-0.48245897000087579</v>
      </c>
      <c r="H1606">
        <v>-0.35231091468772269</v>
      </c>
    </row>
    <row r="1607" spans="2:8">
      <c r="B1607">
        <v>3</v>
      </c>
      <c r="C1607">
        <v>92.23681599999999</v>
      </c>
      <c r="D1607">
        <v>3</v>
      </c>
      <c r="E1607">
        <v>0</v>
      </c>
      <c r="F1607">
        <v>-0.28006087987182987</v>
      </c>
      <c r="G1607">
        <v>-0.3327731670778542</v>
      </c>
      <c r="H1607">
        <v>-0.10257129157916536</v>
      </c>
    </row>
    <row r="1608" spans="2:8">
      <c r="B1608">
        <v>3</v>
      </c>
      <c r="C1608">
        <v>92.23681599999999</v>
      </c>
      <c r="D1608">
        <v>3</v>
      </c>
      <c r="E1608">
        <v>0</v>
      </c>
      <c r="F1608">
        <v>-0.11665108197710003</v>
      </c>
      <c r="G1608">
        <v>-0.20997266033978498</v>
      </c>
      <c r="H1608">
        <v>-0.38167245569383323</v>
      </c>
    </row>
    <row r="1609" spans="2:8">
      <c r="B1609">
        <v>3</v>
      </c>
      <c r="C1609">
        <v>106</v>
      </c>
      <c r="D1609">
        <v>3</v>
      </c>
      <c r="E1609">
        <v>0</v>
      </c>
      <c r="F1609">
        <v>-3.5182427538077966E-2</v>
      </c>
      <c r="G1609">
        <v>0.20391279817431648</v>
      </c>
      <c r="H1609">
        <v>0.1219390820197007</v>
      </c>
    </row>
    <row r="1610" spans="2:8">
      <c r="B1610">
        <v>3</v>
      </c>
      <c r="C1610">
        <v>40.664751429955956</v>
      </c>
      <c r="D1610">
        <v>1</v>
      </c>
      <c r="E1610">
        <v>0</v>
      </c>
      <c r="F1610">
        <v>-0.1803609702111246</v>
      </c>
      <c r="G1610">
        <v>-0.69377093575427351</v>
      </c>
      <c r="H1610">
        <v>-0.59335248570044041</v>
      </c>
    </row>
    <row r="1611" spans="2:8">
      <c r="B1611">
        <v>3</v>
      </c>
      <c r="C1611">
        <v>54.799780152242008</v>
      </c>
      <c r="D1611">
        <v>2</v>
      </c>
      <c r="E1611">
        <v>0</v>
      </c>
      <c r="F1611">
        <v>-0.18405414611845713</v>
      </c>
      <c r="G1611">
        <v>-0.18444291251598421</v>
      </c>
      <c r="H1611">
        <v>-0.45200219847757994</v>
      </c>
    </row>
    <row r="1612" spans="2:8">
      <c r="B1612">
        <v>1</v>
      </c>
      <c r="C1612">
        <v>102</v>
      </c>
      <c r="D1612">
        <v>1</v>
      </c>
      <c r="E1612">
        <v>0</v>
      </c>
      <c r="F1612">
        <v>0.22771280190457308</v>
      </c>
    </row>
    <row r="1613" spans="2:8">
      <c r="B1613">
        <v>1</v>
      </c>
      <c r="C1613">
        <v>102</v>
      </c>
      <c r="D1613">
        <v>1</v>
      </c>
      <c r="E1613">
        <v>0</v>
      </c>
      <c r="F1613">
        <v>2.9906733259299875E-2</v>
      </c>
      <c r="G1613">
        <v>-0.20418405702762918</v>
      </c>
      <c r="H1613">
        <v>-8.5265159931039627E-2</v>
      </c>
    </row>
    <row r="1614" spans="2:8">
      <c r="B1614">
        <v>3</v>
      </c>
      <c r="C1614">
        <v>42.22126509585383</v>
      </c>
      <c r="D1614">
        <v>2</v>
      </c>
      <c r="E1614">
        <v>0</v>
      </c>
      <c r="F1614">
        <v>-0.17594852012774473</v>
      </c>
      <c r="G1614">
        <v>-0.32397317369176454</v>
      </c>
      <c r="H1614">
        <v>-0.57778734904146167</v>
      </c>
    </row>
    <row r="1615" spans="2:8">
      <c r="B1615">
        <v>1</v>
      </c>
      <c r="C1615">
        <v>102</v>
      </c>
      <c r="D1615">
        <v>1</v>
      </c>
      <c r="E1615">
        <v>0</v>
      </c>
      <c r="F1615">
        <v>9.1259702172543471E-3</v>
      </c>
      <c r="G1615">
        <v>-3.5544524715227205E-2</v>
      </c>
      <c r="H1615">
        <v>-8.0010615234037658E-2</v>
      </c>
    </row>
    <row r="1616" spans="2:8">
      <c r="B1616">
        <v>1</v>
      </c>
      <c r="C1616">
        <v>102</v>
      </c>
      <c r="D1616">
        <v>1</v>
      </c>
      <c r="E1616">
        <v>0</v>
      </c>
      <c r="F1616">
        <v>0.14528325083649885</v>
      </c>
      <c r="G1616">
        <v>-5.9333719929586283E-3</v>
      </c>
      <c r="H1616">
        <v>0.15358472973074228</v>
      </c>
    </row>
    <row r="1617" spans="2:8">
      <c r="B1617">
        <v>3</v>
      </c>
      <c r="C1617">
        <v>46.193807060568538</v>
      </c>
      <c r="D1617">
        <v>2</v>
      </c>
      <c r="E1617">
        <v>0</v>
      </c>
      <c r="F1617">
        <v>-0.2071760751002539</v>
      </c>
      <c r="G1617">
        <v>-0.22368898100506215</v>
      </c>
      <c r="H1617">
        <v>-0.53806192939431463</v>
      </c>
    </row>
    <row r="1618" spans="2:8">
      <c r="B1618">
        <v>1</v>
      </c>
      <c r="C1618">
        <v>102</v>
      </c>
      <c r="D1618">
        <v>1</v>
      </c>
      <c r="E1618">
        <v>0</v>
      </c>
      <c r="F1618">
        <v>8.813187485732589E-2</v>
      </c>
    </row>
    <row r="1619" spans="2:8">
      <c r="B1619">
        <v>3</v>
      </c>
      <c r="C1619">
        <v>39.876251274012553</v>
      </c>
      <c r="D1619">
        <v>2</v>
      </c>
      <c r="E1619">
        <v>0</v>
      </c>
      <c r="F1619">
        <v>-0.22144541105938312</v>
      </c>
      <c r="G1619">
        <v>-0.24669816875279083</v>
      </c>
      <c r="H1619">
        <v>-0.60123748725987447</v>
      </c>
    </row>
    <row r="1620" spans="2:8">
      <c r="B1620">
        <v>1</v>
      </c>
      <c r="C1620">
        <v>102</v>
      </c>
      <c r="D1620">
        <v>1</v>
      </c>
      <c r="E1620">
        <v>0</v>
      </c>
      <c r="F1620">
        <v>0.13113245602815402</v>
      </c>
      <c r="G1620">
        <v>-0.17533594759208698</v>
      </c>
      <c r="H1620">
        <v>-0.19821460622419632</v>
      </c>
    </row>
    <row r="1621" spans="2:8">
      <c r="B1621">
        <v>1</v>
      </c>
      <c r="C1621">
        <v>102</v>
      </c>
      <c r="D1621">
        <v>1</v>
      </c>
      <c r="E1621">
        <v>0</v>
      </c>
      <c r="F1621">
        <v>0.21610887055075806</v>
      </c>
      <c r="G1621">
        <v>-0.31853928595430353</v>
      </c>
      <c r="H1621">
        <v>-0.2646162663558122</v>
      </c>
    </row>
    <row r="1622" spans="2:8">
      <c r="B1622">
        <v>3</v>
      </c>
      <c r="C1622">
        <v>92.23681599999999</v>
      </c>
      <c r="D1622">
        <v>3</v>
      </c>
      <c r="E1622">
        <v>0</v>
      </c>
      <c r="F1622">
        <v>-7.2197913755024351E-2</v>
      </c>
      <c r="G1622">
        <v>-0.12224856111277504</v>
      </c>
      <c r="H1622">
        <v>-0.24298840902715391</v>
      </c>
    </row>
    <row r="1623" spans="2:8">
      <c r="B1623">
        <v>3</v>
      </c>
      <c r="C1623">
        <v>92.23681599999999</v>
      </c>
      <c r="D1623">
        <v>3</v>
      </c>
      <c r="E1623">
        <v>0</v>
      </c>
      <c r="F1623">
        <v>-0.17455508862201377</v>
      </c>
      <c r="G1623">
        <v>-0.16755914024527982</v>
      </c>
      <c r="H1623">
        <v>-6.022573580193457E-2</v>
      </c>
    </row>
    <row r="1624" spans="2:8">
      <c r="B1624">
        <v>3</v>
      </c>
      <c r="C1624">
        <v>92.23681599999999</v>
      </c>
      <c r="D1624">
        <v>3</v>
      </c>
      <c r="E1624">
        <v>0</v>
      </c>
      <c r="F1624">
        <v>-0.20298725717975499</v>
      </c>
      <c r="G1624">
        <v>3.078978514528067E-2</v>
      </c>
      <c r="H1624">
        <v>-0.27393138195551003</v>
      </c>
    </row>
    <row r="1625" spans="2:8">
      <c r="B1625">
        <v>3</v>
      </c>
      <c r="C1625">
        <v>92.23681599999999</v>
      </c>
      <c r="D1625">
        <v>3</v>
      </c>
      <c r="E1625">
        <v>0</v>
      </c>
      <c r="F1625">
        <v>-0.30656548295987207</v>
      </c>
      <c r="G1625">
        <v>-0.36784960702804853</v>
      </c>
      <c r="H1625">
        <v>-0.17162679716940962</v>
      </c>
    </row>
    <row r="1626" spans="2:8">
      <c r="B1626">
        <v>3</v>
      </c>
      <c r="C1626">
        <v>92.23681599999999</v>
      </c>
      <c r="D1626">
        <v>3</v>
      </c>
      <c r="E1626">
        <v>0</v>
      </c>
      <c r="F1626">
        <v>-8.9609977894768308E-2</v>
      </c>
      <c r="G1626">
        <v>-0.15681603562391708</v>
      </c>
      <c r="H1626">
        <v>-0.29684378920111187</v>
      </c>
    </row>
    <row r="1627" spans="2:8">
      <c r="B1627">
        <v>3</v>
      </c>
      <c r="C1627">
        <v>92.23681599999999</v>
      </c>
      <c r="D1627">
        <v>3</v>
      </c>
      <c r="E1627">
        <v>0</v>
      </c>
      <c r="F1627">
        <v>-0.11377842241216628</v>
      </c>
      <c r="G1627">
        <v>-4.6336940070288823E-2</v>
      </c>
      <c r="H1627">
        <v>-0.21455526534041922</v>
      </c>
    </row>
    <row r="1628" spans="2:8">
      <c r="B1628">
        <v>1</v>
      </c>
      <c r="C1628">
        <v>102</v>
      </c>
      <c r="D1628">
        <v>1</v>
      </c>
      <c r="E1628">
        <v>0</v>
      </c>
      <c r="F1628">
        <v>7.5917907936591353E-2</v>
      </c>
    </row>
    <row r="1629" spans="2:8">
      <c r="B1629">
        <v>3</v>
      </c>
      <c r="C1629">
        <v>55.590335022269507</v>
      </c>
      <c r="D1629">
        <v>2</v>
      </c>
      <c r="E1629">
        <v>0</v>
      </c>
      <c r="F1629">
        <v>-0.18179476217071439</v>
      </c>
      <c r="G1629">
        <v>-0.18046908717208116</v>
      </c>
      <c r="H1629">
        <v>-0.44409664977730495</v>
      </c>
    </row>
    <row r="1630" spans="2:8">
      <c r="B1630">
        <v>1</v>
      </c>
      <c r="C1630">
        <v>102</v>
      </c>
      <c r="D1630">
        <v>1</v>
      </c>
      <c r="E1630">
        <v>0</v>
      </c>
      <c r="F1630">
        <v>2.3228989014179226E-2</v>
      </c>
      <c r="G1630">
        <v>-0.58745298515309385</v>
      </c>
      <c r="H1630">
        <v>-0.69911042502507958</v>
      </c>
    </row>
    <row r="1631" spans="2:8">
      <c r="B1631">
        <v>1</v>
      </c>
      <c r="C1631">
        <v>102</v>
      </c>
      <c r="D1631">
        <v>1</v>
      </c>
      <c r="E1631">
        <v>0</v>
      </c>
      <c r="F1631">
        <v>7.9629243585690609E-2</v>
      </c>
      <c r="G1631">
        <v>-0.44524654575851214</v>
      </c>
      <c r="H1631">
        <v>-0.42931692168476032</v>
      </c>
    </row>
    <row r="1632" spans="2:8">
      <c r="B1632">
        <v>1</v>
      </c>
      <c r="C1632">
        <v>102</v>
      </c>
      <c r="D1632">
        <v>1</v>
      </c>
      <c r="E1632">
        <v>0</v>
      </c>
      <c r="F1632">
        <v>4.1091563857021625E-2</v>
      </c>
      <c r="G1632">
        <v>-0.14504110428178743</v>
      </c>
      <c r="H1632">
        <v>-9.6409253653884128E-2</v>
      </c>
    </row>
    <row r="1633" spans="2:8">
      <c r="B1633">
        <v>1</v>
      </c>
      <c r="C1633">
        <v>102</v>
      </c>
      <c r="D1633">
        <v>1</v>
      </c>
      <c r="E1633">
        <v>0</v>
      </c>
      <c r="F1633">
        <v>0.20364067015902257</v>
      </c>
      <c r="G1633">
        <v>-0.27089248608141436</v>
      </c>
      <c r="H1633">
        <v>-0.1944842179146016</v>
      </c>
    </row>
    <row r="1634" spans="2:8">
      <c r="B1634">
        <v>3</v>
      </c>
      <c r="C1634">
        <v>39.901240578143636</v>
      </c>
      <c r="D1634">
        <v>0</v>
      </c>
      <c r="E1634">
        <v>0</v>
      </c>
      <c r="F1634">
        <v>-0.44641135381799757</v>
      </c>
      <c r="G1634">
        <v>-0.74517764108301243</v>
      </c>
      <c r="H1634">
        <v>-0.60098759421856363</v>
      </c>
    </row>
    <row r="1635" spans="2:8">
      <c r="B1635">
        <v>3</v>
      </c>
      <c r="C1635">
        <v>92.23681599999999</v>
      </c>
      <c r="D1635">
        <v>3</v>
      </c>
      <c r="E1635">
        <v>0</v>
      </c>
      <c r="F1635">
        <v>-0.14064191267829407</v>
      </c>
      <c r="G1635">
        <v>-0.10311458316729893</v>
      </c>
      <c r="H1635">
        <v>-0.30528209695721054</v>
      </c>
    </row>
    <row r="1636" spans="2:8">
      <c r="B1636">
        <v>1</v>
      </c>
      <c r="C1636">
        <v>102</v>
      </c>
      <c r="D1636">
        <v>1</v>
      </c>
      <c r="E1636">
        <v>0</v>
      </c>
      <c r="F1636">
        <v>3.2962905285958063E-2</v>
      </c>
      <c r="G1636">
        <v>-0.35666115626333417</v>
      </c>
      <c r="H1636">
        <v>-0.44864446856618984</v>
      </c>
    </row>
    <row r="1637" spans="2:8">
      <c r="B1637">
        <v>1</v>
      </c>
      <c r="C1637">
        <v>102</v>
      </c>
      <c r="D1637">
        <v>1</v>
      </c>
      <c r="E1637">
        <v>0</v>
      </c>
      <c r="F1637">
        <v>4.6227347173871697E-2</v>
      </c>
    </row>
    <row r="1638" spans="2:8">
      <c r="B1638">
        <v>1</v>
      </c>
      <c r="C1638">
        <v>102</v>
      </c>
      <c r="D1638">
        <v>1</v>
      </c>
      <c r="E1638">
        <v>0</v>
      </c>
      <c r="F1638">
        <v>0.16521130724973301</v>
      </c>
    </row>
    <row r="1639" spans="2:8">
      <c r="B1639">
        <v>3</v>
      </c>
      <c r="C1639">
        <v>106</v>
      </c>
      <c r="D1639">
        <v>3</v>
      </c>
      <c r="E1639">
        <v>0</v>
      </c>
      <c r="F1639">
        <v>-0.25498426597929252</v>
      </c>
      <c r="G1639">
        <v>-0.29749961757931187</v>
      </c>
      <c r="H1639">
        <v>5.4645635761746509E-3</v>
      </c>
    </row>
    <row r="1640" spans="2:8">
      <c r="B1640">
        <v>3</v>
      </c>
      <c r="C1640">
        <v>92.23681599999999</v>
      </c>
      <c r="D1640">
        <v>1</v>
      </c>
      <c r="E1640">
        <v>0</v>
      </c>
      <c r="F1640">
        <v>-0.49433266959900762</v>
      </c>
      <c r="G1640">
        <v>-0.41666252670065551</v>
      </c>
      <c r="H1640">
        <v>-0.27588663931389046</v>
      </c>
    </row>
    <row r="1641" spans="2:8">
      <c r="B1641">
        <v>3</v>
      </c>
      <c r="C1641">
        <v>106</v>
      </c>
      <c r="D1641">
        <v>3</v>
      </c>
      <c r="E1641">
        <v>0</v>
      </c>
      <c r="F1641">
        <v>-2.4887873049293123E-2</v>
      </c>
      <c r="G1641">
        <v>0.30298716103659867</v>
      </c>
      <c r="H1641">
        <v>0.23132169275045245</v>
      </c>
    </row>
    <row r="1642" spans="2:8">
      <c r="B1642">
        <v>1</v>
      </c>
      <c r="C1642">
        <v>102</v>
      </c>
      <c r="D1642">
        <v>1</v>
      </c>
      <c r="E1642">
        <v>0</v>
      </c>
      <c r="F1642">
        <v>0.1280280792449614</v>
      </c>
      <c r="G1642">
        <v>-0.15621406246873668</v>
      </c>
      <c r="H1642">
        <v>-0.17032592028805671</v>
      </c>
    </row>
    <row r="1643" spans="2:8">
      <c r="B1643">
        <v>3</v>
      </c>
      <c r="C1643">
        <v>59.552252942746442</v>
      </c>
      <c r="D1643">
        <v>2</v>
      </c>
      <c r="E1643">
        <v>0</v>
      </c>
      <c r="F1643">
        <v>-0.17026238303543337</v>
      </c>
      <c r="G1643">
        <v>-0.15977340839343354</v>
      </c>
      <c r="H1643">
        <v>-0.40447747057253558</v>
      </c>
    </row>
    <row r="1644" spans="2:8">
      <c r="B1644">
        <v>3</v>
      </c>
      <c r="C1644">
        <v>92.23681599999999</v>
      </c>
      <c r="D1644">
        <v>3</v>
      </c>
      <c r="E1644">
        <v>0</v>
      </c>
      <c r="F1644">
        <v>-4.5116362310779704E-3</v>
      </c>
      <c r="G1644">
        <v>-9.4490890860030888E-2</v>
      </c>
      <c r="H1644">
        <v>-0.14631507643449435</v>
      </c>
    </row>
    <row r="1645" spans="2:8">
      <c r="B1645">
        <v>1</v>
      </c>
      <c r="C1645">
        <v>102</v>
      </c>
      <c r="D1645">
        <v>1</v>
      </c>
      <c r="E1645">
        <v>0</v>
      </c>
      <c r="F1645">
        <v>0.30927442449053444</v>
      </c>
    </row>
    <row r="1646" spans="2:8">
      <c r="B1646">
        <v>1</v>
      </c>
      <c r="C1646">
        <v>102</v>
      </c>
      <c r="D1646">
        <v>1</v>
      </c>
      <c r="E1646">
        <v>0</v>
      </c>
      <c r="F1646">
        <v>0.13430762472609761</v>
      </c>
      <c r="G1646">
        <v>-0.19480586607832484</v>
      </c>
      <c r="H1646">
        <v>-0.22636263444583463</v>
      </c>
    </row>
    <row r="1647" spans="2:8">
      <c r="B1647">
        <v>1</v>
      </c>
      <c r="C1647">
        <v>102</v>
      </c>
      <c r="D1647">
        <v>1</v>
      </c>
      <c r="E1647">
        <v>0</v>
      </c>
      <c r="F1647">
        <v>2.0263165903092496E-2</v>
      </c>
      <c r="G1647">
        <v>-0.24906146056211617</v>
      </c>
      <c r="H1647">
        <v>-0.16040656264051964</v>
      </c>
    </row>
    <row r="1648" spans="2:8">
      <c r="B1648">
        <v>3</v>
      </c>
      <c r="C1648">
        <v>53.110652985415285</v>
      </c>
      <c r="D1648">
        <v>2</v>
      </c>
      <c r="E1648">
        <v>0</v>
      </c>
      <c r="F1648">
        <v>-0.14375417883178057</v>
      </c>
      <c r="G1648">
        <v>-0.26255772603138783</v>
      </c>
      <c r="H1648">
        <v>-0.46889347014584715</v>
      </c>
    </row>
    <row r="1649" spans="2:8">
      <c r="B1649">
        <v>3</v>
      </c>
      <c r="C1649">
        <v>92.23681599999999</v>
      </c>
      <c r="D1649">
        <v>3</v>
      </c>
      <c r="E1649">
        <v>0</v>
      </c>
      <c r="F1649">
        <v>-6.9519168354821193E-2</v>
      </c>
      <c r="G1649">
        <v>6.614085143167775E-2</v>
      </c>
      <c r="H1649">
        <v>-5.1696675167869535E-2</v>
      </c>
    </row>
    <row r="1650" spans="2:8">
      <c r="B1650">
        <v>3</v>
      </c>
      <c r="C1650">
        <v>92.23681599999999</v>
      </c>
      <c r="D1650">
        <v>3</v>
      </c>
      <c r="E1650">
        <v>0</v>
      </c>
      <c r="F1650">
        <v>-6.5217139896961401E-2</v>
      </c>
      <c r="G1650">
        <v>-0.22167067142972482</v>
      </c>
      <c r="H1650">
        <v>-0.33488091102356654</v>
      </c>
    </row>
    <row r="1651" spans="2:8">
      <c r="B1651">
        <v>3</v>
      </c>
      <c r="C1651">
        <v>92.23681599999999</v>
      </c>
      <c r="D1651">
        <v>3</v>
      </c>
      <c r="E1651">
        <v>0</v>
      </c>
      <c r="F1651">
        <v>-7.8163040227235206E-2</v>
      </c>
      <c r="G1651">
        <v>4.1334974101139357E-2</v>
      </c>
      <c r="H1651">
        <v>-8.5927996433461648E-2</v>
      </c>
    </row>
    <row r="1652" spans="2:8">
      <c r="B1652">
        <v>3</v>
      </c>
      <c r="C1652">
        <v>92.23681599999999</v>
      </c>
      <c r="D1652">
        <v>3</v>
      </c>
      <c r="E1652">
        <v>0</v>
      </c>
      <c r="F1652">
        <v>-3.9486216600087928E-2</v>
      </c>
      <c r="G1652">
        <v>-0.16593169444903835</v>
      </c>
      <c r="H1652">
        <v>-0.25227300345110198</v>
      </c>
    </row>
    <row r="1653" spans="2:8">
      <c r="B1653">
        <v>3</v>
      </c>
      <c r="C1653">
        <v>92.23681599999999</v>
      </c>
      <c r="D1653">
        <v>3</v>
      </c>
      <c r="E1653">
        <v>0</v>
      </c>
      <c r="F1653">
        <v>-0.16339702740739304</v>
      </c>
      <c r="G1653">
        <v>-0.14711074475623395</v>
      </c>
      <c r="H1653">
        <v>-2.4963668675991868E-2</v>
      </c>
    </row>
    <row r="1654" spans="2:8">
      <c r="B1654">
        <v>3</v>
      </c>
      <c r="C1654">
        <v>106</v>
      </c>
      <c r="D1654">
        <v>3</v>
      </c>
      <c r="E1654">
        <v>0</v>
      </c>
      <c r="F1654">
        <v>-0.24919867844722496</v>
      </c>
      <c r="G1654">
        <v>-9.7556135698056587E-2</v>
      </c>
      <c r="H1654">
        <v>0.2473662058321055</v>
      </c>
    </row>
    <row r="1655" spans="2:8">
      <c r="B1655">
        <v>3</v>
      </c>
      <c r="C1655">
        <v>92.23681599999999</v>
      </c>
      <c r="D1655">
        <v>3</v>
      </c>
      <c r="E1655">
        <v>0</v>
      </c>
      <c r="F1655">
        <v>-0.16134507673078527</v>
      </c>
      <c r="G1655">
        <v>-0.14327410145586866</v>
      </c>
      <c r="H1655">
        <v>-0.37440616820481198</v>
      </c>
    </row>
    <row r="1656" spans="2:8">
      <c r="B1656">
        <v>1</v>
      </c>
      <c r="C1656">
        <v>102</v>
      </c>
      <c r="D1656">
        <v>1</v>
      </c>
      <c r="E1656">
        <v>0</v>
      </c>
      <c r="F1656">
        <v>0.10122749541529311</v>
      </c>
      <c r="G1656">
        <v>-0.38248452158564122</v>
      </c>
      <c r="H1656">
        <v>-0.56156045525272058</v>
      </c>
    </row>
    <row r="1657" spans="2:8">
      <c r="B1657">
        <v>3</v>
      </c>
      <c r="C1657">
        <v>92.23681599999999</v>
      </c>
      <c r="D1657">
        <v>3</v>
      </c>
      <c r="E1657">
        <v>0</v>
      </c>
      <c r="F1657">
        <v>-0.27569348181286224</v>
      </c>
      <c r="G1657">
        <v>-0.32678340036047426</v>
      </c>
      <c r="H1657">
        <v>-8.8481526390154663E-2</v>
      </c>
    </row>
    <row r="1658" spans="2:8">
      <c r="B1658">
        <v>3</v>
      </c>
      <c r="C1658">
        <v>106</v>
      </c>
      <c r="D1658">
        <v>3</v>
      </c>
      <c r="E1658">
        <v>0</v>
      </c>
      <c r="F1658">
        <v>-0.29249137014805698</v>
      </c>
      <c r="G1658">
        <v>-0.17483634787306412</v>
      </c>
      <c r="H1658">
        <v>3.6888755130376497E-2</v>
      </c>
    </row>
    <row r="1659" spans="2:8">
      <c r="B1659">
        <v>3</v>
      </c>
      <c r="C1659">
        <v>92.23681599999999</v>
      </c>
      <c r="D1659">
        <v>3</v>
      </c>
      <c r="E1659">
        <v>0</v>
      </c>
      <c r="F1659">
        <v>-0.10295081415473056</v>
      </c>
      <c r="G1659">
        <v>-2.1535492283841006E-2</v>
      </c>
      <c r="H1659">
        <v>-0.17689554193202861</v>
      </c>
    </row>
    <row r="1660" spans="2:8">
      <c r="B1660">
        <v>3</v>
      </c>
      <c r="C1660">
        <v>92.23681599999999</v>
      </c>
      <c r="D1660">
        <v>3</v>
      </c>
      <c r="E1660">
        <v>0</v>
      </c>
      <c r="F1660">
        <v>-7.3833392873515341E-2</v>
      </c>
      <c r="G1660">
        <v>-0.24110088747080005</v>
      </c>
      <c r="H1660">
        <v>-0.36362084351259005</v>
      </c>
    </row>
    <row r="1661" spans="2:8">
      <c r="B1661">
        <v>3</v>
      </c>
      <c r="C1661">
        <v>106</v>
      </c>
      <c r="D1661">
        <v>3</v>
      </c>
      <c r="E1661">
        <v>0</v>
      </c>
      <c r="F1661">
        <v>-5.2352802489923661E-2</v>
      </c>
      <c r="G1661">
        <v>0.12323104259132887</v>
      </c>
      <c r="H1661">
        <v>2.3620905940501927E-2</v>
      </c>
    </row>
    <row r="1662" spans="2:8">
      <c r="B1662">
        <v>3</v>
      </c>
      <c r="C1662">
        <v>47.494231101509342</v>
      </c>
      <c r="D1662">
        <v>2</v>
      </c>
      <c r="E1662">
        <v>0</v>
      </c>
      <c r="F1662">
        <v>-0.11841223256434012</v>
      </c>
      <c r="G1662">
        <v>-0.35120787931821768</v>
      </c>
      <c r="H1662">
        <v>-0.52505768898490657</v>
      </c>
    </row>
    <row r="1663" spans="2:8">
      <c r="B1663">
        <v>1</v>
      </c>
      <c r="C1663">
        <v>102</v>
      </c>
      <c r="D1663">
        <v>1</v>
      </c>
      <c r="E1663">
        <v>0</v>
      </c>
      <c r="F1663">
        <v>9.4556353273971355E-2</v>
      </c>
    </row>
    <row r="1664" spans="2:8">
      <c r="B1664">
        <v>3</v>
      </c>
      <c r="C1664">
        <v>92.23681599999999</v>
      </c>
      <c r="D1664">
        <v>2</v>
      </c>
      <c r="E1664">
        <v>0</v>
      </c>
      <c r="F1664">
        <v>-0.24579455070956707</v>
      </c>
      <c r="G1664">
        <v>-0.45189090190561454</v>
      </c>
      <c r="H1664">
        <v>-5.4001701258839879E-2</v>
      </c>
    </row>
    <row r="1665" spans="2:8">
      <c r="B1665">
        <v>1</v>
      </c>
      <c r="C1665">
        <v>102</v>
      </c>
      <c r="D1665">
        <v>1</v>
      </c>
      <c r="E1665">
        <v>0</v>
      </c>
      <c r="F1665">
        <v>0.25023585262311615</v>
      </c>
      <c r="G1665">
        <v>-0.24503806197937764</v>
      </c>
      <c r="H1665">
        <v>-0.15397028572028859</v>
      </c>
    </row>
    <row r="1666" spans="2:8">
      <c r="B1666">
        <v>1</v>
      </c>
      <c r="C1666">
        <v>102</v>
      </c>
      <c r="D1666">
        <v>1</v>
      </c>
      <c r="E1666">
        <v>0</v>
      </c>
      <c r="F1666">
        <v>1.5541128013728756E-2</v>
      </c>
    </row>
    <row r="1667" spans="2:8">
      <c r="B1667">
        <v>3</v>
      </c>
      <c r="C1667">
        <v>92.23681599999999</v>
      </c>
      <c r="D1667">
        <v>3</v>
      </c>
      <c r="E1667">
        <v>0</v>
      </c>
      <c r="F1667">
        <v>-0.12901508654412991</v>
      </c>
      <c r="G1667">
        <v>-7.927074540882291E-2</v>
      </c>
      <c r="H1667">
        <v>-0.26633582224934227</v>
      </c>
    </row>
    <row r="1668" spans="2:8">
      <c r="B1668">
        <v>3</v>
      </c>
      <c r="C1668">
        <v>51.059568222490128</v>
      </c>
      <c r="D1668">
        <v>2</v>
      </c>
      <c r="E1668">
        <v>0</v>
      </c>
      <c r="F1668">
        <v>-0.10919529296609569</v>
      </c>
      <c r="G1668">
        <v>-0.32667786945645477</v>
      </c>
      <c r="H1668">
        <v>-0.48940431777509874</v>
      </c>
    </row>
    <row r="1669" spans="2:8">
      <c r="B1669">
        <v>1</v>
      </c>
      <c r="C1669">
        <v>102</v>
      </c>
      <c r="D1669">
        <v>1</v>
      </c>
      <c r="E1669">
        <v>0</v>
      </c>
      <c r="F1669">
        <v>5.8880878202081849E-2</v>
      </c>
    </row>
    <row r="1670" spans="2:8">
      <c r="B1670">
        <v>3</v>
      </c>
      <c r="C1670">
        <v>56.33102212418504</v>
      </c>
      <c r="D1670">
        <v>2</v>
      </c>
      <c r="E1670">
        <v>0</v>
      </c>
      <c r="F1670">
        <v>-0.13385044192646112</v>
      </c>
      <c r="G1670">
        <v>-0.24342850418160722</v>
      </c>
      <c r="H1670">
        <v>-0.43668977875814963</v>
      </c>
    </row>
    <row r="1671" spans="2:8">
      <c r="B1671">
        <v>3</v>
      </c>
      <c r="C1671">
        <v>92.23681599999999</v>
      </c>
      <c r="D1671">
        <v>3</v>
      </c>
      <c r="E1671">
        <v>0</v>
      </c>
      <c r="F1671">
        <v>-9.5703596702577692E-2</v>
      </c>
      <c r="G1671">
        <v>-4.1482803950920761E-3</v>
      </c>
      <c r="H1671">
        <v>-0.15111444932078633</v>
      </c>
    </row>
    <row r="1672" spans="2:8">
      <c r="B1672">
        <v>1</v>
      </c>
      <c r="C1672">
        <v>102</v>
      </c>
      <c r="D1672">
        <v>1</v>
      </c>
      <c r="E1672">
        <v>0</v>
      </c>
      <c r="F1672">
        <v>1.376846758162128E-2</v>
      </c>
    </row>
    <row r="1673" spans="2:8">
      <c r="B1673">
        <v>1</v>
      </c>
      <c r="C1673">
        <v>102</v>
      </c>
      <c r="D1673">
        <v>1</v>
      </c>
      <c r="E1673">
        <v>0</v>
      </c>
      <c r="F1673">
        <v>0.12014090757922606</v>
      </c>
    </row>
    <row r="1674" spans="2:8">
      <c r="B1674">
        <v>3</v>
      </c>
      <c r="C1674">
        <v>49.719937672503342</v>
      </c>
      <c r="D1674">
        <v>2</v>
      </c>
      <c r="E1674">
        <v>0</v>
      </c>
      <c r="F1674">
        <v>-0.15401993168986955</v>
      </c>
      <c r="G1674">
        <v>-0.28227430188548186</v>
      </c>
      <c r="H1674">
        <v>-0.50280062327496655</v>
      </c>
    </row>
    <row r="1675" spans="2:8">
      <c r="B1675">
        <v>3</v>
      </c>
      <c r="C1675">
        <v>106</v>
      </c>
      <c r="D1675">
        <v>3</v>
      </c>
      <c r="E1675">
        <v>0</v>
      </c>
      <c r="F1675">
        <v>-4.37804644430696E-2</v>
      </c>
      <c r="G1675">
        <v>0.15857119520959043</v>
      </c>
      <c r="H1675">
        <v>6.7837075973144728E-2</v>
      </c>
    </row>
    <row r="1676" spans="2:8">
      <c r="B1676">
        <v>3</v>
      </c>
      <c r="C1676">
        <v>92.23681599999999</v>
      </c>
      <c r="D1676">
        <v>2</v>
      </c>
      <c r="E1676">
        <v>0</v>
      </c>
      <c r="F1676">
        <v>-0.14759569954808116</v>
      </c>
      <c r="G1676">
        <v>-0.44119796566666947</v>
      </c>
      <c r="H1676">
        <v>-0.29350167491121343</v>
      </c>
    </row>
    <row r="1677" spans="2:8">
      <c r="B1677">
        <v>3</v>
      </c>
      <c r="C1677">
        <v>92.23681599999999</v>
      </c>
      <c r="D1677">
        <v>1</v>
      </c>
      <c r="E1677">
        <v>0</v>
      </c>
      <c r="F1677">
        <v>-0.4062216017783532</v>
      </c>
      <c r="G1677">
        <v>-0.48474877394035526</v>
      </c>
      <c r="H1677">
        <v>-0.33475505277874557</v>
      </c>
    </row>
    <row r="1678" spans="2:8">
      <c r="B1678">
        <v>3</v>
      </c>
      <c r="C1678">
        <v>92.23681599999999</v>
      </c>
      <c r="D1678">
        <v>3</v>
      </c>
      <c r="E1678">
        <v>0</v>
      </c>
      <c r="F1678">
        <v>-3.7857620675087376E-2</v>
      </c>
      <c r="G1678">
        <v>-5.3303616162740805E-2</v>
      </c>
      <c r="H1678">
        <v>-0.13798809908353132</v>
      </c>
    </row>
    <row r="1679" spans="2:8">
      <c r="B1679">
        <v>1</v>
      </c>
      <c r="C1679">
        <v>102</v>
      </c>
      <c r="D1679">
        <v>1</v>
      </c>
      <c r="E1679">
        <v>0</v>
      </c>
      <c r="F1679">
        <v>0.24101234374725181</v>
      </c>
      <c r="G1679">
        <v>-0.22427308832390982</v>
      </c>
      <c r="H1679">
        <v>-0.11987516285732984</v>
      </c>
    </row>
    <row r="1680" spans="2:8">
      <c r="B1680">
        <v>1</v>
      </c>
      <c r="C1680">
        <v>102</v>
      </c>
      <c r="D1680">
        <v>1</v>
      </c>
      <c r="E1680">
        <v>0</v>
      </c>
      <c r="F1680">
        <v>0.19995874187090784</v>
      </c>
    </row>
    <row r="1681" spans="2:8">
      <c r="B1681">
        <v>3</v>
      </c>
      <c r="C1681">
        <v>92.23681599999999</v>
      </c>
      <c r="D1681">
        <v>3</v>
      </c>
      <c r="E1681">
        <v>0</v>
      </c>
      <c r="F1681">
        <v>-5.930005310477203E-2</v>
      </c>
      <c r="G1681">
        <v>9.8509396916243774E-2</v>
      </c>
      <c r="H1681">
        <v>-8.4022735890311364E-3</v>
      </c>
    </row>
    <row r="1682" spans="2:8">
      <c r="B1682">
        <v>3</v>
      </c>
      <c r="C1682">
        <v>92.23681599999999</v>
      </c>
      <c r="D1682">
        <v>3</v>
      </c>
      <c r="E1682">
        <v>0</v>
      </c>
      <c r="F1682">
        <v>-0.23519530923496434</v>
      </c>
      <c r="G1682">
        <v>-6.6747032444743906E-2</v>
      </c>
      <c r="H1682">
        <v>-1.3901781878576871E-2</v>
      </c>
    </row>
    <row r="1683" spans="2:8">
      <c r="B1683">
        <v>3</v>
      </c>
      <c r="C1683">
        <v>92.23681599999999</v>
      </c>
      <c r="D1683">
        <v>3</v>
      </c>
      <c r="E1683">
        <v>0</v>
      </c>
      <c r="F1683">
        <v>-6.7888683863597421E-2</v>
      </c>
      <c r="G1683">
        <v>7.105498418406489E-2</v>
      </c>
      <c r="H1683">
        <v>-4.5023936239825202E-2</v>
      </c>
    </row>
    <row r="1684" spans="2:8">
      <c r="B1684">
        <v>3</v>
      </c>
      <c r="C1684">
        <v>106</v>
      </c>
      <c r="D1684">
        <v>3</v>
      </c>
      <c r="E1684">
        <v>0</v>
      </c>
      <c r="F1684">
        <v>-0.19251181640130774</v>
      </c>
      <c r="G1684">
        <v>8.5495762961333446E-2</v>
      </c>
      <c r="H1684">
        <v>0.17287706947423448</v>
      </c>
    </row>
    <row r="1685" spans="2:8">
      <c r="B1685">
        <v>3</v>
      </c>
      <c r="C1685">
        <v>92.23681599999999</v>
      </c>
      <c r="D1685">
        <v>3</v>
      </c>
      <c r="E1685">
        <v>0</v>
      </c>
      <c r="F1685">
        <v>-0.15078804768043919</v>
      </c>
      <c r="G1685">
        <v>-0.123137528340659</v>
      </c>
      <c r="H1685">
        <v>-0.33911804048070715</v>
      </c>
    </row>
    <row r="1686" spans="2:8">
      <c r="B1686">
        <v>1</v>
      </c>
      <c r="C1686">
        <v>102</v>
      </c>
      <c r="D1686">
        <v>1</v>
      </c>
      <c r="E1686">
        <v>0</v>
      </c>
      <c r="F1686">
        <v>6.4411224104100578E-2</v>
      </c>
    </row>
    <row r="1687" spans="2:8">
      <c r="B1687">
        <v>3</v>
      </c>
      <c r="C1687">
        <v>92.23681599999999</v>
      </c>
      <c r="D1687">
        <v>3</v>
      </c>
      <c r="E1687">
        <v>0</v>
      </c>
      <c r="F1687">
        <v>-0.14883757526576449</v>
      </c>
      <c r="G1687">
        <v>-0.11934130609281511</v>
      </c>
      <c r="H1687">
        <v>-0.33261442762642451</v>
      </c>
    </row>
    <row r="1688" spans="2:8">
      <c r="B1688">
        <v>3</v>
      </c>
      <c r="C1688">
        <v>92.23681599999999</v>
      </c>
      <c r="D1688">
        <v>3</v>
      </c>
      <c r="E1688">
        <v>0</v>
      </c>
      <c r="F1688">
        <v>-5.6637060302684679E-2</v>
      </c>
      <c r="G1688">
        <v>-0.20273122210196504</v>
      </c>
      <c r="H1688">
        <v>-0.30683236674795056</v>
      </c>
    </row>
    <row r="1689" spans="2:8">
      <c r="B1689">
        <v>3</v>
      </c>
      <c r="C1689">
        <v>92.23681599999999</v>
      </c>
      <c r="D1689">
        <v>3</v>
      </c>
      <c r="E1689">
        <v>0</v>
      </c>
      <c r="F1689">
        <v>-0.10465806397442542</v>
      </c>
      <c r="G1689">
        <v>-2.5534234589201048E-2</v>
      </c>
      <c r="H1689">
        <v>-0.18289548601915814</v>
      </c>
    </row>
    <row r="1690" spans="2:8">
      <c r="B1690">
        <v>1</v>
      </c>
      <c r="C1690">
        <v>102</v>
      </c>
      <c r="D1690">
        <v>1</v>
      </c>
      <c r="E1690">
        <v>0</v>
      </c>
      <c r="F1690">
        <v>4.3024901593202707E-2</v>
      </c>
      <c r="G1690">
        <v>-0.16241857507361901</v>
      </c>
      <c r="H1690">
        <v>-0.1240529283193261</v>
      </c>
    </row>
    <row r="1691" spans="2:8">
      <c r="B1691">
        <v>1</v>
      </c>
      <c r="C1691">
        <v>102</v>
      </c>
      <c r="D1691">
        <v>1</v>
      </c>
      <c r="E1691">
        <v>0</v>
      </c>
      <c r="F1691">
        <v>1.6680994109522274E-2</v>
      </c>
      <c r="G1691">
        <v>-0.20794379035109309</v>
      </c>
      <c r="H1691">
        <v>-9.188136912606619E-2</v>
      </c>
    </row>
    <row r="1692" spans="2:8">
      <c r="B1692">
        <v>3</v>
      </c>
      <c r="C1692">
        <v>92.23681599999999</v>
      </c>
      <c r="D1692">
        <v>3</v>
      </c>
      <c r="E1692">
        <v>0</v>
      </c>
      <c r="F1692">
        <v>-0.25269415604431889</v>
      </c>
      <c r="G1692">
        <v>-0.10466642205002015</v>
      </c>
      <c r="H1692">
        <v>-6.2251453184591472E-2</v>
      </c>
    </row>
    <row r="1693" spans="2:8">
      <c r="B1693">
        <v>3</v>
      </c>
      <c r="C1693">
        <v>106</v>
      </c>
      <c r="D1693">
        <v>3</v>
      </c>
      <c r="E1693">
        <v>0</v>
      </c>
      <c r="F1693">
        <v>-4.2155112014446078E-2</v>
      </c>
      <c r="G1693">
        <v>0.16615104985317689</v>
      </c>
      <c r="H1693">
        <v>7.7083727776153521E-2</v>
      </c>
    </row>
    <row r="1694" spans="2:8">
      <c r="B1694">
        <v>1</v>
      </c>
      <c r="C1694">
        <v>102</v>
      </c>
      <c r="D1694">
        <v>1</v>
      </c>
      <c r="E1694">
        <v>0</v>
      </c>
      <c r="F1694">
        <v>0.43477100028959825</v>
      </c>
      <c r="G1694">
        <v>-0.19774654405175274</v>
      </c>
      <c r="H1694">
        <v>-0.17888730875661421</v>
      </c>
    </row>
    <row r="1695" spans="2:8">
      <c r="B1695">
        <v>1</v>
      </c>
      <c r="C1695">
        <v>102</v>
      </c>
      <c r="D1695">
        <v>1</v>
      </c>
      <c r="E1695">
        <v>0</v>
      </c>
      <c r="F1695">
        <v>0.11089024586386539</v>
      </c>
    </row>
    <row r="1696" spans="2:8">
      <c r="B1696">
        <v>1</v>
      </c>
      <c r="C1696">
        <v>102</v>
      </c>
      <c r="D1696">
        <v>1</v>
      </c>
      <c r="E1696">
        <v>0</v>
      </c>
      <c r="F1696">
        <v>6.6542332887534694E-2</v>
      </c>
    </row>
    <row r="1697" spans="2:8">
      <c r="B1697">
        <v>1</v>
      </c>
      <c r="C1697">
        <v>102</v>
      </c>
      <c r="D1697">
        <v>1</v>
      </c>
      <c r="E1697">
        <v>0</v>
      </c>
      <c r="F1697">
        <v>0.37513545448010194</v>
      </c>
    </row>
    <row r="1698" spans="2:8">
      <c r="B1698">
        <v>3</v>
      </c>
      <c r="C1698">
        <v>44.409766330585818</v>
      </c>
      <c r="D1698">
        <v>2</v>
      </c>
      <c r="E1698">
        <v>0</v>
      </c>
      <c r="F1698">
        <v>-0.12604593737331987</v>
      </c>
      <c r="G1698">
        <v>-0.37258723175973618</v>
      </c>
      <c r="H1698">
        <v>-0.5559023366941418</v>
      </c>
    </row>
    <row r="1699" spans="2:8">
      <c r="B1699">
        <v>3</v>
      </c>
      <c r="C1699">
        <v>58.126702890614709</v>
      </c>
      <c r="D1699">
        <v>2</v>
      </c>
      <c r="E1699">
        <v>0</v>
      </c>
      <c r="F1699">
        <v>-8.9760311881192639E-3</v>
      </c>
      <c r="G1699">
        <v>-0.3626246631270178</v>
      </c>
      <c r="H1699">
        <v>-0.41873297109385288</v>
      </c>
    </row>
    <row r="1700" spans="2:8">
      <c r="B1700">
        <v>3</v>
      </c>
      <c r="C1700">
        <v>92.23681599999999</v>
      </c>
      <c r="D1700">
        <v>3</v>
      </c>
      <c r="E1700">
        <v>0</v>
      </c>
      <c r="F1700">
        <v>-0.38062271297596212</v>
      </c>
      <c r="G1700">
        <v>-0.29301962908245077</v>
      </c>
      <c r="H1700">
        <v>-0.28902863946189422</v>
      </c>
    </row>
    <row r="1701" spans="2:8">
      <c r="B1701">
        <v>1</v>
      </c>
      <c r="C1701">
        <v>102</v>
      </c>
      <c r="D1701">
        <v>1</v>
      </c>
      <c r="E1701">
        <v>0</v>
      </c>
      <c r="F1701">
        <v>7.2274518769662358E-2</v>
      </c>
      <c r="G1701">
        <v>5.7820246079749192E-2</v>
      </c>
      <c r="H1701">
        <v>-7.3789874326418717E-2</v>
      </c>
    </row>
    <row r="1702" spans="2:8">
      <c r="B1702">
        <v>1</v>
      </c>
      <c r="C1702">
        <v>102</v>
      </c>
      <c r="D1702">
        <v>1</v>
      </c>
      <c r="E1702">
        <v>0</v>
      </c>
      <c r="F1702">
        <v>0.23558089502474791</v>
      </c>
    </row>
    <row r="1703" spans="2:8">
      <c r="B1703">
        <v>3</v>
      </c>
      <c r="C1703">
        <v>92.23681599999999</v>
      </c>
      <c r="D1703">
        <v>3</v>
      </c>
      <c r="E1703">
        <v>0</v>
      </c>
      <c r="F1703">
        <v>-8.5223946745459384E-2</v>
      </c>
      <c r="G1703">
        <v>2.2358792908692145E-2</v>
      </c>
      <c r="H1703">
        <v>-0.11273797308972983</v>
      </c>
    </row>
    <row r="1704" spans="2:8">
      <c r="B1704">
        <v>3</v>
      </c>
      <c r="C1704">
        <v>43.65899259063346</v>
      </c>
      <c r="D1704">
        <v>2</v>
      </c>
      <c r="E1704">
        <v>0</v>
      </c>
      <c r="F1704">
        <v>-0.12785272358949787</v>
      </c>
      <c r="G1704">
        <v>-0.37781783720949164</v>
      </c>
      <c r="H1704">
        <v>-0.56341007409366539</v>
      </c>
    </row>
    <row r="1705" spans="2:8">
      <c r="B1705">
        <v>1</v>
      </c>
      <c r="C1705">
        <v>102</v>
      </c>
      <c r="D1705">
        <v>1</v>
      </c>
      <c r="E1705">
        <v>0</v>
      </c>
      <c r="F1705">
        <v>0.13968227639802558</v>
      </c>
      <c r="G1705">
        <v>-0.26785323482062423</v>
      </c>
      <c r="H1705">
        <v>-0.52807549270717535</v>
      </c>
    </row>
    <row r="1706" spans="2:8">
      <c r="B1706">
        <v>1</v>
      </c>
      <c r="C1706">
        <v>102</v>
      </c>
      <c r="D1706">
        <v>1</v>
      </c>
      <c r="E1706">
        <v>0</v>
      </c>
      <c r="F1706">
        <v>0.17371854439645704</v>
      </c>
      <c r="G1706">
        <v>0.15803357033244306</v>
      </c>
      <c r="H1706">
        <v>0.32152666395355012</v>
      </c>
    </row>
    <row r="1707" spans="2:8">
      <c r="B1707">
        <v>3</v>
      </c>
      <c r="C1707">
        <v>106</v>
      </c>
      <c r="D1707">
        <v>3</v>
      </c>
      <c r="E1707">
        <v>0</v>
      </c>
      <c r="F1707">
        <v>-3.354939300285105E-2</v>
      </c>
      <c r="G1707">
        <v>0.21455523995832701</v>
      </c>
      <c r="H1707">
        <v>0.13422972245523362</v>
      </c>
    </row>
    <row r="1708" spans="2:8">
      <c r="B1708">
        <v>1</v>
      </c>
      <c r="C1708">
        <v>102</v>
      </c>
      <c r="D1708">
        <v>1</v>
      </c>
      <c r="E1708">
        <v>0</v>
      </c>
      <c r="F1708">
        <v>0.18924777487134795</v>
      </c>
    </row>
    <row r="1709" spans="2:8">
      <c r="B1709">
        <v>3</v>
      </c>
      <c r="C1709">
        <v>92.23681599999999</v>
      </c>
      <c r="D1709">
        <v>2</v>
      </c>
      <c r="E1709">
        <v>0</v>
      </c>
      <c r="F1709">
        <v>-0.3347285218804345</v>
      </c>
      <c r="G1709">
        <v>-0.40297835259691078</v>
      </c>
      <c r="H1709">
        <v>-0.22781180185830738</v>
      </c>
    </row>
    <row r="1710" spans="2:8">
      <c r="B1710">
        <v>3</v>
      </c>
      <c r="C1710">
        <v>92.23681599999999</v>
      </c>
      <c r="D1710">
        <v>3</v>
      </c>
      <c r="E1710">
        <v>0</v>
      </c>
      <c r="F1710">
        <v>-0.19015046079031139</v>
      </c>
      <c r="G1710">
        <v>0.10300099678205153</v>
      </c>
      <c r="H1710">
        <v>-0.17561831061443017</v>
      </c>
    </row>
    <row r="1711" spans="2:8">
      <c r="B1711">
        <v>1</v>
      </c>
      <c r="C1711">
        <v>102</v>
      </c>
      <c r="D1711">
        <v>1</v>
      </c>
      <c r="E1711">
        <v>0</v>
      </c>
      <c r="F1711">
        <v>0.33425442664932387</v>
      </c>
    </row>
    <row r="1712" spans="2:8">
      <c r="B1712">
        <v>3</v>
      </c>
      <c r="C1712">
        <v>92.23681599999999</v>
      </c>
      <c r="D1712">
        <v>3</v>
      </c>
      <c r="E1712">
        <v>0</v>
      </c>
      <c r="F1712">
        <v>-1.1732446832056237E-2</v>
      </c>
      <c r="G1712">
        <v>-1.1844072048231903E-4</v>
      </c>
      <c r="H1712">
        <v>-5.8889466193401151E-2</v>
      </c>
    </row>
    <row r="1713" spans="2:8">
      <c r="B1713">
        <v>1</v>
      </c>
      <c r="C1713">
        <v>102</v>
      </c>
      <c r="D1713">
        <v>1</v>
      </c>
      <c r="E1713">
        <v>0</v>
      </c>
      <c r="F1713">
        <v>6.7918572395001445E-2</v>
      </c>
      <c r="G1713">
        <v>0.21225688154653743</v>
      </c>
      <c r="H1713">
        <v>0.20811636113478338</v>
      </c>
    </row>
    <row r="1714" spans="2:8">
      <c r="B1714">
        <v>1</v>
      </c>
      <c r="C1714">
        <v>102</v>
      </c>
      <c r="D1714">
        <v>1</v>
      </c>
      <c r="E1714">
        <v>0</v>
      </c>
      <c r="F1714">
        <v>7.3689257662018365E-2</v>
      </c>
    </row>
    <row r="1715" spans="2:8">
      <c r="B1715">
        <v>1</v>
      </c>
      <c r="C1715">
        <v>102</v>
      </c>
      <c r="D1715">
        <v>1</v>
      </c>
      <c r="E1715">
        <v>0</v>
      </c>
      <c r="F1715">
        <v>5.6821146440735049E-2</v>
      </c>
    </row>
    <row r="1716" spans="2:8">
      <c r="B1716">
        <v>1</v>
      </c>
      <c r="C1716">
        <v>102</v>
      </c>
      <c r="D1716">
        <v>1</v>
      </c>
      <c r="E1716">
        <v>0</v>
      </c>
      <c r="F1716">
        <v>0.11265280464775364</v>
      </c>
      <c r="G1716">
        <v>-0.30943644700482953</v>
      </c>
      <c r="H1716">
        <v>-0.34262870725524924</v>
      </c>
    </row>
    <row r="1717" spans="2:8">
      <c r="B1717">
        <v>3</v>
      </c>
      <c r="C1717">
        <v>92.23681599999999</v>
      </c>
      <c r="D1717">
        <v>3</v>
      </c>
      <c r="E1717">
        <v>0</v>
      </c>
      <c r="F1717">
        <v>-0.13876108553871033</v>
      </c>
      <c r="G1717">
        <v>-9.932536851254474E-2</v>
      </c>
      <c r="H1717">
        <v>-0.29900117823341349</v>
      </c>
    </row>
    <row r="1718" spans="2:8">
      <c r="B1718">
        <v>3</v>
      </c>
      <c r="C1718">
        <v>92.23681599999999</v>
      </c>
      <c r="D1718">
        <v>3</v>
      </c>
      <c r="E1718">
        <v>0</v>
      </c>
      <c r="F1718">
        <v>-8.2511417268593165E-2</v>
      </c>
      <c r="G1718">
        <v>-0.26114365277686841</v>
      </c>
      <c r="H1718">
        <v>-0.39321609450433198</v>
      </c>
    </row>
    <row r="1719" spans="2:8">
      <c r="B1719">
        <v>3</v>
      </c>
      <c r="C1719">
        <v>106</v>
      </c>
      <c r="D1719">
        <v>3</v>
      </c>
      <c r="E1719">
        <v>0</v>
      </c>
      <c r="F1719">
        <v>-2.6533467650244332E-2</v>
      </c>
      <c r="G1719">
        <v>0.27824060446183196</v>
      </c>
      <c r="H1719">
        <v>0.20494033934251132</v>
      </c>
    </row>
    <row r="1720" spans="2:8">
      <c r="B1720">
        <v>3</v>
      </c>
      <c r="C1720">
        <v>106</v>
      </c>
      <c r="D1720">
        <v>3</v>
      </c>
      <c r="E1720">
        <v>0</v>
      </c>
      <c r="F1720">
        <v>-0.21964383902577209</v>
      </c>
      <c r="G1720">
        <v>-2.6357702631543054E-2</v>
      </c>
      <c r="H1720">
        <v>3.7387136815566185E-2</v>
      </c>
    </row>
    <row r="1721" spans="2:8">
      <c r="B1721">
        <v>3</v>
      </c>
      <c r="C1721">
        <v>92.23681599999999</v>
      </c>
      <c r="D1721">
        <v>3</v>
      </c>
      <c r="E1721">
        <v>0</v>
      </c>
      <c r="F1721">
        <v>-9.4023927181309669E-2</v>
      </c>
      <c r="G1721">
        <v>-1.5762784860123039E-5</v>
      </c>
      <c r="H1721">
        <v>-0.14505888883976176</v>
      </c>
    </row>
    <row r="1722" spans="2:8">
      <c r="B1722">
        <v>3</v>
      </c>
      <c r="C1722">
        <v>54.417952081905241</v>
      </c>
      <c r="D1722">
        <v>2</v>
      </c>
      <c r="E1722">
        <v>0</v>
      </c>
      <c r="F1722">
        <v>-0.10016224468410495</v>
      </c>
      <c r="G1722">
        <v>-0.30370923120564269</v>
      </c>
      <c r="H1722">
        <v>-0.45582047918094759</v>
      </c>
    </row>
    <row r="1723" spans="2:8">
      <c r="B1723">
        <v>1</v>
      </c>
      <c r="C1723">
        <v>102</v>
      </c>
      <c r="D1723">
        <v>1</v>
      </c>
      <c r="E1723">
        <v>0</v>
      </c>
      <c r="F1723">
        <v>2.8058577648046659E-2</v>
      </c>
      <c r="G1723">
        <v>-0.18461561259361858</v>
      </c>
      <c r="H1723">
        <v>-4.9604235385582361E-2</v>
      </c>
    </row>
    <row r="1724" spans="2:8">
      <c r="B1724">
        <v>1</v>
      </c>
      <c r="C1724">
        <v>102</v>
      </c>
      <c r="D1724">
        <v>1</v>
      </c>
      <c r="E1724">
        <v>0</v>
      </c>
      <c r="F1724">
        <v>6.2300692156254507E-2</v>
      </c>
    </row>
    <row r="1725" spans="2:8">
      <c r="B1725">
        <v>1</v>
      </c>
      <c r="C1725">
        <v>102</v>
      </c>
      <c r="D1725">
        <v>1</v>
      </c>
      <c r="E1725">
        <v>0</v>
      </c>
      <c r="F1725">
        <v>9.2095891048001935E-2</v>
      </c>
    </row>
    <row r="1726" spans="2:8">
      <c r="B1726">
        <v>1</v>
      </c>
      <c r="C1726">
        <v>102</v>
      </c>
      <c r="D1726">
        <v>1</v>
      </c>
      <c r="E1726">
        <v>0</v>
      </c>
      <c r="F1726">
        <v>1.2003928840827424E-2</v>
      </c>
      <c r="G1726">
        <v>-0.6763759769280685</v>
      </c>
      <c r="H1726">
        <v>-0.97099315815198817</v>
      </c>
    </row>
    <row r="1727" spans="2:8">
      <c r="B1727">
        <v>3</v>
      </c>
      <c r="C1727">
        <v>92.23681599999999</v>
      </c>
      <c r="D1727">
        <v>3</v>
      </c>
      <c r="E1727">
        <v>0</v>
      </c>
      <c r="F1727">
        <v>-0.22721346622799271</v>
      </c>
      <c r="G1727">
        <v>-0.25575343406514828</v>
      </c>
      <c r="H1727">
        <v>-0.19752275076268486</v>
      </c>
    </row>
    <row r="1728" spans="2:8">
      <c r="B1728">
        <v>3</v>
      </c>
      <c r="C1728">
        <v>92.23681599999999</v>
      </c>
      <c r="D1728">
        <v>3</v>
      </c>
      <c r="E1728">
        <v>0</v>
      </c>
      <c r="F1728">
        <v>-8.0862225049653694E-2</v>
      </c>
      <c r="G1728">
        <v>-0.13948206437043661</v>
      </c>
      <c r="H1728">
        <v>-0.2697248991028437</v>
      </c>
    </row>
    <row r="1729" spans="2:8">
      <c r="B1729">
        <v>3</v>
      </c>
      <c r="C1729">
        <v>106</v>
      </c>
      <c r="D1729">
        <v>3</v>
      </c>
      <c r="E1729">
        <v>0</v>
      </c>
      <c r="F1729">
        <v>-0.14253497148210456</v>
      </c>
      <c r="G1729">
        <v>-0.1069032787051698</v>
      </c>
      <c r="H1729">
        <v>5.0547699989974396E-2</v>
      </c>
    </row>
    <row r="1730" spans="2:8">
      <c r="B1730">
        <v>1</v>
      </c>
      <c r="C1730">
        <v>102</v>
      </c>
      <c r="D1730">
        <v>1</v>
      </c>
      <c r="E1730">
        <v>0</v>
      </c>
      <c r="F1730">
        <v>0.28111269552117046</v>
      </c>
      <c r="G1730">
        <v>-0.48102396736522768</v>
      </c>
      <c r="H1730">
        <v>-0.60018180283495426</v>
      </c>
    </row>
    <row r="1731" spans="2:8">
      <c r="B1731">
        <v>1</v>
      </c>
      <c r="C1731">
        <v>102</v>
      </c>
      <c r="D1731">
        <v>1</v>
      </c>
      <c r="E1731">
        <v>0</v>
      </c>
      <c r="F1731">
        <v>1.706401340731126E-3</v>
      </c>
      <c r="G1731">
        <v>-0.12836330634552862</v>
      </c>
      <c r="H1731">
        <v>-0.20020408999667638</v>
      </c>
    </row>
    <row r="1732" spans="2:8">
      <c r="B1732">
        <v>1</v>
      </c>
      <c r="C1732">
        <v>102</v>
      </c>
      <c r="D1732">
        <v>1</v>
      </c>
      <c r="E1732">
        <v>0</v>
      </c>
      <c r="F1732">
        <v>2.1418119852579177E-2</v>
      </c>
      <c r="G1732">
        <v>-0.53732461406884924</v>
      </c>
      <c r="H1732">
        <v>-0.6399031040751898</v>
      </c>
    </row>
    <row r="1733" spans="2:8">
      <c r="B1733">
        <v>3</v>
      </c>
      <c r="C1733">
        <v>92.23681599999999</v>
      </c>
      <c r="D1733">
        <v>3</v>
      </c>
      <c r="E1733">
        <v>0</v>
      </c>
      <c r="F1733">
        <v>-0.2846045764672776</v>
      </c>
      <c r="G1733">
        <v>-0.33893923359506456</v>
      </c>
      <c r="H1733">
        <v>-0.3114600523632759</v>
      </c>
    </row>
    <row r="1734" spans="2:8">
      <c r="B1734">
        <v>3</v>
      </c>
      <c r="C1734">
        <v>92.23681599999999</v>
      </c>
      <c r="D1734">
        <v>3</v>
      </c>
      <c r="E1734">
        <v>0</v>
      </c>
      <c r="F1734">
        <v>-2.8112709980175781E-3</v>
      </c>
      <c r="G1734">
        <v>1.8206879582532941E-2</v>
      </c>
      <c r="H1734">
        <v>-3.1994867372234573E-2</v>
      </c>
    </row>
    <row r="1735" spans="2:8">
      <c r="B1735">
        <v>1</v>
      </c>
      <c r="C1735">
        <v>102</v>
      </c>
      <c r="D1735">
        <v>1</v>
      </c>
      <c r="E1735">
        <v>0</v>
      </c>
      <c r="F1735">
        <v>3.6050657662917852E-2</v>
      </c>
    </row>
    <row r="1736" spans="2:8">
      <c r="B1736">
        <v>1</v>
      </c>
      <c r="C1736">
        <v>102</v>
      </c>
      <c r="D1736">
        <v>1</v>
      </c>
      <c r="E1736">
        <v>0</v>
      </c>
      <c r="F1736">
        <v>0.26798632037639825</v>
      </c>
      <c r="G1736">
        <v>-0.42776373807494178</v>
      </c>
      <c r="H1736">
        <v>-0.53768829897761994</v>
      </c>
    </row>
    <row r="1737" spans="2:8">
      <c r="B1737">
        <v>1</v>
      </c>
      <c r="C1737">
        <v>102</v>
      </c>
      <c r="D1737">
        <v>1</v>
      </c>
      <c r="E1737">
        <v>0</v>
      </c>
      <c r="F1737">
        <v>0.16261304527865747</v>
      </c>
      <c r="G1737">
        <v>-0.22149577891521605</v>
      </c>
      <c r="H1737">
        <v>-0.31959611575907476</v>
      </c>
    </row>
    <row r="1738" spans="2:8">
      <c r="B1738">
        <v>3</v>
      </c>
      <c r="C1738">
        <v>92.23681599999999</v>
      </c>
      <c r="D1738">
        <v>3</v>
      </c>
      <c r="E1738">
        <v>0</v>
      </c>
      <c r="F1738">
        <v>-2.0527955097301202E-2</v>
      </c>
      <c r="G1738">
        <v>-1.8100853198686821E-2</v>
      </c>
      <c r="H1738">
        <v>-8.5458619712098685E-2</v>
      </c>
    </row>
    <row r="1739" spans="2:8">
      <c r="B1739">
        <v>1</v>
      </c>
      <c r="C1739">
        <v>102</v>
      </c>
      <c r="D1739">
        <v>1</v>
      </c>
      <c r="E1739">
        <v>0</v>
      </c>
      <c r="F1739">
        <v>0.10551039871385189</v>
      </c>
    </row>
    <row r="1740" spans="2:8">
      <c r="B1740">
        <v>3</v>
      </c>
      <c r="C1740">
        <v>59.414938684828989</v>
      </c>
      <c r="D1740">
        <v>2</v>
      </c>
      <c r="E1740">
        <v>0</v>
      </c>
      <c r="F1740">
        <v>-0.12424845627626688</v>
      </c>
      <c r="G1740">
        <v>-0.22478648608817015</v>
      </c>
      <c r="H1740">
        <v>-0.40585061315171012</v>
      </c>
    </row>
    <row r="1741" spans="2:8">
      <c r="B1741">
        <v>3</v>
      </c>
      <c r="C1741">
        <v>92.23681599999999</v>
      </c>
      <c r="D1741">
        <v>3</v>
      </c>
      <c r="E1741">
        <v>0</v>
      </c>
      <c r="F1741">
        <v>-0.12310183548551072</v>
      </c>
      <c r="G1741">
        <v>-6.673463406582783E-2</v>
      </c>
      <c r="H1741">
        <v>-0.24637017944006229</v>
      </c>
    </row>
    <row r="1742" spans="2:8">
      <c r="B1742">
        <v>1</v>
      </c>
      <c r="C1742">
        <v>102</v>
      </c>
      <c r="D1742">
        <v>1</v>
      </c>
      <c r="E1742">
        <v>0</v>
      </c>
      <c r="F1742">
        <v>0.11544531410668667</v>
      </c>
      <c r="G1742">
        <v>-0.3310224133523062</v>
      </c>
      <c r="H1742">
        <v>-0.37282219216982898</v>
      </c>
    </row>
    <row r="1743" spans="2:8">
      <c r="B1743">
        <v>3</v>
      </c>
      <c r="C1743">
        <v>92.23681599999999</v>
      </c>
      <c r="D1743">
        <v>2</v>
      </c>
      <c r="E1743">
        <v>0</v>
      </c>
      <c r="F1743">
        <v>-0.38961379541461399</v>
      </c>
      <c r="G1743">
        <v>-0.46649868404553668</v>
      </c>
      <c r="H1743">
        <v>-0.31283236928664621</v>
      </c>
    </row>
    <row r="1744" spans="2:8">
      <c r="B1744">
        <v>3</v>
      </c>
      <c r="C1744">
        <v>30.280889611792389</v>
      </c>
      <c r="D1744">
        <v>1</v>
      </c>
      <c r="E1744">
        <v>0</v>
      </c>
      <c r="F1744">
        <v>-0.15601033033487025</v>
      </c>
      <c r="G1744">
        <v>-0.47382614630404085</v>
      </c>
      <c r="H1744">
        <v>-0.69719110388207606</v>
      </c>
    </row>
    <row r="1745" spans="2:8">
      <c r="B1745">
        <v>1</v>
      </c>
      <c r="C1745">
        <v>102</v>
      </c>
      <c r="D1745">
        <v>1</v>
      </c>
      <c r="E1745">
        <v>0</v>
      </c>
      <c r="F1745">
        <v>8.1926807318661254E-2</v>
      </c>
      <c r="G1745">
        <v>-0.50696999085341587</v>
      </c>
      <c r="H1745">
        <v>-0.50032249555679664</v>
      </c>
    </row>
    <row r="1746" spans="2:8">
      <c r="B1746">
        <v>3</v>
      </c>
      <c r="C1746">
        <v>33.088196832619886</v>
      </c>
      <c r="D1746">
        <v>2</v>
      </c>
      <c r="E1746">
        <v>0</v>
      </c>
      <c r="F1746">
        <v>-0.2004837521269843</v>
      </c>
      <c r="G1746">
        <v>-0.36985762592035981</v>
      </c>
      <c r="H1746">
        <v>-0.66911803167380113</v>
      </c>
    </row>
    <row r="1747" spans="2:8">
      <c r="B1747">
        <v>1</v>
      </c>
      <c r="C1747">
        <v>102</v>
      </c>
      <c r="D1747">
        <v>1</v>
      </c>
      <c r="E1747">
        <v>0</v>
      </c>
      <c r="F1747">
        <v>7.0085169486824389E-2</v>
      </c>
      <c r="G1747">
        <v>0.109971801863987</v>
      </c>
      <c r="H1747">
        <v>9.6930658960048877E-2</v>
      </c>
    </row>
    <row r="1748" spans="2:8">
      <c r="B1748">
        <v>3</v>
      </c>
      <c r="C1748">
        <v>46.112514890627423</v>
      </c>
      <c r="D1748">
        <v>2</v>
      </c>
      <c r="E1748">
        <v>0</v>
      </c>
      <c r="F1748">
        <v>-0.16472099703485224</v>
      </c>
      <c r="G1748">
        <v>-0.30269763121072973</v>
      </c>
      <c r="H1748">
        <v>-0.53887485109372579</v>
      </c>
    </row>
    <row r="1749" spans="2:8">
      <c r="B1749">
        <v>3</v>
      </c>
      <c r="C1749">
        <v>48.381344336363377</v>
      </c>
      <c r="D1749">
        <v>1</v>
      </c>
      <c r="E1749">
        <v>0</v>
      </c>
      <c r="F1749">
        <v>-1.7807307952121851E-2</v>
      </c>
      <c r="G1749">
        <v>-0.45149958190509626</v>
      </c>
      <c r="H1749">
        <v>-0.51618655663636626</v>
      </c>
    </row>
    <row r="1750" spans="2:8">
      <c r="B1750">
        <v>3</v>
      </c>
      <c r="C1750">
        <v>92.23681599999999</v>
      </c>
      <c r="D1750">
        <v>3</v>
      </c>
      <c r="E1750">
        <v>0</v>
      </c>
      <c r="F1750">
        <v>-0.2729810289017896</v>
      </c>
      <c r="G1750">
        <v>-0.1425424036894446</v>
      </c>
      <c r="H1750">
        <v>-0.11016816328777645</v>
      </c>
    </row>
    <row r="1751" spans="2:8">
      <c r="B1751">
        <v>3</v>
      </c>
      <c r="C1751">
        <v>51.032248910007432</v>
      </c>
      <c r="D1751">
        <v>1</v>
      </c>
      <c r="E1751">
        <v>0</v>
      </c>
      <c r="F1751">
        <v>-1.6144012107798762E-2</v>
      </c>
      <c r="G1751">
        <v>-0.4266168456244212</v>
      </c>
      <c r="H1751">
        <v>-0.48967751089992567</v>
      </c>
    </row>
    <row r="1752" spans="2:8">
      <c r="B1752">
        <v>1</v>
      </c>
      <c r="C1752">
        <v>102</v>
      </c>
      <c r="D1752">
        <v>1</v>
      </c>
      <c r="E1752">
        <v>0</v>
      </c>
      <c r="F1752">
        <v>8.5757475657979032E-2</v>
      </c>
    </row>
    <row r="1753" spans="2:8">
      <c r="B1753">
        <v>1</v>
      </c>
      <c r="C1753">
        <v>102</v>
      </c>
      <c r="D1753">
        <v>1</v>
      </c>
      <c r="E1753">
        <v>0</v>
      </c>
      <c r="F1753">
        <v>2.6221135172555563E-2</v>
      </c>
      <c r="G1753">
        <v>-0.165440520846767</v>
      </c>
      <c r="H1753">
        <v>-1.2173487245824101E-2</v>
      </c>
    </row>
    <row r="1754" spans="2:8">
      <c r="B1754">
        <v>3</v>
      </c>
      <c r="C1754">
        <v>92.23681599999999</v>
      </c>
      <c r="D1754">
        <v>3</v>
      </c>
      <c r="E1754">
        <v>0</v>
      </c>
      <c r="F1754">
        <v>-0.32994287685452123</v>
      </c>
      <c r="G1754">
        <v>-0.22928543242177232</v>
      </c>
      <c r="H1754">
        <v>-0.21607314208028719</v>
      </c>
    </row>
    <row r="1755" spans="2:8">
      <c r="B1755">
        <v>1</v>
      </c>
      <c r="C1755">
        <v>102</v>
      </c>
      <c r="D1755">
        <v>1</v>
      </c>
      <c r="E1755">
        <v>0</v>
      </c>
      <c r="F1755">
        <v>3.9860354889602018E-2</v>
      </c>
    </row>
    <row r="1756" spans="2:8">
      <c r="B1756">
        <v>3</v>
      </c>
      <c r="C1756">
        <v>27.273110235968574</v>
      </c>
      <c r="D1756">
        <v>2</v>
      </c>
      <c r="E1756">
        <v>0</v>
      </c>
      <c r="F1756">
        <v>-0.2141502023196217</v>
      </c>
      <c r="G1756">
        <v>-0.39500600197015528</v>
      </c>
      <c r="H1756">
        <v>-0.72726889764031422</v>
      </c>
    </row>
    <row r="1757" spans="2:8">
      <c r="B1757">
        <v>1</v>
      </c>
      <c r="C1757">
        <v>102</v>
      </c>
      <c r="D1757">
        <v>1</v>
      </c>
      <c r="E1757">
        <v>0</v>
      </c>
      <c r="F1757">
        <v>0.10817758621542868</v>
      </c>
    </row>
    <row r="1758" spans="2:8">
      <c r="B1758">
        <v>3</v>
      </c>
      <c r="C1758">
        <v>92.23681599999999</v>
      </c>
      <c r="D1758">
        <v>2</v>
      </c>
      <c r="E1758">
        <v>0</v>
      </c>
      <c r="F1758">
        <v>-0.31640748052751233</v>
      </c>
      <c r="G1758">
        <v>-0.56988920799630016</v>
      </c>
      <c r="H1758">
        <v>-0.38223120531925991</v>
      </c>
    </row>
    <row r="1759" spans="2:8">
      <c r="B1759">
        <v>3</v>
      </c>
      <c r="C1759">
        <v>45.128461394943095</v>
      </c>
      <c r="D1759">
        <v>2</v>
      </c>
      <c r="E1759">
        <v>0</v>
      </c>
      <c r="F1759">
        <v>-0.20978213224967474</v>
      </c>
      <c r="G1759">
        <v>-0.22795748337538949</v>
      </c>
      <c r="H1759">
        <v>-0.54871538605056902</v>
      </c>
    </row>
    <row r="1760" spans="2:8">
      <c r="B1760">
        <v>3</v>
      </c>
      <c r="C1760">
        <v>106</v>
      </c>
      <c r="D1760">
        <v>3</v>
      </c>
      <c r="E1760">
        <v>0</v>
      </c>
      <c r="F1760">
        <v>-0.26886879596646834</v>
      </c>
      <c r="G1760">
        <v>-0.13527107125995302</v>
      </c>
      <c r="H1760">
        <v>0.11819979587652207</v>
      </c>
    </row>
    <row r="1761" spans="2:8">
      <c r="B1761">
        <v>3</v>
      </c>
      <c r="C1761">
        <v>92.23681599999999</v>
      </c>
      <c r="D1761">
        <v>3</v>
      </c>
      <c r="E1761">
        <v>0</v>
      </c>
      <c r="F1761">
        <v>-0.13083785701845321</v>
      </c>
      <c r="G1761">
        <v>-8.3077093393628981E-2</v>
      </c>
      <c r="H1761">
        <v>-0.27246459253178223</v>
      </c>
    </row>
    <row r="1762" spans="2:8">
      <c r="B1762">
        <v>1</v>
      </c>
      <c r="C1762">
        <v>102</v>
      </c>
      <c r="D1762">
        <v>1</v>
      </c>
      <c r="E1762">
        <v>0</v>
      </c>
      <c r="F1762">
        <v>4.5349584724716403E-3</v>
      </c>
    </row>
    <row r="1763" spans="2:8">
      <c r="B1763">
        <v>1</v>
      </c>
      <c r="C1763">
        <v>102</v>
      </c>
      <c r="D1763">
        <v>1</v>
      </c>
      <c r="E1763">
        <v>0</v>
      </c>
      <c r="F1763">
        <v>0.17658306143470975</v>
      </c>
      <c r="G1763">
        <v>-9.4328461330895827E-2</v>
      </c>
      <c r="H1763">
        <v>-0.15593822846877131</v>
      </c>
    </row>
    <row r="1764" spans="2:8">
      <c r="B1764">
        <v>3</v>
      </c>
      <c r="C1764">
        <v>92.23681599999999</v>
      </c>
      <c r="D1764">
        <v>2</v>
      </c>
      <c r="E1764">
        <v>0</v>
      </c>
      <c r="F1764">
        <v>-0.28761621182174524</v>
      </c>
      <c r="G1764">
        <v>-0.52350215775968578</v>
      </c>
      <c r="H1764">
        <v>-0.30520018447818686</v>
      </c>
    </row>
    <row r="1765" spans="2:8">
      <c r="B1765">
        <v>3</v>
      </c>
      <c r="C1765">
        <v>92.23681599999999</v>
      </c>
      <c r="D1765">
        <v>3</v>
      </c>
      <c r="E1765">
        <v>0</v>
      </c>
      <c r="F1765">
        <v>-0.25864470037553855</v>
      </c>
      <c r="G1765">
        <v>-0.3027851860109696</v>
      </c>
      <c r="H1765">
        <v>-1.6864806610704684E-2</v>
      </c>
    </row>
    <row r="1766" spans="2:8">
      <c r="B1766">
        <v>3</v>
      </c>
      <c r="C1766">
        <v>35.672566047297877</v>
      </c>
      <c r="D1766">
        <v>1</v>
      </c>
      <c r="E1766">
        <v>0</v>
      </c>
      <c r="F1766">
        <v>-0.14566823998688652</v>
      </c>
      <c r="G1766">
        <v>-0.43434589915577393</v>
      </c>
      <c r="H1766">
        <v>-0.64327433952702129</v>
      </c>
    </row>
    <row r="1767" spans="2:8">
      <c r="B1767">
        <v>1</v>
      </c>
      <c r="C1767">
        <v>102</v>
      </c>
      <c r="D1767">
        <v>1</v>
      </c>
      <c r="E1767">
        <v>0</v>
      </c>
      <c r="F1767">
        <v>4.8198951744104365E-2</v>
      </c>
    </row>
    <row r="1768" spans="2:8">
      <c r="B1768">
        <v>1</v>
      </c>
      <c r="C1768">
        <v>102</v>
      </c>
      <c r="D1768">
        <v>1</v>
      </c>
      <c r="E1768">
        <v>0</v>
      </c>
      <c r="F1768">
        <v>2.8087267787544191E-3</v>
      </c>
    </row>
    <row r="1769" spans="2:8">
      <c r="B1769">
        <v>3</v>
      </c>
      <c r="C1769">
        <v>92.23681599999999</v>
      </c>
      <c r="D1769">
        <v>3</v>
      </c>
      <c r="E1769">
        <v>0</v>
      </c>
      <c r="F1769">
        <v>-0.18634003185587442</v>
      </c>
      <c r="G1769">
        <v>-0.18843725423412305</v>
      </c>
      <c r="H1769">
        <v>-9.465896308202823E-2</v>
      </c>
    </row>
    <row r="1770" spans="2:8">
      <c r="B1770">
        <v>3</v>
      </c>
      <c r="C1770">
        <v>23.387832730818829</v>
      </c>
      <c r="D1770">
        <v>1</v>
      </c>
      <c r="E1770">
        <v>0</v>
      </c>
      <c r="F1770">
        <v>-0.1668034432151555</v>
      </c>
      <c r="G1770">
        <v>-0.5267775294246807</v>
      </c>
      <c r="H1770">
        <v>-0.76612167269181175</v>
      </c>
    </row>
    <row r="1771" spans="2:8">
      <c r="B1771">
        <v>1</v>
      </c>
      <c r="C1771">
        <v>102</v>
      </c>
      <c r="D1771">
        <v>1</v>
      </c>
      <c r="E1771">
        <v>0</v>
      </c>
      <c r="F1771">
        <v>0.12307764709139536</v>
      </c>
    </row>
    <row r="1772" spans="2:8">
      <c r="B1772">
        <v>1</v>
      </c>
      <c r="C1772">
        <v>102</v>
      </c>
      <c r="D1772">
        <v>1</v>
      </c>
      <c r="E1772">
        <v>0</v>
      </c>
      <c r="F1772">
        <v>0.29696615885458172</v>
      </c>
      <c r="G1772">
        <v>-0.60094669654015886</v>
      </c>
      <c r="H1772">
        <v>-0.72956477000774356</v>
      </c>
    </row>
    <row r="1773" spans="2:8">
      <c r="B1773">
        <v>3</v>
      </c>
      <c r="C1773">
        <v>92.23681599999999</v>
      </c>
      <c r="D1773">
        <v>3</v>
      </c>
      <c r="E1773">
        <v>0</v>
      </c>
      <c r="F1773">
        <v>-0.11203704759653456</v>
      </c>
      <c r="G1773">
        <v>-4.2433892150046698E-2</v>
      </c>
      <c r="H1773">
        <v>-0.20855669708894781</v>
      </c>
    </row>
    <row r="1774" spans="2:8">
      <c r="B1774">
        <v>3</v>
      </c>
      <c r="C1774">
        <v>92.23681599999999</v>
      </c>
      <c r="D1774">
        <v>3</v>
      </c>
      <c r="E1774">
        <v>0</v>
      </c>
      <c r="F1774">
        <v>-4.8068295681991877E-2</v>
      </c>
      <c r="G1774">
        <v>-0.18418075240926182</v>
      </c>
      <c r="H1774">
        <v>-0.27933654521118573</v>
      </c>
    </row>
    <row r="1775" spans="2:8">
      <c r="B1775">
        <v>3</v>
      </c>
      <c r="C1775">
        <v>92.23681599999999</v>
      </c>
      <c r="D1775">
        <v>3</v>
      </c>
      <c r="E1775">
        <v>0</v>
      </c>
      <c r="F1775">
        <v>-0.13267082570058961</v>
      </c>
      <c r="G1775">
        <v>-8.6878317920994166E-2</v>
      </c>
      <c r="H1775">
        <v>-0.27861740149744835</v>
      </c>
    </row>
    <row r="1776" spans="2:8">
      <c r="B1776">
        <v>1</v>
      </c>
      <c r="C1776">
        <v>102</v>
      </c>
      <c r="D1776">
        <v>1</v>
      </c>
      <c r="E1776">
        <v>0</v>
      </c>
      <c r="F1776">
        <v>0.16938644793258398</v>
      </c>
      <c r="G1776">
        <v>0.1924201031557278</v>
      </c>
      <c r="H1776">
        <v>0.37954146102069375</v>
      </c>
    </row>
    <row r="1777" spans="2:8">
      <c r="B1777">
        <v>1</v>
      </c>
      <c r="C1777">
        <v>102</v>
      </c>
      <c r="D1777">
        <v>1</v>
      </c>
      <c r="E1777">
        <v>0</v>
      </c>
      <c r="F1777">
        <v>9.7052141288997584E-2</v>
      </c>
      <c r="G1777">
        <v>-0.32774431932526815</v>
      </c>
      <c r="H1777">
        <v>-0.31003173903573206</v>
      </c>
    </row>
    <row r="1778" spans="2:8">
      <c r="B1778">
        <v>1</v>
      </c>
      <c r="C1778">
        <v>102</v>
      </c>
      <c r="D1778">
        <v>1</v>
      </c>
      <c r="E1778">
        <v>0</v>
      </c>
      <c r="F1778">
        <v>0.10382481423364154</v>
      </c>
      <c r="G1778">
        <v>-0.40858958498107839</v>
      </c>
      <c r="H1778">
        <v>-0.59973287844256862</v>
      </c>
    </row>
    <row r="1779" spans="2:8">
      <c r="B1779">
        <v>1</v>
      </c>
      <c r="C1779">
        <v>102</v>
      </c>
      <c r="D1779">
        <v>1</v>
      </c>
      <c r="E1779">
        <v>0</v>
      </c>
      <c r="F1779">
        <v>8.4252472869798298E-2</v>
      </c>
      <c r="G1779">
        <v>0.26893255643106773</v>
      </c>
      <c r="H1779">
        <v>0.26649361704037317</v>
      </c>
    </row>
    <row r="1780" spans="2:8">
      <c r="B1780">
        <v>1</v>
      </c>
      <c r="C1780">
        <v>102</v>
      </c>
      <c r="D1780">
        <v>1</v>
      </c>
      <c r="E1780">
        <v>0</v>
      </c>
      <c r="F1780">
        <v>0.15245777376558445</v>
      </c>
      <c r="G1780">
        <v>-4.1453327228901993E-2</v>
      </c>
      <c r="H1780">
        <v>8.2274022576047462E-2</v>
      </c>
    </row>
    <row r="1781" spans="2:8">
      <c r="B1781">
        <v>3</v>
      </c>
      <c r="C1781">
        <v>59.359979357733067</v>
      </c>
      <c r="D1781">
        <v>2</v>
      </c>
      <c r="E1781">
        <v>0</v>
      </c>
      <c r="F1781">
        <v>-7.2895091420782359E-3</v>
      </c>
      <c r="G1781">
        <v>-0.35191446061580967</v>
      </c>
      <c r="H1781">
        <v>-0.40640020642266933</v>
      </c>
    </row>
    <row r="1782" spans="2:8">
      <c r="B1782">
        <v>1</v>
      </c>
      <c r="C1782">
        <v>102</v>
      </c>
      <c r="D1782">
        <v>1</v>
      </c>
      <c r="E1782">
        <v>0</v>
      </c>
      <c r="F1782">
        <v>5.1467152913133238E-2</v>
      </c>
      <c r="G1782">
        <v>1.2004913394948866E-2</v>
      </c>
      <c r="H1782">
        <v>8.4760995742037784E-2</v>
      </c>
    </row>
    <row r="1783" spans="2:8">
      <c r="B1783">
        <v>1</v>
      </c>
      <c r="C1783">
        <v>102</v>
      </c>
      <c r="D1783">
        <v>1</v>
      </c>
      <c r="E1783">
        <v>0</v>
      </c>
      <c r="F1783">
        <v>0.13638076347902259</v>
      </c>
      <c r="G1783">
        <v>-0.22825877014052887</v>
      </c>
      <c r="H1783">
        <v>-0.4700199282744551</v>
      </c>
    </row>
    <row r="1784" spans="2:8">
      <c r="B1784">
        <v>3</v>
      </c>
      <c r="C1784">
        <v>37.941188929614178</v>
      </c>
      <c r="D1784">
        <v>2</v>
      </c>
      <c r="E1784">
        <v>0</v>
      </c>
      <c r="F1784">
        <v>-0.18781867074358172</v>
      </c>
      <c r="G1784">
        <v>-0.34628236833715748</v>
      </c>
      <c r="H1784">
        <v>-0.62058811070385822</v>
      </c>
    </row>
    <row r="1785" spans="2:8">
      <c r="B1785">
        <v>1</v>
      </c>
      <c r="C1785">
        <v>102</v>
      </c>
      <c r="D1785">
        <v>1</v>
      </c>
      <c r="E1785">
        <v>0</v>
      </c>
      <c r="F1785">
        <v>3.7949081966444018E-2</v>
      </c>
    </row>
    <row r="1786" spans="2:8">
      <c r="B1786">
        <v>1</v>
      </c>
      <c r="C1786">
        <v>102</v>
      </c>
      <c r="D1786">
        <v>1</v>
      </c>
      <c r="E1786">
        <v>0</v>
      </c>
      <c r="F1786">
        <v>3.109635577528751E-2</v>
      </c>
      <c r="G1786">
        <v>-0.32842685369806085</v>
      </c>
      <c r="H1786">
        <v>-0.41163518471366922</v>
      </c>
    </row>
    <row r="1787" spans="2:8">
      <c r="B1787">
        <v>3</v>
      </c>
      <c r="C1787">
        <v>49.144817434150525</v>
      </c>
      <c r="D1787">
        <v>0</v>
      </c>
      <c r="E1787">
        <v>0</v>
      </c>
      <c r="F1787">
        <v>-0.42783152943564812</v>
      </c>
      <c r="G1787">
        <v>-0.5080037107462041</v>
      </c>
      <c r="H1787">
        <v>-0.50855182565849477</v>
      </c>
    </row>
    <row r="1788" spans="2:8">
      <c r="B1788">
        <v>1</v>
      </c>
      <c r="C1788">
        <v>102</v>
      </c>
      <c r="D1788">
        <v>1</v>
      </c>
      <c r="E1788">
        <v>0</v>
      </c>
      <c r="F1788">
        <v>9.0537701536336876E-2</v>
      </c>
    </row>
    <row r="1789" spans="2:8">
      <c r="B1789">
        <v>1</v>
      </c>
      <c r="C1789">
        <v>102</v>
      </c>
      <c r="D1789">
        <v>1</v>
      </c>
      <c r="E1789">
        <v>0</v>
      </c>
      <c r="F1789">
        <v>0.12607483083048776</v>
      </c>
    </row>
    <row r="1790" spans="2:8">
      <c r="B1790">
        <v>1</v>
      </c>
      <c r="C1790">
        <v>102</v>
      </c>
      <c r="D1790">
        <v>1</v>
      </c>
      <c r="E1790">
        <v>0</v>
      </c>
      <c r="F1790">
        <v>3.4841186722350384E-2</v>
      </c>
      <c r="G1790">
        <v>-0.38885299646985616</v>
      </c>
      <c r="H1790">
        <v>-0.48973115453519622</v>
      </c>
    </row>
    <row r="1791" spans="2:8">
      <c r="B1791">
        <v>3</v>
      </c>
      <c r="C1791">
        <v>51.222195693639797</v>
      </c>
      <c r="D1791">
        <v>2</v>
      </c>
      <c r="E1791">
        <v>0</v>
      </c>
      <c r="F1791">
        <v>-0.19404048938799415</v>
      </c>
      <c r="G1791">
        <v>-0.20170413312287819</v>
      </c>
      <c r="H1791">
        <v>-0.48777804306360201</v>
      </c>
    </row>
    <row r="1792" spans="2:8">
      <c r="B1792">
        <v>1</v>
      </c>
      <c r="C1792">
        <v>102</v>
      </c>
      <c r="D1792">
        <v>1</v>
      </c>
      <c r="E1792">
        <v>0</v>
      </c>
      <c r="F1792">
        <v>5.3480745129933796E-2</v>
      </c>
      <c r="G1792">
        <v>-8.1591361288112611E-3</v>
      </c>
      <c r="H1792">
        <v>5.3256884711814778E-2</v>
      </c>
    </row>
    <row r="1793" spans="2:8">
      <c r="B1793">
        <v>3</v>
      </c>
      <c r="C1793">
        <v>92.23681599999999</v>
      </c>
      <c r="D1793">
        <v>3</v>
      </c>
      <c r="E1793">
        <v>0</v>
      </c>
      <c r="F1793">
        <v>-0.11954450699719815</v>
      </c>
      <c r="G1793">
        <v>-5.9047419353827471E-2</v>
      </c>
      <c r="H1793">
        <v>-0.23428596180080224</v>
      </c>
    </row>
    <row r="1794" spans="2:8">
      <c r="B1794">
        <v>3</v>
      </c>
      <c r="C1794">
        <v>92.23681599999999</v>
      </c>
      <c r="D1794">
        <v>2</v>
      </c>
      <c r="E1794">
        <v>0</v>
      </c>
      <c r="F1794">
        <v>-0.13756257223248894</v>
      </c>
      <c r="G1794">
        <v>-0.40733024287149566</v>
      </c>
      <c r="H1794">
        <v>-0.23927399017069223</v>
      </c>
    </row>
    <row r="1795" spans="2:8">
      <c r="B1795">
        <v>1</v>
      </c>
      <c r="C1795">
        <v>102</v>
      </c>
      <c r="D1795">
        <v>1</v>
      </c>
      <c r="E1795">
        <v>0</v>
      </c>
      <c r="F1795">
        <v>0.20967567078920094</v>
      </c>
      <c r="G1795">
        <v>-0.29391997129655362</v>
      </c>
      <c r="H1795">
        <v>-0.2290448122212761</v>
      </c>
    </row>
    <row r="1796" spans="2:8">
      <c r="B1796">
        <v>1</v>
      </c>
      <c r="C1796">
        <v>102</v>
      </c>
      <c r="D1796">
        <v>1</v>
      </c>
      <c r="E1796">
        <v>0</v>
      </c>
      <c r="F1796">
        <v>4.4972318252765722E-2</v>
      </c>
      <c r="G1796">
        <v>-0.17996768940853397</v>
      </c>
      <c r="H1796">
        <v>-0.151506155294582</v>
      </c>
    </row>
    <row r="1797" spans="2:8">
      <c r="B1797">
        <v>3</v>
      </c>
      <c r="C1797">
        <v>29.25713463897668</v>
      </c>
      <c r="D1797">
        <v>2</v>
      </c>
      <c r="E1797">
        <v>0</v>
      </c>
      <c r="F1797">
        <v>-0.23720117508125005</v>
      </c>
      <c r="G1797">
        <v>-0.27111258804424426</v>
      </c>
      <c r="H1797">
        <v>-0.70742865361023322</v>
      </c>
    </row>
    <row r="1798" spans="2:8">
      <c r="B1798">
        <v>1</v>
      </c>
      <c r="C1798">
        <v>102</v>
      </c>
      <c r="D1798">
        <v>1</v>
      </c>
      <c r="E1798">
        <v>0</v>
      </c>
      <c r="F1798">
        <v>0.19446482458452369</v>
      </c>
    </row>
    <row r="1799" spans="2:8">
      <c r="B1799">
        <v>1</v>
      </c>
      <c r="C1799">
        <v>102</v>
      </c>
      <c r="D1799">
        <v>1</v>
      </c>
      <c r="E1799">
        <v>0</v>
      </c>
      <c r="F1799">
        <v>6.0959269848467383E-2</v>
      </c>
    </row>
    <row r="1800" spans="2:8">
      <c r="B1800">
        <v>3</v>
      </c>
      <c r="C1800">
        <v>53.228375277871642</v>
      </c>
      <c r="D1800">
        <v>1</v>
      </c>
      <c r="E1800">
        <v>0</v>
      </c>
      <c r="F1800">
        <v>-0.35773167918821885</v>
      </c>
      <c r="G1800">
        <v>-0.63164384758355607</v>
      </c>
      <c r="H1800">
        <v>-0.46771624722128358</v>
      </c>
    </row>
    <row r="1801" spans="2:8">
      <c r="B1801">
        <v>3</v>
      </c>
      <c r="C1801">
        <v>58.826105853389961</v>
      </c>
      <c r="D1801">
        <v>2</v>
      </c>
      <c r="E1801">
        <v>0</v>
      </c>
      <c r="F1801">
        <v>-0.17239796544266026</v>
      </c>
      <c r="G1801">
        <v>-0.16365916432993138</v>
      </c>
      <c r="H1801">
        <v>-0.41173894146610035</v>
      </c>
    </row>
    <row r="1802" spans="2:8">
      <c r="B1802">
        <v>1</v>
      </c>
      <c r="C1802">
        <v>102</v>
      </c>
      <c r="D1802">
        <v>1</v>
      </c>
      <c r="E1802">
        <v>0</v>
      </c>
      <c r="F1802">
        <v>0.14881986330922833</v>
      </c>
      <c r="G1802">
        <v>-2.3820412376250353E-2</v>
      </c>
      <c r="H1802">
        <v>0.11659434295145309</v>
      </c>
    </row>
    <row r="1803" spans="2:8">
      <c r="B1803">
        <v>1</v>
      </c>
      <c r="C1803">
        <v>102</v>
      </c>
      <c r="D1803">
        <v>1</v>
      </c>
      <c r="E1803">
        <v>0</v>
      </c>
      <c r="F1803">
        <v>0.14306779993658389</v>
      </c>
      <c r="G1803">
        <v>-0.31966600249334359</v>
      </c>
      <c r="H1803">
        <v>-0.60162183574830763</v>
      </c>
    </row>
    <row r="1804" spans="2:8">
      <c r="B1804">
        <v>1</v>
      </c>
      <c r="C1804">
        <v>102</v>
      </c>
      <c r="D1804">
        <v>1</v>
      </c>
      <c r="E1804">
        <v>0</v>
      </c>
      <c r="F1804">
        <v>6.2678784119032755E-3</v>
      </c>
    </row>
    <row r="1805" spans="2:8">
      <c r="B1805">
        <v>1</v>
      </c>
      <c r="C1805">
        <v>102</v>
      </c>
      <c r="D1805">
        <v>1</v>
      </c>
      <c r="E1805">
        <v>0</v>
      </c>
      <c r="F1805">
        <v>7.3815184977648685E-3</v>
      </c>
      <c r="G1805">
        <v>-3.5430066743962585E-3</v>
      </c>
      <c r="H1805">
        <v>-3.9414030982593558E-2</v>
      </c>
    </row>
    <row r="1806" spans="2:8">
      <c r="B1806">
        <v>3</v>
      </c>
      <c r="C1806">
        <v>106</v>
      </c>
      <c r="D1806">
        <v>3</v>
      </c>
      <c r="E1806">
        <v>0</v>
      </c>
      <c r="F1806">
        <v>-0.20552810829299092</v>
      </c>
      <c r="G1806">
        <v>2.0529983793518565E-2</v>
      </c>
      <c r="H1806">
        <v>9.5743842673938928E-2</v>
      </c>
    </row>
    <row r="1807" spans="2:8">
      <c r="B1807">
        <v>3</v>
      </c>
      <c r="C1807">
        <v>92.23681599999999</v>
      </c>
      <c r="D1807">
        <v>3</v>
      </c>
      <c r="E1807">
        <v>0</v>
      </c>
      <c r="F1807">
        <v>-0.12131893116468523</v>
      </c>
      <c r="G1807">
        <v>-6.2896041326172408E-2</v>
      </c>
      <c r="H1807">
        <v>-0.24032131052728958</v>
      </c>
    </row>
    <row r="1808" spans="2:8">
      <c r="B1808">
        <v>3</v>
      </c>
      <c r="C1808">
        <v>92.23681599999999</v>
      </c>
      <c r="D1808">
        <v>3</v>
      </c>
      <c r="E1808">
        <v>0</v>
      </c>
      <c r="F1808">
        <v>-2.218173673219553E-2</v>
      </c>
      <c r="G1808">
        <v>-0.13003491655760083</v>
      </c>
      <c r="H1808">
        <v>-0.19902263519768321</v>
      </c>
    </row>
    <row r="1809" spans="2:8">
      <c r="B1809">
        <v>3</v>
      </c>
      <c r="C1809">
        <v>92.23681599999999</v>
      </c>
      <c r="D1809">
        <v>3</v>
      </c>
      <c r="E1809">
        <v>0</v>
      </c>
      <c r="F1809">
        <v>-0.24365920687614659</v>
      </c>
      <c r="G1809">
        <v>-0.28083406671629146</v>
      </c>
      <c r="H1809">
        <v>-0.23325723499266385</v>
      </c>
    </row>
    <row r="1810" spans="2:8">
      <c r="B1810">
        <v>3</v>
      </c>
      <c r="C1810">
        <v>92.23681599999999</v>
      </c>
      <c r="D1810">
        <v>3</v>
      </c>
      <c r="E1810">
        <v>0</v>
      </c>
      <c r="F1810">
        <v>-5.501440225509216E-2</v>
      </c>
      <c r="G1810">
        <v>-8.7879038838677856E-2</v>
      </c>
      <c r="H1810">
        <v>-0.19027481715827274</v>
      </c>
    </row>
    <row r="1811" spans="2:8">
      <c r="B1811">
        <v>3</v>
      </c>
      <c r="C1811">
        <v>92.23681599999999</v>
      </c>
      <c r="D1811">
        <v>3</v>
      </c>
      <c r="E1811">
        <v>0</v>
      </c>
      <c r="F1811">
        <v>-0.26241621848131325</v>
      </c>
      <c r="G1811">
        <v>-0.30818095555441566</v>
      </c>
      <c r="H1811">
        <v>-0.27083068827831153</v>
      </c>
    </row>
    <row r="1812" spans="2:8">
      <c r="B1812">
        <v>3</v>
      </c>
      <c r="C1812">
        <v>92.23681599999999</v>
      </c>
      <c r="D1812">
        <v>3</v>
      </c>
      <c r="E1812">
        <v>0</v>
      </c>
      <c r="F1812">
        <v>-2.9227233075747306E-2</v>
      </c>
      <c r="G1812">
        <v>-3.5808668748789713E-2</v>
      </c>
      <c r="H1812">
        <v>-0.1117956325664498</v>
      </c>
    </row>
    <row r="1813" spans="2:8">
      <c r="B1813">
        <v>1</v>
      </c>
      <c r="C1813">
        <v>102</v>
      </c>
      <c r="D1813">
        <v>1</v>
      </c>
      <c r="E1813">
        <v>0</v>
      </c>
      <c r="F1813">
        <v>0.15484487749033801</v>
      </c>
      <c r="G1813">
        <v>-0.15756243142819648</v>
      </c>
      <c r="H1813">
        <v>-0.2380646566953992</v>
      </c>
    </row>
    <row r="1814" spans="2:8">
      <c r="B1814">
        <v>3</v>
      </c>
      <c r="C1814">
        <v>19.294217811078227</v>
      </c>
      <c r="D1814">
        <v>1</v>
      </c>
      <c r="E1814">
        <v>0</v>
      </c>
      <c r="F1814">
        <v>-0.22910943759959251</v>
      </c>
      <c r="G1814">
        <v>-0.42214862090066108</v>
      </c>
      <c r="H1814">
        <v>-0.80705782188921771</v>
      </c>
    </row>
    <row r="1815" spans="2:8">
      <c r="B1815">
        <v>1</v>
      </c>
      <c r="C1815">
        <v>102</v>
      </c>
      <c r="D1815">
        <v>1</v>
      </c>
      <c r="E1815">
        <v>0</v>
      </c>
      <c r="F1815">
        <v>0.15866668357991176</v>
      </c>
      <c r="G1815">
        <v>-0.18819178869864306</v>
      </c>
      <c r="H1815">
        <v>-0.27743776547843668</v>
      </c>
    </row>
    <row r="1816" spans="2:8">
      <c r="B1816">
        <v>1</v>
      </c>
      <c r="C1816">
        <v>102</v>
      </c>
      <c r="D1816">
        <v>1</v>
      </c>
      <c r="E1816">
        <v>0</v>
      </c>
      <c r="F1816">
        <v>0.11829000556569988</v>
      </c>
      <c r="G1816">
        <v>-0.35371027187225201</v>
      </c>
      <c r="H1816">
        <v>-0.40408611532384331</v>
      </c>
    </row>
    <row r="1817" spans="2:8">
      <c r="B1817">
        <v>1</v>
      </c>
      <c r="C1817">
        <v>102</v>
      </c>
      <c r="D1817">
        <v>1</v>
      </c>
      <c r="E1817">
        <v>0</v>
      </c>
      <c r="F1817">
        <v>5.0185997949578676E-2</v>
      </c>
    </row>
    <row r="1818" spans="2:8">
      <c r="B1818">
        <v>3</v>
      </c>
      <c r="C1818">
        <v>92.23681599999999</v>
      </c>
      <c r="D1818">
        <v>2</v>
      </c>
      <c r="E1818">
        <v>0</v>
      </c>
      <c r="F1818">
        <v>-0.26489459880443594</v>
      </c>
      <c r="G1818">
        <v>-0.48515925567303936</v>
      </c>
      <c r="H1818">
        <v>-0.22089048953698032</v>
      </c>
    </row>
    <row r="1819" spans="2:8">
      <c r="B1819">
        <v>3</v>
      </c>
      <c r="C1819">
        <v>92.23681599999999</v>
      </c>
      <c r="D1819">
        <v>2</v>
      </c>
      <c r="E1819">
        <v>0</v>
      </c>
      <c r="F1819">
        <v>-0.34274609451833932</v>
      </c>
      <c r="G1819">
        <v>-0.41262678223421001</v>
      </c>
      <c r="H1819">
        <v>-0.24184674831482936</v>
      </c>
    </row>
    <row r="1820" spans="2:8">
      <c r="B1820">
        <v>3</v>
      </c>
      <c r="C1820">
        <v>92.23681599999999</v>
      </c>
      <c r="D1820">
        <v>3</v>
      </c>
      <c r="E1820">
        <v>0</v>
      </c>
      <c r="F1820">
        <v>-6.3590445274495103E-2</v>
      </c>
      <c r="G1820">
        <v>-0.10506428905243526</v>
      </c>
      <c r="H1820">
        <v>-0.21653546360925724</v>
      </c>
    </row>
    <row r="1821" spans="2:8">
      <c r="B1821">
        <v>3</v>
      </c>
      <c r="C1821">
        <v>92.23681599999999</v>
      </c>
      <c r="D1821">
        <v>3</v>
      </c>
      <c r="E1821">
        <v>0</v>
      </c>
      <c r="F1821">
        <v>-0.21243054343985196</v>
      </c>
      <c r="G1821">
        <v>-0.23226462081161675</v>
      </c>
      <c r="H1821">
        <v>-0.16286370970018249</v>
      </c>
    </row>
    <row r="1822" spans="2:8">
      <c r="B1822">
        <v>3</v>
      </c>
      <c r="C1822">
        <v>92.23681599999999</v>
      </c>
      <c r="D1822">
        <v>3</v>
      </c>
      <c r="E1822">
        <v>0</v>
      </c>
      <c r="F1822">
        <v>-0.10747184696855927</v>
      </c>
      <c r="G1822">
        <v>-0.19200221563050451</v>
      </c>
      <c r="H1822">
        <v>-0.35268255615288563</v>
      </c>
    </row>
    <row r="1823" spans="2:8">
      <c r="B1823">
        <v>3</v>
      </c>
      <c r="C1823">
        <v>92.23681599999999</v>
      </c>
      <c r="D1823">
        <v>3</v>
      </c>
      <c r="E1823">
        <v>0</v>
      </c>
      <c r="F1823">
        <v>-6.0924143304441757E-2</v>
      </c>
      <c r="G1823">
        <v>9.3089749635367203E-2</v>
      </c>
      <c r="H1823">
        <v>-1.5543276758655272E-2</v>
      </c>
    </row>
    <row r="1824" spans="2:8">
      <c r="B1824">
        <v>3</v>
      </c>
      <c r="C1824">
        <v>57.613401337079836</v>
      </c>
      <c r="D1824">
        <v>2</v>
      </c>
      <c r="E1824">
        <v>0</v>
      </c>
      <c r="F1824">
        <v>-9.1278101169684073E-2</v>
      </c>
      <c r="G1824">
        <v>-0.28194920606876972</v>
      </c>
      <c r="H1824">
        <v>-0.42386598662920166</v>
      </c>
    </row>
    <row r="1825" spans="2:8">
      <c r="B1825">
        <v>3</v>
      </c>
      <c r="C1825">
        <v>92.23681599999999</v>
      </c>
      <c r="D1825">
        <v>3</v>
      </c>
      <c r="E1825">
        <v>0</v>
      </c>
      <c r="F1825">
        <v>-9.3986660982688262E-6</v>
      </c>
      <c r="G1825">
        <v>-0.31380857276639013</v>
      </c>
      <c r="H1825">
        <v>-0.36134800783604543</v>
      </c>
    </row>
    <row r="1826" spans="2:8">
      <c r="B1826">
        <v>1</v>
      </c>
      <c r="C1826">
        <v>102</v>
      </c>
      <c r="D1826">
        <v>1</v>
      </c>
      <c r="E1826">
        <v>0</v>
      </c>
      <c r="F1826">
        <v>0.22046965688066869</v>
      </c>
      <c r="G1826">
        <v>-0.97265559987872274</v>
      </c>
      <c r="H1826">
        <v>-1.1030942617295509</v>
      </c>
    </row>
    <row r="1827" spans="2:8">
      <c r="B1827">
        <v>1</v>
      </c>
      <c r="C1827">
        <v>102</v>
      </c>
      <c r="D1827">
        <v>1</v>
      </c>
      <c r="E1827">
        <v>0</v>
      </c>
      <c r="F1827">
        <v>0.26059201094744283</v>
      </c>
      <c r="G1827">
        <v>-0.26667658546020856</v>
      </c>
      <c r="H1827">
        <v>-0.18800877720886877</v>
      </c>
    </row>
    <row r="1828" spans="2:8">
      <c r="B1828">
        <v>3</v>
      </c>
      <c r="C1828">
        <v>92.23681599999999</v>
      </c>
      <c r="D1828">
        <v>3</v>
      </c>
      <c r="E1828">
        <v>0</v>
      </c>
      <c r="F1828">
        <v>-9.8469558092325077E-2</v>
      </c>
      <c r="G1828">
        <v>-0.17430384378468894</v>
      </c>
      <c r="H1828">
        <v>-0.32445477441154008</v>
      </c>
    </row>
    <row r="1829" spans="2:8">
      <c r="B1829">
        <v>3</v>
      </c>
      <c r="C1829">
        <v>92.23681599999999</v>
      </c>
      <c r="D1829">
        <v>3</v>
      </c>
      <c r="E1829">
        <v>0</v>
      </c>
      <c r="F1829">
        <v>-8.6881929524290746E-2</v>
      </c>
      <c r="G1829">
        <v>1.8043392916021844E-2</v>
      </c>
      <c r="H1829">
        <v>-0.11891134134401889</v>
      </c>
    </row>
    <row r="1830" spans="2:8">
      <c r="B1830">
        <v>3</v>
      </c>
      <c r="C1830">
        <v>92.23681599999999</v>
      </c>
      <c r="D1830">
        <v>3</v>
      </c>
      <c r="E1830">
        <v>0</v>
      </c>
      <c r="F1830">
        <v>-1.3406635910554719E-2</v>
      </c>
      <c r="G1830">
        <v>-0.11225081759795492</v>
      </c>
      <c r="H1830">
        <v>-0.17264569334827215</v>
      </c>
    </row>
    <row r="1831" spans="2:8">
      <c r="B1831">
        <v>3</v>
      </c>
      <c r="C1831">
        <v>92.23681599999999</v>
      </c>
      <c r="D1831">
        <v>3</v>
      </c>
      <c r="E1831">
        <v>0</v>
      </c>
      <c r="F1831">
        <v>-0.31244725519980915</v>
      </c>
      <c r="G1831">
        <v>-0.37535652796876573</v>
      </c>
      <c r="H1831">
        <v>-0.35745212051908448</v>
      </c>
    </row>
    <row r="1832" spans="2:8">
      <c r="B1832">
        <v>1</v>
      </c>
      <c r="C1832">
        <v>102</v>
      </c>
      <c r="D1832">
        <v>1</v>
      </c>
      <c r="E1832">
        <v>0</v>
      </c>
      <c r="F1832">
        <v>2.504963720608026E-2</v>
      </c>
      <c r="G1832">
        <v>-0.65802562524365305</v>
      </c>
      <c r="H1832">
        <v>-0.77895607144664414</v>
      </c>
    </row>
    <row r="1833" spans="2:8">
      <c r="B1833">
        <v>3</v>
      </c>
      <c r="C1833">
        <v>92.23681599999999</v>
      </c>
      <c r="D1833">
        <v>3</v>
      </c>
      <c r="E1833">
        <v>0</v>
      </c>
      <c r="F1833">
        <v>-0.15931084176337312</v>
      </c>
      <c r="G1833">
        <v>-0.1394463246523561</v>
      </c>
      <c r="H1833">
        <v>-0.36758823360172488</v>
      </c>
    </row>
    <row r="1834" spans="2:8">
      <c r="B1834">
        <v>3</v>
      </c>
      <c r="C1834">
        <v>92.23681599999999</v>
      </c>
      <c r="D1834">
        <v>3</v>
      </c>
      <c r="E1834">
        <v>0</v>
      </c>
      <c r="F1834">
        <v>-3.0865924068298359E-2</v>
      </c>
      <c r="G1834">
        <v>-0.14790657317189776</v>
      </c>
      <c r="H1834">
        <v>-0.2255344054659848</v>
      </c>
    </row>
    <row r="1835" spans="2:8">
      <c r="B1835">
        <v>3</v>
      </c>
      <c r="C1835">
        <v>92.23681599999999</v>
      </c>
      <c r="D1835">
        <v>3</v>
      </c>
      <c r="E1835">
        <v>0</v>
      </c>
      <c r="F1835">
        <v>-0.19889899489675356</v>
      </c>
      <c r="G1835">
        <v>-0.20992870202490352</v>
      </c>
      <c r="H1835">
        <v>-0.12872793277835964</v>
      </c>
    </row>
    <row r="1836" spans="2:8">
      <c r="B1836">
        <v>3</v>
      </c>
      <c r="C1836">
        <v>40.287169641988044</v>
      </c>
      <c r="D1836">
        <v>1</v>
      </c>
      <c r="E1836">
        <v>0</v>
      </c>
      <c r="F1836">
        <v>-0.13570092223118346</v>
      </c>
      <c r="G1836">
        <v>-0.40146483226563057</v>
      </c>
      <c r="H1836">
        <v>-0.59712830358011959</v>
      </c>
    </row>
    <row r="1837" spans="2:8">
      <c r="B1837">
        <v>1</v>
      </c>
      <c r="C1837">
        <v>102</v>
      </c>
      <c r="D1837">
        <v>1</v>
      </c>
      <c r="E1837">
        <v>0</v>
      </c>
      <c r="F1837">
        <v>1.8467620804518279E-2</v>
      </c>
      <c r="G1837">
        <v>-0.22814783926164864</v>
      </c>
      <c r="H1837">
        <v>-0.1263562194448212</v>
      </c>
    </row>
    <row r="1838" spans="2:8">
      <c r="B1838">
        <v>1</v>
      </c>
      <c r="C1838">
        <v>102</v>
      </c>
      <c r="D1838">
        <v>1</v>
      </c>
      <c r="E1838">
        <v>0</v>
      </c>
      <c r="F1838">
        <v>9.8670118893970413E-2</v>
      </c>
      <c r="G1838">
        <v>-0.35815002020636377</v>
      </c>
      <c r="H1838">
        <v>-0.52583808484971617</v>
      </c>
    </row>
    <row r="1839" spans="2:8">
      <c r="B1839">
        <v>3</v>
      </c>
      <c r="C1839">
        <v>92.23681599999999</v>
      </c>
      <c r="D1839">
        <v>3</v>
      </c>
      <c r="E1839">
        <v>0</v>
      </c>
      <c r="F1839">
        <v>-1.719160460953593E-3</v>
      </c>
      <c r="G1839">
        <v>7.0068226595917243E-2</v>
      </c>
      <c r="H1839">
        <v>-9.3978335567810822E-2</v>
      </c>
    </row>
    <row r="1840" spans="2:8">
      <c r="B1840">
        <v>3</v>
      </c>
      <c r="C1840">
        <v>57.472715474649597</v>
      </c>
      <c r="D1840">
        <v>1</v>
      </c>
      <c r="E1840">
        <v>0</v>
      </c>
      <c r="F1840">
        <v>-0.16890540033281062</v>
      </c>
      <c r="G1840">
        <v>-0.53983383803225971</v>
      </c>
      <c r="H1840">
        <v>-0.42527284525350406</v>
      </c>
    </row>
    <row r="1841" spans="2:8">
      <c r="B1841">
        <v>3</v>
      </c>
      <c r="C1841">
        <v>38.404942611706957</v>
      </c>
      <c r="D1841">
        <v>2</v>
      </c>
      <c r="E1841">
        <v>0</v>
      </c>
      <c r="F1841">
        <v>-0.22430156085566549</v>
      </c>
      <c r="G1841">
        <v>-0.25119928504762412</v>
      </c>
      <c r="H1841">
        <v>-0.6159505738829304</v>
      </c>
    </row>
    <row r="1842" spans="2:8">
      <c r="B1842">
        <v>3</v>
      </c>
      <c r="C1842">
        <v>92.23681599999999</v>
      </c>
      <c r="D1842">
        <v>3</v>
      </c>
      <c r="E1842">
        <v>0</v>
      </c>
      <c r="F1842">
        <v>-0.21687282705956795</v>
      </c>
      <c r="G1842">
        <v>-1.8157163287626638E-2</v>
      </c>
      <c r="H1842">
        <v>-0.35821105738189679</v>
      </c>
    </row>
    <row r="1843" spans="2:8">
      <c r="B1843">
        <v>3</v>
      </c>
      <c r="C1843">
        <v>24.975671671028763</v>
      </c>
      <c r="D1843">
        <v>2</v>
      </c>
      <c r="E1843">
        <v>0</v>
      </c>
      <c r="F1843">
        <v>-0.2403919684217255</v>
      </c>
      <c r="G1843">
        <v>-0.27593599699750038</v>
      </c>
      <c r="H1843">
        <v>-0.75024328328971235</v>
      </c>
    </row>
    <row r="1844" spans="2:8">
      <c r="B1844">
        <v>3</v>
      </c>
      <c r="C1844">
        <v>11.012162093063026</v>
      </c>
      <c r="D1844">
        <v>1</v>
      </c>
      <c r="E1844">
        <v>0</v>
      </c>
      <c r="F1844">
        <v>-0.17814281936597631</v>
      </c>
      <c r="G1844">
        <v>-0.63243815501231271</v>
      </c>
      <c r="H1844">
        <v>-0.88987837906936973</v>
      </c>
    </row>
    <row r="1845" spans="2:8">
      <c r="B1845">
        <v>1</v>
      </c>
      <c r="C1845">
        <v>102</v>
      </c>
      <c r="D1845">
        <v>1</v>
      </c>
      <c r="E1845">
        <v>0</v>
      </c>
      <c r="F1845">
        <v>0.18120779664386602</v>
      </c>
      <c r="G1845">
        <v>-0.12292200594535042</v>
      </c>
      <c r="H1845">
        <v>-0.19312976654023042</v>
      </c>
    </row>
    <row r="1846" spans="2:8">
      <c r="B1846">
        <v>1</v>
      </c>
      <c r="C1846">
        <v>102</v>
      </c>
      <c r="D1846">
        <v>1</v>
      </c>
      <c r="E1846">
        <v>0</v>
      </c>
      <c r="F1846">
        <v>7.8171796607315505E-2</v>
      </c>
    </row>
    <row r="1847" spans="2:8">
      <c r="B1847">
        <v>1</v>
      </c>
      <c r="C1847">
        <v>102</v>
      </c>
      <c r="D1847">
        <v>1</v>
      </c>
      <c r="E1847">
        <v>0</v>
      </c>
      <c r="F1847">
        <v>0.18603665796053456</v>
      </c>
      <c r="G1847">
        <v>-0.15195294569895806</v>
      </c>
      <c r="H1847">
        <v>-0.23080959352553643</v>
      </c>
    </row>
    <row r="1848" spans="2:8">
      <c r="B1848">
        <v>3</v>
      </c>
      <c r="C1848">
        <v>92.23681599999999</v>
      </c>
      <c r="D1848">
        <v>3</v>
      </c>
      <c r="E1848">
        <v>0</v>
      </c>
      <c r="F1848">
        <v>-4.6445008103462262E-2</v>
      </c>
      <c r="G1848">
        <v>-7.0642580817118633E-2</v>
      </c>
      <c r="H1848">
        <v>-0.16412020700096561</v>
      </c>
    </row>
    <row r="1849" spans="2:8">
      <c r="B1849">
        <v>3</v>
      </c>
      <c r="C1849">
        <v>58.549684527428397</v>
      </c>
      <c r="D1849">
        <v>1</v>
      </c>
      <c r="E1849">
        <v>0</v>
      </c>
      <c r="F1849">
        <v>-0.35156601654357106</v>
      </c>
      <c r="G1849">
        <v>-0.4230793482371713</v>
      </c>
      <c r="H1849">
        <v>-0.41450315472571603</v>
      </c>
    </row>
    <row r="1850" spans="2:8">
      <c r="B1850">
        <v>1</v>
      </c>
      <c r="C1850">
        <v>102</v>
      </c>
      <c r="D1850">
        <v>1</v>
      </c>
      <c r="E1850">
        <v>0</v>
      </c>
      <c r="F1850">
        <v>5.5511296776833217E-2</v>
      </c>
      <c r="G1850">
        <v>-2.7799343325363695E-2</v>
      </c>
      <c r="H1850">
        <v>2.2823001148648749E-2</v>
      </c>
    </row>
    <row r="1851" spans="2:8">
      <c r="B1851">
        <v>3</v>
      </c>
      <c r="C1851">
        <v>92.23681599999999</v>
      </c>
      <c r="D1851">
        <v>3</v>
      </c>
      <c r="E1851">
        <v>0</v>
      </c>
      <c r="F1851">
        <v>-0.30100805113782919</v>
      </c>
      <c r="G1851">
        <v>-0.36066791165513723</v>
      </c>
      <c r="H1851">
        <v>-0.15885307608762111</v>
      </c>
    </row>
    <row r="1852" spans="2:8">
      <c r="B1852">
        <v>3</v>
      </c>
      <c r="C1852">
        <v>54.023364650801462</v>
      </c>
      <c r="D1852">
        <v>2</v>
      </c>
      <c r="E1852">
        <v>0</v>
      </c>
      <c r="F1852">
        <v>-0.23211992506591037</v>
      </c>
      <c r="G1852">
        <v>-5.9375605644628154E-2</v>
      </c>
      <c r="H1852">
        <v>-0.45976635349198541</v>
      </c>
    </row>
    <row r="1853" spans="2:8">
      <c r="B1853">
        <v>3</v>
      </c>
      <c r="C1853">
        <v>50.331922827019618</v>
      </c>
      <c r="D1853">
        <v>2</v>
      </c>
      <c r="E1853">
        <v>0</v>
      </c>
      <c r="F1853">
        <v>-0.19645317283163449</v>
      </c>
      <c r="G1853">
        <v>-0.20580224667872266</v>
      </c>
      <c r="H1853">
        <v>-0.49668077172980385</v>
      </c>
    </row>
    <row r="1854" spans="2:8">
      <c r="B1854">
        <v>3</v>
      </c>
      <c r="C1854">
        <v>92.23681599999999</v>
      </c>
      <c r="D1854">
        <v>3</v>
      </c>
      <c r="E1854">
        <v>0</v>
      </c>
      <c r="F1854">
        <v>-0.36837117156326532</v>
      </c>
      <c r="G1854">
        <v>-0.2783693427400819</v>
      </c>
      <c r="H1854">
        <v>-0.11843098745259348</v>
      </c>
    </row>
    <row r="1855" spans="2:8">
      <c r="B1855">
        <v>3</v>
      </c>
      <c r="C1855">
        <v>106</v>
      </c>
      <c r="D1855">
        <v>3</v>
      </c>
      <c r="E1855">
        <v>0</v>
      </c>
      <c r="F1855">
        <v>-5.0730411535269027E-2</v>
      </c>
      <c r="G1855">
        <v>0.12943577176483187</v>
      </c>
      <c r="H1855">
        <v>3.1516633452149272E-2</v>
      </c>
    </row>
    <row r="1856" spans="2:8">
      <c r="B1856">
        <v>3</v>
      </c>
      <c r="C1856">
        <v>92.23681599999999</v>
      </c>
      <c r="D1856">
        <v>3</v>
      </c>
      <c r="E1856">
        <v>0</v>
      </c>
      <c r="F1856">
        <v>-0.29759990851440293</v>
      </c>
      <c r="G1856">
        <v>-0.18277777116965266</v>
      </c>
      <c r="H1856">
        <v>-0.16011971640266856</v>
      </c>
    </row>
    <row r="1857" spans="2:8">
      <c r="B1857">
        <v>1</v>
      </c>
      <c r="C1857">
        <v>102</v>
      </c>
      <c r="D1857">
        <v>1</v>
      </c>
      <c r="E1857">
        <v>0</v>
      </c>
      <c r="F1857">
        <v>1.0877802611849204E-2</v>
      </c>
      <c r="G1857">
        <v>-6.5460501388355144E-2</v>
      </c>
      <c r="H1857">
        <v>-0.1184979456075215</v>
      </c>
    </row>
    <row r="1858" spans="2:8">
      <c r="B1858">
        <v>3</v>
      </c>
      <c r="C1858">
        <v>92.23681599999999</v>
      </c>
      <c r="D1858">
        <v>3</v>
      </c>
      <c r="E1858">
        <v>0</v>
      </c>
      <c r="F1858">
        <v>-0.11489764589648899</v>
      </c>
      <c r="G1858">
        <v>-0.20654593784274586</v>
      </c>
      <c r="H1858">
        <v>-0.3761169950241261</v>
      </c>
    </row>
    <row r="1859" spans="2:8">
      <c r="B1859">
        <v>3</v>
      </c>
      <c r="C1859">
        <v>106</v>
      </c>
      <c r="D1859">
        <v>3</v>
      </c>
      <c r="E1859">
        <v>0</v>
      </c>
      <c r="F1859">
        <v>-0.15275320705839271</v>
      </c>
      <c r="G1859">
        <v>-0.12693780588957657</v>
      </c>
      <c r="H1859">
        <v>1.1696663854816368E-2</v>
      </c>
    </row>
    <row r="1860" spans="2:8">
      <c r="B1860">
        <v>3</v>
      </c>
      <c r="C1860">
        <v>92.23681599999999</v>
      </c>
      <c r="D1860">
        <v>3</v>
      </c>
      <c r="E1860">
        <v>0</v>
      </c>
      <c r="F1860">
        <v>-0.32293353479107595</v>
      </c>
      <c r="G1860">
        <v>-0.2196877875949097</v>
      </c>
      <c r="H1860">
        <v>-3.6930076885368257E-2</v>
      </c>
    </row>
    <row r="1861" spans="2:8">
      <c r="B1861">
        <v>3</v>
      </c>
      <c r="C1861">
        <v>92.23681599999999</v>
      </c>
      <c r="D1861">
        <v>3</v>
      </c>
      <c r="E1861">
        <v>0</v>
      </c>
      <c r="F1861">
        <v>-7.6521336015863278E-2</v>
      </c>
      <c r="G1861">
        <v>4.5900486326568693E-2</v>
      </c>
      <c r="H1861">
        <v>-7.9558765635685563E-2</v>
      </c>
    </row>
    <row r="1862" spans="2:8">
      <c r="B1862">
        <v>3</v>
      </c>
      <c r="C1862">
        <v>92.23681599999999</v>
      </c>
      <c r="D1862">
        <v>2</v>
      </c>
      <c r="E1862">
        <v>0</v>
      </c>
      <c r="F1862">
        <v>-0.15801684678382349</v>
      </c>
      <c r="G1862">
        <v>-0.48245897000087579</v>
      </c>
      <c r="H1862">
        <v>-0.35231091468772269</v>
      </c>
    </row>
    <row r="1863" spans="2:8">
      <c r="B1863">
        <v>3</v>
      </c>
      <c r="C1863">
        <v>92.23681599999999</v>
      </c>
      <c r="D1863">
        <v>3</v>
      </c>
      <c r="E1863">
        <v>0</v>
      </c>
      <c r="F1863">
        <v>-0.28006087987182987</v>
      </c>
      <c r="G1863">
        <v>-0.3327731670778542</v>
      </c>
      <c r="H1863">
        <v>-0.10257129157916536</v>
      </c>
    </row>
    <row r="1864" spans="2:8">
      <c r="B1864">
        <v>3</v>
      </c>
      <c r="C1864">
        <v>92.23681599999999</v>
      </c>
      <c r="D1864">
        <v>3</v>
      </c>
      <c r="E1864">
        <v>0</v>
      </c>
      <c r="F1864">
        <v>-0.11665108197710003</v>
      </c>
      <c r="G1864">
        <v>-0.20997266033978498</v>
      </c>
      <c r="H1864">
        <v>-0.38167245569383323</v>
      </c>
    </row>
    <row r="1865" spans="2:8">
      <c r="B1865">
        <v>3</v>
      </c>
      <c r="C1865">
        <v>106</v>
      </c>
      <c r="D1865">
        <v>3</v>
      </c>
      <c r="E1865">
        <v>0</v>
      </c>
      <c r="F1865">
        <v>-3.5182427538077966E-2</v>
      </c>
      <c r="G1865">
        <v>0.20391279817431648</v>
      </c>
      <c r="H1865">
        <v>0.1219390820197007</v>
      </c>
    </row>
    <row r="1866" spans="2:8">
      <c r="B1866">
        <v>3</v>
      </c>
      <c r="C1866">
        <v>40.664751429955956</v>
      </c>
      <c r="D1866">
        <v>1</v>
      </c>
      <c r="E1866">
        <v>0</v>
      </c>
      <c r="F1866">
        <v>-0.1803609702111246</v>
      </c>
      <c r="G1866">
        <v>-0.69377093575427351</v>
      </c>
      <c r="H1866">
        <v>-0.59335248570044041</v>
      </c>
    </row>
    <row r="1867" spans="2:8">
      <c r="B1867">
        <v>3</v>
      </c>
      <c r="C1867">
        <v>54.799780152242008</v>
      </c>
      <c r="D1867">
        <v>2</v>
      </c>
      <c r="E1867">
        <v>0</v>
      </c>
      <c r="F1867">
        <v>-0.18405414611845713</v>
      </c>
      <c r="G1867">
        <v>-0.18444291251598421</v>
      </c>
      <c r="H1867">
        <v>-0.45200219847757994</v>
      </c>
    </row>
    <row r="1868" spans="2:8">
      <c r="B1868">
        <v>1</v>
      </c>
      <c r="C1868">
        <v>102</v>
      </c>
      <c r="D1868">
        <v>1</v>
      </c>
      <c r="E1868">
        <v>0</v>
      </c>
      <c r="F1868">
        <v>0.22771280190457308</v>
      </c>
    </row>
    <row r="1869" spans="2:8">
      <c r="B1869">
        <v>1</v>
      </c>
      <c r="C1869">
        <v>102</v>
      </c>
      <c r="D1869">
        <v>1</v>
      </c>
      <c r="E1869">
        <v>0</v>
      </c>
      <c r="F1869">
        <v>2.9906733259299875E-2</v>
      </c>
      <c r="G1869">
        <v>-0.20418405702762918</v>
      </c>
      <c r="H1869">
        <v>-8.5265159931039627E-2</v>
      </c>
    </row>
    <row r="1870" spans="2:8">
      <c r="B1870">
        <v>3</v>
      </c>
      <c r="C1870">
        <v>42.22126509585383</v>
      </c>
      <c r="D1870">
        <v>2</v>
      </c>
      <c r="E1870">
        <v>0</v>
      </c>
      <c r="F1870">
        <v>-0.17594852012774473</v>
      </c>
      <c r="G1870">
        <v>-0.32397317369176454</v>
      </c>
      <c r="H1870">
        <v>-0.57778734904146167</v>
      </c>
    </row>
    <row r="1871" spans="2:8">
      <c r="B1871">
        <v>1</v>
      </c>
      <c r="C1871">
        <v>102</v>
      </c>
      <c r="D1871">
        <v>1</v>
      </c>
      <c r="E1871">
        <v>0</v>
      </c>
      <c r="F1871">
        <v>9.1259702172543471E-3</v>
      </c>
      <c r="G1871">
        <v>-3.5544524715227205E-2</v>
      </c>
      <c r="H1871">
        <v>-8.0010615234037658E-2</v>
      </c>
    </row>
    <row r="1872" spans="2:8">
      <c r="B1872">
        <v>1</v>
      </c>
      <c r="C1872">
        <v>102</v>
      </c>
      <c r="D1872">
        <v>1</v>
      </c>
      <c r="E1872">
        <v>0</v>
      </c>
      <c r="F1872">
        <v>0.14528325083649885</v>
      </c>
      <c r="G1872">
        <v>-5.9333719929586283E-3</v>
      </c>
      <c r="H1872">
        <v>0.15358472973074228</v>
      </c>
    </row>
    <row r="1873" spans="2:8">
      <c r="B1873">
        <v>3</v>
      </c>
      <c r="C1873">
        <v>46.193807060568538</v>
      </c>
      <c r="D1873">
        <v>2</v>
      </c>
      <c r="E1873">
        <v>0</v>
      </c>
      <c r="F1873">
        <v>-0.2071760751002539</v>
      </c>
      <c r="G1873">
        <v>-0.22368898100506215</v>
      </c>
      <c r="H1873">
        <v>-0.53806192939431463</v>
      </c>
    </row>
    <row r="1874" spans="2:8">
      <c r="B1874">
        <v>1</v>
      </c>
      <c r="C1874">
        <v>102</v>
      </c>
      <c r="D1874">
        <v>1</v>
      </c>
      <c r="E1874">
        <v>0</v>
      </c>
      <c r="F1874">
        <v>8.813187485732589E-2</v>
      </c>
    </row>
    <row r="1875" spans="2:8">
      <c r="B1875">
        <v>3</v>
      </c>
      <c r="C1875">
        <v>39.876251274012553</v>
      </c>
      <c r="D1875">
        <v>2</v>
      </c>
      <c r="E1875">
        <v>0</v>
      </c>
      <c r="F1875">
        <v>-0.22144541105938312</v>
      </c>
      <c r="G1875">
        <v>-0.24669816875279083</v>
      </c>
      <c r="H1875">
        <v>-0.60123748725987447</v>
      </c>
    </row>
    <row r="1876" spans="2:8">
      <c r="B1876">
        <v>1</v>
      </c>
      <c r="C1876">
        <v>102</v>
      </c>
      <c r="D1876">
        <v>1</v>
      </c>
      <c r="E1876">
        <v>0</v>
      </c>
      <c r="F1876">
        <v>0.13113245602815402</v>
      </c>
      <c r="G1876">
        <v>-0.17533594759208698</v>
      </c>
      <c r="H1876">
        <v>-0.19821460622419632</v>
      </c>
    </row>
    <row r="1877" spans="2:8">
      <c r="B1877">
        <v>1</v>
      </c>
      <c r="C1877">
        <v>102</v>
      </c>
      <c r="D1877">
        <v>1</v>
      </c>
      <c r="E1877">
        <v>0</v>
      </c>
      <c r="F1877">
        <v>0.21610887055075806</v>
      </c>
      <c r="G1877">
        <v>-0.31853928595430353</v>
      </c>
      <c r="H1877">
        <v>-0.2646162663558122</v>
      </c>
    </row>
    <row r="1878" spans="2:8">
      <c r="B1878">
        <v>3</v>
      </c>
      <c r="C1878">
        <v>92.23681599999999</v>
      </c>
      <c r="D1878">
        <v>3</v>
      </c>
      <c r="E1878">
        <v>0</v>
      </c>
      <c r="F1878">
        <v>-7.2197913755024351E-2</v>
      </c>
      <c r="G1878">
        <v>-0.12224856111277504</v>
      </c>
      <c r="H1878">
        <v>-0.24298840902715391</v>
      </c>
    </row>
    <row r="1879" spans="2:8">
      <c r="B1879">
        <v>3</v>
      </c>
      <c r="C1879">
        <v>92.23681599999999</v>
      </c>
      <c r="D1879">
        <v>3</v>
      </c>
      <c r="E1879">
        <v>0</v>
      </c>
      <c r="F1879">
        <v>-0.17455508862201377</v>
      </c>
      <c r="G1879">
        <v>-0.16755914024527982</v>
      </c>
      <c r="H1879">
        <v>-6.022573580193457E-2</v>
      </c>
    </row>
    <row r="1880" spans="2:8">
      <c r="B1880">
        <v>3</v>
      </c>
      <c r="C1880">
        <v>92.23681599999999</v>
      </c>
      <c r="D1880">
        <v>3</v>
      </c>
      <c r="E1880">
        <v>0</v>
      </c>
      <c r="F1880">
        <v>-0.20298725717975499</v>
      </c>
      <c r="G1880">
        <v>3.078978514528067E-2</v>
      </c>
      <c r="H1880">
        <v>-0.27393138195551003</v>
      </c>
    </row>
    <row r="1881" spans="2:8">
      <c r="B1881">
        <v>3</v>
      </c>
      <c r="C1881">
        <v>92.23681599999999</v>
      </c>
      <c r="D1881">
        <v>3</v>
      </c>
      <c r="E1881">
        <v>0</v>
      </c>
      <c r="F1881">
        <v>-0.30656548295987207</v>
      </c>
      <c r="G1881">
        <v>-0.36784960702804853</v>
      </c>
      <c r="H1881">
        <v>-0.17162679716940962</v>
      </c>
    </row>
    <row r="1882" spans="2:8">
      <c r="B1882">
        <v>3</v>
      </c>
      <c r="C1882">
        <v>92.23681599999999</v>
      </c>
      <c r="D1882">
        <v>3</v>
      </c>
      <c r="E1882">
        <v>0</v>
      </c>
      <c r="F1882">
        <v>-8.9609977894768308E-2</v>
      </c>
      <c r="G1882">
        <v>-0.15681603562391708</v>
      </c>
      <c r="H1882">
        <v>-0.29684378920111187</v>
      </c>
    </row>
    <row r="1883" spans="2:8">
      <c r="B1883">
        <v>3</v>
      </c>
      <c r="C1883">
        <v>92.23681599999999</v>
      </c>
      <c r="D1883">
        <v>3</v>
      </c>
      <c r="E1883">
        <v>0</v>
      </c>
      <c r="F1883">
        <v>-0.11377842241216628</v>
      </c>
      <c r="G1883">
        <v>-4.6336940070288823E-2</v>
      </c>
      <c r="H1883">
        <v>-0.21455526534041922</v>
      </c>
    </row>
    <row r="1884" spans="2:8">
      <c r="B1884">
        <v>1</v>
      </c>
      <c r="C1884">
        <v>102</v>
      </c>
      <c r="D1884">
        <v>1</v>
      </c>
      <c r="E1884">
        <v>0</v>
      </c>
      <c r="F1884">
        <v>7.5917907936591353E-2</v>
      </c>
    </row>
    <row r="1885" spans="2:8">
      <c r="B1885">
        <v>3</v>
      </c>
      <c r="C1885">
        <v>55.590335022269507</v>
      </c>
      <c r="D1885">
        <v>2</v>
      </c>
      <c r="E1885">
        <v>0</v>
      </c>
      <c r="F1885">
        <v>-0.18179476217071439</v>
      </c>
      <c r="G1885">
        <v>-0.18046908717208116</v>
      </c>
      <c r="H1885">
        <v>-0.44409664977730495</v>
      </c>
    </row>
    <row r="1886" spans="2:8">
      <c r="B1886">
        <v>1</v>
      </c>
      <c r="C1886">
        <v>102</v>
      </c>
      <c r="D1886">
        <v>1</v>
      </c>
      <c r="E1886">
        <v>0</v>
      </c>
      <c r="F1886">
        <v>2.3228989014179226E-2</v>
      </c>
      <c r="G1886">
        <v>-0.58745298515309385</v>
      </c>
      <c r="H1886">
        <v>-0.69911042502507958</v>
      </c>
    </row>
    <row r="1887" spans="2:8">
      <c r="B1887">
        <v>1</v>
      </c>
      <c r="C1887">
        <v>102</v>
      </c>
      <c r="D1887">
        <v>1</v>
      </c>
      <c r="E1887">
        <v>0</v>
      </c>
      <c r="F1887">
        <v>7.9629243585690609E-2</v>
      </c>
      <c r="G1887">
        <v>-0.44524654575851214</v>
      </c>
      <c r="H1887">
        <v>-0.42931692168476032</v>
      </c>
    </row>
    <row r="1888" spans="2:8">
      <c r="B1888">
        <v>1</v>
      </c>
      <c r="C1888">
        <v>102</v>
      </c>
      <c r="D1888">
        <v>1</v>
      </c>
      <c r="E1888">
        <v>0</v>
      </c>
      <c r="F1888">
        <v>4.1091563857021625E-2</v>
      </c>
      <c r="G1888">
        <v>-0.14504110428178743</v>
      </c>
      <c r="H1888">
        <v>-9.6409253653884128E-2</v>
      </c>
    </row>
    <row r="1889" spans="2:8">
      <c r="B1889">
        <v>1</v>
      </c>
      <c r="C1889">
        <v>102</v>
      </c>
      <c r="D1889">
        <v>1</v>
      </c>
      <c r="E1889">
        <v>0</v>
      </c>
      <c r="F1889">
        <v>0.20364067015902257</v>
      </c>
      <c r="G1889">
        <v>-0.27089248608141436</v>
      </c>
      <c r="H1889">
        <v>-0.1944842179146016</v>
      </c>
    </row>
    <row r="1890" spans="2:8">
      <c r="B1890">
        <v>3</v>
      </c>
      <c r="C1890">
        <v>39.901240578143636</v>
      </c>
      <c r="D1890">
        <v>0</v>
      </c>
      <c r="E1890">
        <v>0</v>
      </c>
      <c r="F1890">
        <v>-0.44641135381799757</v>
      </c>
      <c r="G1890">
        <v>-0.74517764108301243</v>
      </c>
      <c r="H1890">
        <v>-0.60098759421856363</v>
      </c>
    </row>
    <row r="1891" spans="2:8">
      <c r="B1891">
        <v>3</v>
      </c>
      <c r="C1891">
        <v>92.23681599999999</v>
      </c>
      <c r="D1891">
        <v>3</v>
      </c>
      <c r="E1891">
        <v>0</v>
      </c>
      <c r="F1891">
        <v>-0.14064191267829407</v>
      </c>
      <c r="G1891">
        <v>-0.10311458316729893</v>
      </c>
      <c r="H1891">
        <v>-0.30528209695721054</v>
      </c>
    </row>
    <row r="1892" spans="2:8">
      <c r="B1892">
        <v>1</v>
      </c>
      <c r="C1892">
        <v>102</v>
      </c>
      <c r="D1892">
        <v>1</v>
      </c>
      <c r="E1892">
        <v>0</v>
      </c>
      <c r="F1892">
        <v>3.2962905285958063E-2</v>
      </c>
      <c r="G1892">
        <v>-0.35666115626333417</v>
      </c>
      <c r="H1892">
        <v>-0.44864446856618984</v>
      </c>
    </row>
    <row r="1893" spans="2:8">
      <c r="B1893">
        <v>1</v>
      </c>
      <c r="C1893">
        <v>102</v>
      </c>
      <c r="D1893">
        <v>1</v>
      </c>
      <c r="E1893">
        <v>0</v>
      </c>
      <c r="F1893">
        <v>4.6227347173871697E-2</v>
      </c>
    </row>
    <row r="1894" spans="2:8">
      <c r="B1894">
        <v>1</v>
      </c>
      <c r="C1894">
        <v>102</v>
      </c>
      <c r="D1894">
        <v>1</v>
      </c>
      <c r="E1894">
        <v>0</v>
      </c>
      <c r="F1894">
        <v>0.16521130724973301</v>
      </c>
    </row>
    <row r="1895" spans="2:8">
      <c r="B1895">
        <v>3</v>
      </c>
      <c r="C1895">
        <v>106</v>
      </c>
      <c r="D1895">
        <v>3</v>
      </c>
      <c r="E1895">
        <v>0</v>
      </c>
      <c r="F1895">
        <v>-0.25498426597929252</v>
      </c>
      <c r="G1895">
        <v>-0.29749961757931187</v>
      </c>
      <c r="H1895">
        <v>5.4645635761746509E-3</v>
      </c>
    </row>
    <row r="1896" spans="2:8">
      <c r="B1896">
        <v>3</v>
      </c>
      <c r="C1896">
        <v>92.23681599999999</v>
      </c>
      <c r="D1896">
        <v>1</v>
      </c>
      <c r="E1896">
        <v>0</v>
      </c>
      <c r="F1896">
        <v>-0.49433266959900762</v>
      </c>
      <c r="G1896">
        <v>-0.41666252670065551</v>
      </c>
      <c r="H1896">
        <v>-0.27588663931389046</v>
      </c>
    </row>
    <row r="1897" spans="2:8">
      <c r="B1897">
        <v>3</v>
      </c>
      <c r="C1897">
        <v>106</v>
      </c>
      <c r="D1897">
        <v>3</v>
      </c>
      <c r="E1897">
        <v>0</v>
      </c>
      <c r="F1897">
        <v>-2.4887873049293123E-2</v>
      </c>
      <c r="G1897">
        <v>0.30298716103659867</v>
      </c>
      <c r="H1897">
        <v>0.23132169275045245</v>
      </c>
    </row>
    <row r="1898" spans="2:8">
      <c r="B1898">
        <v>1</v>
      </c>
      <c r="C1898">
        <v>102</v>
      </c>
      <c r="D1898">
        <v>1</v>
      </c>
      <c r="E1898">
        <v>0</v>
      </c>
      <c r="F1898">
        <v>0.1280280792449614</v>
      </c>
      <c r="G1898">
        <v>-0.15621406246873668</v>
      </c>
      <c r="H1898">
        <v>-0.17032592028805671</v>
      </c>
    </row>
    <row r="1899" spans="2:8">
      <c r="B1899">
        <v>3</v>
      </c>
      <c r="C1899">
        <v>59.552252942746442</v>
      </c>
      <c r="D1899">
        <v>2</v>
      </c>
      <c r="E1899">
        <v>0</v>
      </c>
      <c r="F1899">
        <v>-0.17026238303543337</v>
      </c>
      <c r="G1899">
        <v>-0.15977340839343354</v>
      </c>
      <c r="H1899">
        <v>-0.40447747057253558</v>
      </c>
    </row>
    <row r="1900" spans="2:8">
      <c r="B1900">
        <v>3</v>
      </c>
      <c r="C1900">
        <v>92.23681599999999</v>
      </c>
      <c r="D1900">
        <v>3</v>
      </c>
      <c r="E1900">
        <v>0</v>
      </c>
      <c r="F1900">
        <v>-4.5116362310779704E-3</v>
      </c>
      <c r="G1900">
        <v>-9.4490890860030888E-2</v>
      </c>
      <c r="H1900">
        <v>-0.14631507643449435</v>
      </c>
    </row>
    <row r="1901" spans="2:8">
      <c r="B1901">
        <v>1</v>
      </c>
      <c r="C1901">
        <v>102</v>
      </c>
      <c r="D1901">
        <v>1</v>
      </c>
      <c r="E1901">
        <v>0</v>
      </c>
      <c r="F1901">
        <v>0.30927442449053444</v>
      </c>
    </row>
    <row r="1902" spans="2:8">
      <c r="B1902">
        <v>1</v>
      </c>
      <c r="C1902">
        <v>102</v>
      </c>
      <c r="D1902">
        <v>1</v>
      </c>
      <c r="E1902">
        <v>0</v>
      </c>
      <c r="F1902">
        <v>0.13430762472609761</v>
      </c>
      <c r="G1902">
        <v>-0.19480586607832484</v>
      </c>
      <c r="H1902">
        <v>-0.22636263444583463</v>
      </c>
    </row>
    <row r="1903" spans="2:8">
      <c r="B1903">
        <v>1</v>
      </c>
      <c r="C1903">
        <v>102</v>
      </c>
      <c r="D1903">
        <v>1</v>
      </c>
      <c r="E1903">
        <v>0</v>
      </c>
      <c r="F1903">
        <v>2.0263165903092496E-2</v>
      </c>
      <c r="G1903">
        <v>-0.24906146056211617</v>
      </c>
      <c r="H1903">
        <v>-0.16040656264051964</v>
      </c>
    </row>
    <row r="1904" spans="2:8">
      <c r="B1904">
        <v>3</v>
      </c>
      <c r="C1904">
        <v>53.110652985415285</v>
      </c>
      <c r="D1904">
        <v>2</v>
      </c>
      <c r="E1904">
        <v>0</v>
      </c>
      <c r="F1904">
        <v>-0.14375417883178057</v>
      </c>
      <c r="G1904">
        <v>-0.26255772603138783</v>
      </c>
      <c r="H1904">
        <v>-0.46889347014584715</v>
      </c>
    </row>
    <row r="1905" spans="2:8">
      <c r="B1905">
        <v>3</v>
      </c>
      <c r="C1905">
        <v>92.23681599999999</v>
      </c>
      <c r="D1905">
        <v>3</v>
      </c>
      <c r="E1905">
        <v>0</v>
      </c>
      <c r="F1905">
        <v>-6.9519168354821193E-2</v>
      </c>
      <c r="G1905">
        <v>6.614085143167775E-2</v>
      </c>
      <c r="H1905">
        <v>-5.1696675167869535E-2</v>
      </c>
    </row>
    <row r="1906" spans="2:8">
      <c r="B1906">
        <v>3</v>
      </c>
      <c r="C1906">
        <v>92.23681599999999</v>
      </c>
      <c r="D1906">
        <v>3</v>
      </c>
      <c r="E1906">
        <v>0</v>
      </c>
      <c r="F1906">
        <v>-6.5217139896961401E-2</v>
      </c>
      <c r="G1906">
        <v>-0.22167067142972482</v>
      </c>
      <c r="H1906">
        <v>-0.33488091102356654</v>
      </c>
    </row>
    <row r="1907" spans="2:8">
      <c r="B1907">
        <v>3</v>
      </c>
      <c r="C1907">
        <v>92.23681599999999</v>
      </c>
      <c r="D1907">
        <v>3</v>
      </c>
      <c r="E1907">
        <v>0</v>
      </c>
      <c r="F1907">
        <v>-7.8163040227235206E-2</v>
      </c>
      <c r="G1907">
        <v>4.1334974101139357E-2</v>
      </c>
      <c r="H1907">
        <v>-8.5927996433461648E-2</v>
      </c>
    </row>
    <row r="1908" spans="2:8">
      <c r="B1908">
        <v>3</v>
      </c>
      <c r="C1908">
        <v>92.23681599999999</v>
      </c>
      <c r="D1908">
        <v>3</v>
      </c>
      <c r="E1908">
        <v>0</v>
      </c>
      <c r="F1908">
        <v>-3.9486216600087928E-2</v>
      </c>
      <c r="G1908">
        <v>-0.16593169444903835</v>
      </c>
      <c r="H1908">
        <v>-0.25227300345110198</v>
      </c>
    </row>
    <row r="1909" spans="2:8">
      <c r="B1909">
        <v>3</v>
      </c>
      <c r="C1909">
        <v>92.23681599999999</v>
      </c>
      <c r="D1909">
        <v>3</v>
      </c>
      <c r="E1909">
        <v>0</v>
      </c>
      <c r="F1909">
        <v>-0.16339702740739304</v>
      </c>
      <c r="G1909">
        <v>-0.14711074475623395</v>
      </c>
      <c r="H1909">
        <v>-2.4963668675991868E-2</v>
      </c>
    </row>
    <row r="1910" spans="2:8">
      <c r="B1910">
        <v>3</v>
      </c>
      <c r="C1910">
        <v>106</v>
      </c>
      <c r="D1910">
        <v>3</v>
      </c>
      <c r="E1910">
        <v>0</v>
      </c>
      <c r="F1910">
        <v>-0.24919867844722496</v>
      </c>
      <c r="G1910">
        <v>-9.7556135698056587E-2</v>
      </c>
      <c r="H1910">
        <v>0.2473662058321055</v>
      </c>
    </row>
    <row r="1911" spans="2:8">
      <c r="B1911">
        <v>3</v>
      </c>
      <c r="C1911">
        <v>92.23681599999999</v>
      </c>
      <c r="D1911">
        <v>3</v>
      </c>
      <c r="E1911">
        <v>0</v>
      </c>
      <c r="F1911">
        <v>-0.16134507673078527</v>
      </c>
      <c r="G1911">
        <v>-0.14327410145586866</v>
      </c>
      <c r="H1911">
        <v>-0.37440616820481198</v>
      </c>
    </row>
    <row r="1912" spans="2:8">
      <c r="B1912">
        <v>1</v>
      </c>
      <c r="C1912">
        <v>102</v>
      </c>
      <c r="D1912">
        <v>1</v>
      </c>
      <c r="E1912">
        <v>0</v>
      </c>
      <c r="F1912">
        <v>0.10122749541529311</v>
      </c>
      <c r="G1912">
        <v>-0.38248452158564122</v>
      </c>
      <c r="H1912">
        <v>-0.56156045525272058</v>
      </c>
    </row>
    <row r="1913" spans="2:8">
      <c r="B1913">
        <v>3</v>
      </c>
      <c r="C1913">
        <v>92.23681599999999</v>
      </c>
      <c r="D1913">
        <v>3</v>
      </c>
      <c r="E1913">
        <v>0</v>
      </c>
      <c r="F1913">
        <v>-0.27569348181286224</v>
      </c>
      <c r="G1913">
        <v>-0.32678340036047426</v>
      </c>
      <c r="H1913">
        <v>-8.8481526390154663E-2</v>
      </c>
    </row>
    <row r="1914" spans="2:8">
      <c r="B1914">
        <v>3</v>
      </c>
      <c r="C1914">
        <v>106</v>
      </c>
      <c r="D1914">
        <v>3</v>
      </c>
      <c r="E1914">
        <v>0</v>
      </c>
      <c r="F1914">
        <v>-0.29249137014805698</v>
      </c>
      <c r="G1914">
        <v>-0.17483634787306412</v>
      </c>
      <c r="H1914">
        <v>3.6888755130376497E-2</v>
      </c>
    </row>
    <row r="1915" spans="2:8">
      <c r="B1915">
        <v>3</v>
      </c>
      <c r="C1915">
        <v>92.23681599999999</v>
      </c>
      <c r="D1915">
        <v>3</v>
      </c>
      <c r="E1915">
        <v>0</v>
      </c>
      <c r="F1915">
        <v>-0.10295081415473056</v>
      </c>
      <c r="G1915">
        <v>-2.1535492283841006E-2</v>
      </c>
      <c r="H1915">
        <v>-0.17689554193202861</v>
      </c>
    </row>
    <row r="1916" spans="2:8">
      <c r="B1916">
        <v>3</v>
      </c>
      <c r="C1916">
        <v>92.23681599999999</v>
      </c>
      <c r="D1916">
        <v>3</v>
      </c>
      <c r="E1916">
        <v>0</v>
      </c>
      <c r="F1916">
        <v>-7.3833392873515341E-2</v>
      </c>
      <c r="G1916">
        <v>-0.24110088747080005</v>
      </c>
      <c r="H1916">
        <v>-0.36362084351259005</v>
      </c>
    </row>
    <row r="1917" spans="2:8">
      <c r="B1917">
        <v>3</v>
      </c>
      <c r="C1917">
        <v>106</v>
      </c>
      <c r="D1917">
        <v>3</v>
      </c>
      <c r="E1917">
        <v>0</v>
      </c>
      <c r="F1917">
        <v>-5.2352802489923661E-2</v>
      </c>
      <c r="G1917">
        <v>0.12323104259132887</v>
      </c>
      <c r="H1917">
        <v>2.3620905940501927E-2</v>
      </c>
    </row>
    <row r="1918" spans="2:8">
      <c r="B1918">
        <v>3</v>
      </c>
      <c r="C1918">
        <v>47.494231101509342</v>
      </c>
      <c r="D1918">
        <v>2</v>
      </c>
      <c r="E1918">
        <v>0</v>
      </c>
      <c r="F1918">
        <v>-0.11841223256434012</v>
      </c>
      <c r="G1918">
        <v>-0.35120787931821768</v>
      </c>
      <c r="H1918">
        <v>-0.52505768898490657</v>
      </c>
    </row>
    <row r="1919" spans="2:8">
      <c r="B1919">
        <v>1</v>
      </c>
      <c r="C1919">
        <v>102</v>
      </c>
      <c r="D1919">
        <v>1</v>
      </c>
      <c r="E1919">
        <v>0</v>
      </c>
      <c r="F1919">
        <v>9.4556353273971355E-2</v>
      </c>
    </row>
    <row r="1920" spans="2:8">
      <c r="B1920">
        <v>3</v>
      </c>
      <c r="C1920">
        <v>92.23681599999999</v>
      </c>
      <c r="D1920">
        <v>2</v>
      </c>
      <c r="E1920">
        <v>0</v>
      </c>
      <c r="F1920">
        <v>-0.24579455070956707</v>
      </c>
      <c r="G1920">
        <v>-0.45189090190561454</v>
      </c>
      <c r="H1920">
        <v>-5.4001701258839879E-2</v>
      </c>
    </row>
    <row r="1921" spans="2:8">
      <c r="B1921">
        <v>3</v>
      </c>
      <c r="C1921">
        <v>92.23681599999999</v>
      </c>
      <c r="D1921">
        <v>3</v>
      </c>
      <c r="E1921">
        <v>0</v>
      </c>
      <c r="F1921">
        <v>0.25023585262311615</v>
      </c>
      <c r="G1921">
        <v>-0.24503806197937764</v>
      </c>
      <c r="H1921">
        <v>-0.15397028572028859</v>
      </c>
    </row>
    <row r="1922" spans="2:8">
      <c r="B1922">
        <v>1</v>
      </c>
      <c r="C1922">
        <v>97.960799999999992</v>
      </c>
      <c r="D1922">
        <v>1</v>
      </c>
      <c r="E1922">
        <v>0</v>
      </c>
      <c r="F1922">
        <v>0.25996316906334932</v>
      </c>
    </row>
    <row r="1923" spans="2:8">
      <c r="B1923">
        <v>1</v>
      </c>
      <c r="C1923">
        <v>97.960799999999992</v>
      </c>
      <c r="D1923">
        <v>1</v>
      </c>
      <c r="E1923">
        <v>0</v>
      </c>
      <c r="F1923">
        <v>9.5306888245736729E-2</v>
      </c>
    </row>
    <row r="1924" spans="2:8">
      <c r="B1924">
        <v>1</v>
      </c>
      <c r="C1924">
        <v>102</v>
      </c>
      <c r="D1924">
        <v>1</v>
      </c>
      <c r="E1924">
        <v>0</v>
      </c>
      <c r="F1924">
        <v>5.4092648252245336E-2</v>
      </c>
    </row>
    <row r="1925" spans="2:8">
      <c r="B1925">
        <v>1</v>
      </c>
      <c r="C1925">
        <v>102</v>
      </c>
      <c r="D1925">
        <v>1</v>
      </c>
      <c r="E1925">
        <v>0</v>
      </c>
      <c r="F1925">
        <v>0.25323241604636132</v>
      </c>
    </row>
    <row r="1926" spans="2:8">
      <c r="B1926">
        <v>1</v>
      </c>
      <c r="C1926">
        <v>102</v>
      </c>
      <c r="D1926">
        <v>1</v>
      </c>
      <c r="E1926">
        <v>0</v>
      </c>
      <c r="F1926">
        <v>-0.13699870133181932</v>
      </c>
      <c r="G1926">
        <v>-0.24952052815246936</v>
      </c>
      <c r="H1926">
        <v>-0.25644080936724128</v>
      </c>
    </row>
    <row r="1927" spans="2:8">
      <c r="B1927">
        <v>3</v>
      </c>
      <c r="C1927">
        <v>92.23681599999999</v>
      </c>
      <c r="D1927">
        <v>3</v>
      </c>
      <c r="E1927">
        <v>0</v>
      </c>
      <c r="F1927">
        <v>-1.8965644672302991E-2</v>
      </c>
      <c r="G1927">
        <v>-0.1690464553719615</v>
      </c>
      <c r="H1927">
        <v>-1.9440498642570071E-2</v>
      </c>
    </row>
    <row r="1928" spans="2:8">
      <c r="B1928">
        <v>1</v>
      </c>
      <c r="C1928">
        <v>97.960799999999992</v>
      </c>
      <c r="D1928">
        <v>1</v>
      </c>
      <c r="E1928">
        <v>0</v>
      </c>
      <c r="F1928">
        <v>0.37191023028088194</v>
      </c>
    </row>
    <row r="1929" spans="2:8">
      <c r="B1929">
        <v>1</v>
      </c>
      <c r="C1929">
        <v>102</v>
      </c>
      <c r="D1929">
        <v>1</v>
      </c>
      <c r="E1929">
        <v>0</v>
      </c>
      <c r="F1929">
        <v>5.9507057851274768E-2</v>
      </c>
    </row>
    <row r="1930" spans="2:8">
      <c r="B1930">
        <v>1</v>
      </c>
      <c r="C1930">
        <v>102</v>
      </c>
      <c r="D1930">
        <v>1</v>
      </c>
      <c r="E1930">
        <v>0</v>
      </c>
      <c r="F1930">
        <v>0.1960945187869248</v>
      </c>
    </row>
    <row r="1931" spans="2:8">
      <c r="B1931">
        <v>3</v>
      </c>
      <c r="C1931">
        <v>92.23681599999999</v>
      </c>
      <c r="D1931">
        <v>1</v>
      </c>
      <c r="E1931">
        <v>0</v>
      </c>
      <c r="F1931">
        <v>-9.5195437485632736E-2</v>
      </c>
      <c r="G1931">
        <v>-0.36934925848267119</v>
      </c>
      <c r="H1931">
        <v>-0.33409600199297618</v>
      </c>
    </row>
    <row r="1932" spans="2:8">
      <c r="B1932">
        <v>1</v>
      </c>
      <c r="C1932">
        <v>102</v>
      </c>
      <c r="D1932">
        <v>1</v>
      </c>
      <c r="E1932">
        <v>0</v>
      </c>
      <c r="F1932">
        <v>-0.13886837575261762</v>
      </c>
      <c r="G1932">
        <v>-0.253133576053513</v>
      </c>
      <c r="H1932">
        <v>-0.26174146662739012</v>
      </c>
    </row>
    <row r="1933" spans="2:8">
      <c r="B1933">
        <v>1</v>
      </c>
      <c r="C1933">
        <v>97.960799999999992</v>
      </c>
      <c r="D1933">
        <v>1</v>
      </c>
      <c r="E1933">
        <v>0</v>
      </c>
      <c r="F1933">
        <v>0.1210223467111107</v>
      </c>
    </row>
    <row r="1934" spans="2:8">
      <c r="B1934">
        <v>1</v>
      </c>
      <c r="C1934">
        <v>97.960799999999992</v>
      </c>
      <c r="D1934">
        <v>1</v>
      </c>
      <c r="E1934">
        <v>0</v>
      </c>
      <c r="F1934">
        <v>0.14990836628833193</v>
      </c>
    </row>
    <row r="1935" spans="2:8">
      <c r="B1935">
        <v>3</v>
      </c>
      <c r="C1935">
        <v>92.23681599999999</v>
      </c>
      <c r="D1935">
        <v>3</v>
      </c>
      <c r="E1935">
        <v>0</v>
      </c>
      <c r="F1935">
        <v>-4.32893183356165E-2</v>
      </c>
      <c r="G1935">
        <v>-0.22427308832390982</v>
      </c>
      <c r="H1935">
        <v>-0.11987516285732984</v>
      </c>
    </row>
    <row r="1936" spans="2:8">
      <c r="B1936">
        <v>1</v>
      </c>
      <c r="C1936">
        <v>102</v>
      </c>
      <c r="D1936">
        <v>1</v>
      </c>
      <c r="E1936">
        <v>0</v>
      </c>
      <c r="F1936">
        <v>0.16238370716244729</v>
      </c>
    </row>
    <row r="1937" spans="2:8">
      <c r="B1937">
        <v>3</v>
      </c>
      <c r="C1937">
        <v>47.79249101768162</v>
      </c>
      <c r="D1937">
        <v>0</v>
      </c>
      <c r="E1937">
        <v>0</v>
      </c>
      <c r="F1937">
        <v>-0.40079765805553103</v>
      </c>
      <c r="G1937">
        <v>-0.36835630787459106</v>
      </c>
      <c r="H1937">
        <v>-0.49221316141996929</v>
      </c>
    </row>
    <row r="1938" spans="2:8">
      <c r="B1938">
        <v>3</v>
      </c>
      <c r="C1938">
        <v>53.017485353914545</v>
      </c>
      <c r="D1938">
        <v>1</v>
      </c>
      <c r="E1938">
        <v>0</v>
      </c>
      <c r="F1938">
        <v>-0.20475611212201042</v>
      </c>
      <c r="G1938">
        <v>-0.37775328140550812</v>
      </c>
      <c r="H1938">
        <v>-0.43669851258920023</v>
      </c>
    </row>
    <row r="1939" spans="2:8">
      <c r="B1939">
        <v>1</v>
      </c>
      <c r="C1939">
        <v>97.960799999999992</v>
      </c>
      <c r="D1939">
        <v>1</v>
      </c>
      <c r="E1939">
        <v>0</v>
      </c>
      <c r="F1939">
        <v>0.2436972770907406</v>
      </c>
    </row>
    <row r="1940" spans="2:8">
      <c r="B1940">
        <v>3</v>
      </c>
      <c r="C1940">
        <v>97.771024959999991</v>
      </c>
      <c r="D1940">
        <v>3</v>
      </c>
      <c r="E1940">
        <v>0</v>
      </c>
      <c r="F1940">
        <v>-2.1682245172402567E-2</v>
      </c>
      <c r="G1940">
        <v>0.12844151176683286</v>
      </c>
      <c r="H1940">
        <v>0.27226092509624189</v>
      </c>
    </row>
    <row r="1941" spans="2:8">
      <c r="B1941">
        <v>1</v>
      </c>
      <c r="C1941">
        <v>97.960799999999992</v>
      </c>
      <c r="D1941">
        <v>1</v>
      </c>
      <c r="E1941">
        <v>0</v>
      </c>
      <c r="F1941">
        <v>5.5394649232385171E-2</v>
      </c>
    </row>
    <row r="1942" spans="2:8">
      <c r="B1942">
        <v>1</v>
      </c>
      <c r="C1942">
        <v>97.960799999999992</v>
      </c>
      <c r="D1942">
        <v>1</v>
      </c>
      <c r="E1942">
        <v>0</v>
      </c>
      <c r="F1942">
        <v>6.0839837910115928E-2</v>
      </c>
    </row>
    <row r="1943" spans="2:8">
      <c r="B1943">
        <v>1</v>
      </c>
      <c r="C1943">
        <v>97.960799999999992</v>
      </c>
      <c r="D1943">
        <v>1</v>
      </c>
      <c r="E1943">
        <v>0</v>
      </c>
      <c r="F1943">
        <v>4.4860507110851121E-2</v>
      </c>
    </row>
    <row r="1944" spans="2:8">
      <c r="B1944">
        <v>1</v>
      </c>
      <c r="C1944">
        <v>102</v>
      </c>
      <c r="D1944">
        <v>1</v>
      </c>
      <c r="E1944">
        <v>0</v>
      </c>
      <c r="F1944">
        <v>9.6908361882757491E-2</v>
      </c>
    </row>
    <row r="1945" spans="2:8">
      <c r="B1945">
        <v>3</v>
      </c>
      <c r="C1945">
        <v>97.771024959999991</v>
      </c>
      <c r="D1945">
        <v>3</v>
      </c>
      <c r="E1945">
        <v>0</v>
      </c>
      <c r="F1945">
        <v>-0.15019700647099532</v>
      </c>
      <c r="G1945">
        <v>7.5438625273055185E-2</v>
      </c>
      <c r="H1945">
        <v>5.693053326490579E-2</v>
      </c>
    </row>
    <row r="1946" spans="2:8">
      <c r="B1946">
        <v>3</v>
      </c>
      <c r="C1946">
        <v>92.23681599999999</v>
      </c>
      <c r="D1946">
        <v>3</v>
      </c>
      <c r="E1946">
        <v>0</v>
      </c>
      <c r="F1946">
        <v>-9.2444524353554186E-2</v>
      </c>
      <c r="G1946">
        <v>-0.16241857507361901</v>
      </c>
      <c r="H1946">
        <v>-0.1240529283193261</v>
      </c>
    </row>
    <row r="1947" spans="2:8">
      <c r="B1947">
        <v>3</v>
      </c>
      <c r="C1947">
        <v>92.23681599999999</v>
      </c>
      <c r="D1947">
        <v>3</v>
      </c>
      <c r="E1947">
        <v>0</v>
      </c>
      <c r="F1947">
        <v>-3.6320799321834012E-2</v>
      </c>
      <c r="G1947">
        <v>-0.20794379035109309</v>
      </c>
      <c r="H1947">
        <v>-9.188136912606619E-2</v>
      </c>
    </row>
    <row r="1948" spans="2:8">
      <c r="B1948">
        <v>3</v>
      </c>
      <c r="C1948">
        <v>33.786569646479172</v>
      </c>
      <c r="D1948">
        <v>1</v>
      </c>
      <c r="E1948">
        <v>0</v>
      </c>
      <c r="F1948">
        <v>-0.23738176099037128</v>
      </c>
      <c r="G1948">
        <v>-0.43696875928356854</v>
      </c>
      <c r="H1948">
        <v>-0.6410236206164186</v>
      </c>
    </row>
    <row r="1949" spans="2:8">
      <c r="B1949">
        <v>3</v>
      </c>
      <c r="C1949">
        <v>92.23681599999999</v>
      </c>
      <c r="D1949">
        <v>1</v>
      </c>
      <c r="E1949">
        <v>0</v>
      </c>
      <c r="F1949">
        <v>-0.10414144509277833</v>
      </c>
      <c r="G1949">
        <v>-0.40321103973815398</v>
      </c>
      <c r="H1949">
        <v>-0.37776219401644229</v>
      </c>
    </row>
    <row r="1950" spans="2:8">
      <c r="B1950">
        <v>3</v>
      </c>
      <c r="C1950">
        <v>92.23681599999999</v>
      </c>
      <c r="D1950">
        <v>3</v>
      </c>
      <c r="E1950">
        <v>0</v>
      </c>
      <c r="F1950">
        <v>-0.11040172251206937</v>
      </c>
      <c r="G1950">
        <v>-0.19774654405175274</v>
      </c>
      <c r="H1950">
        <v>-0.17888730875661421</v>
      </c>
    </row>
    <row r="1951" spans="2:8">
      <c r="B1951">
        <v>1</v>
      </c>
      <c r="C1951">
        <v>102</v>
      </c>
      <c r="D1951">
        <v>1</v>
      </c>
      <c r="E1951">
        <v>0</v>
      </c>
      <c r="F1951">
        <v>1.7220067092953782E-2</v>
      </c>
    </row>
    <row r="1952" spans="2:8">
      <c r="B1952">
        <v>1</v>
      </c>
      <c r="C1952">
        <v>97.960799999999992</v>
      </c>
      <c r="D1952">
        <v>1</v>
      </c>
      <c r="E1952">
        <v>0</v>
      </c>
      <c r="F1952">
        <v>5.0071881662689187E-2</v>
      </c>
    </row>
    <row r="1953" spans="2:8">
      <c r="B1953">
        <v>1</v>
      </c>
      <c r="C1953">
        <v>97.960799999999992</v>
      </c>
      <c r="D1953">
        <v>1</v>
      </c>
      <c r="E1953">
        <v>0</v>
      </c>
      <c r="F1953">
        <v>7.804214027361242E-2</v>
      </c>
    </row>
    <row r="1954" spans="2:8">
      <c r="B1954">
        <v>1</v>
      </c>
      <c r="C1954">
        <v>102</v>
      </c>
      <c r="D1954">
        <v>1</v>
      </c>
      <c r="E1954">
        <v>0</v>
      </c>
      <c r="F1954">
        <v>1.6080636093709643E-3</v>
      </c>
    </row>
    <row r="1955" spans="2:8">
      <c r="B1955">
        <v>1</v>
      </c>
      <c r="C1955">
        <v>102</v>
      </c>
      <c r="D1955">
        <v>1</v>
      </c>
      <c r="E1955">
        <v>0</v>
      </c>
      <c r="F1955">
        <v>-0.24598696618679156</v>
      </c>
      <c r="G1955">
        <v>-0.16322217290226468</v>
      </c>
      <c r="H1955">
        <v>-0.37411666983891628</v>
      </c>
    </row>
    <row r="1956" spans="2:8">
      <c r="B1956">
        <v>3</v>
      </c>
      <c r="C1956">
        <v>92.23681599999999</v>
      </c>
      <c r="D1956">
        <v>3</v>
      </c>
      <c r="E1956">
        <v>0</v>
      </c>
      <c r="F1956">
        <v>-9.0773489155798151E-2</v>
      </c>
      <c r="G1956">
        <v>-4.7045775719004819E-2</v>
      </c>
      <c r="H1956">
        <v>-6.7659886374782418E-3</v>
      </c>
    </row>
    <row r="1957" spans="2:8">
      <c r="B1957">
        <v>1</v>
      </c>
      <c r="C1957">
        <v>102</v>
      </c>
      <c r="D1957">
        <v>1</v>
      </c>
      <c r="E1957">
        <v>0</v>
      </c>
      <c r="F1957">
        <v>-0.15413338889641931</v>
      </c>
      <c r="G1957">
        <v>5.7820246079749192E-2</v>
      </c>
      <c r="H1957">
        <v>-7.3789874326418717E-2</v>
      </c>
    </row>
    <row r="1958" spans="2:8">
      <c r="B1958">
        <v>1</v>
      </c>
      <c r="C1958">
        <v>102</v>
      </c>
      <c r="D1958">
        <v>1</v>
      </c>
      <c r="E1958">
        <v>0</v>
      </c>
      <c r="F1958">
        <v>0.22259976428443515</v>
      </c>
    </row>
    <row r="1959" spans="2:8">
      <c r="B1959">
        <v>3</v>
      </c>
      <c r="C1959">
        <v>97.771024959999991</v>
      </c>
      <c r="D1959">
        <v>3</v>
      </c>
      <c r="E1959">
        <v>0</v>
      </c>
      <c r="F1959">
        <v>-8.466812924325438E-3</v>
      </c>
      <c r="G1959">
        <v>-0.14655045580775322</v>
      </c>
      <c r="H1959">
        <v>2.8137195879454738E-2</v>
      </c>
    </row>
    <row r="1960" spans="2:8">
      <c r="B1960">
        <v>1</v>
      </c>
      <c r="C1960">
        <v>102</v>
      </c>
      <c r="D1960">
        <v>1</v>
      </c>
      <c r="E1960">
        <v>0</v>
      </c>
      <c r="F1960">
        <v>1.0777366486394163E-2</v>
      </c>
    </row>
    <row r="1961" spans="2:8">
      <c r="B1961">
        <v>1</v>
      </c>
      <c r="C1961">
        <v>102</v>
      </c>
      <c r="D1961">
        <v>1</v>
      </c>
      <c r="E1961">
        <v>0</v>
      </c>
      <c r="F1961">
        <v>-0.31676917392168424</v>
      </c>
      <c r="G1961">
        <v>-0.26785323482062423</v>
      </c>
      <c r="H1961">
        <v>-0.52807549270717535</v>
      </c>
    </row>
    <row r="1962" spans="2:8">
      <c r="B1962">
        <v>3</v>
      </c>
      <c r="C1962">
        <v>97.771024959999991</v>
      </c>
      <c r="D1962">
        <v>3</v>
      </c>
      <c r="E1962">
        <v>0</v>
      </c>
      <c r="F1962">
        <v>-1.2901086434356999E-2</v>
      </c>
      <c r="G1962">
        <v>0.15803357033244306</v>
      </c>
      <c r="H1962">
        <v>0.32152666395355012</v>
      </c>
    </row>
    <row r="1963" spans="2:8">
      <c r="B1963">
        <v>1</v>
      </c>
      <c r="C1963">
        <v>97.960799999999992</v>
      </c>
      <c r="D1963">
        <v>1</v>
      </c>
      <c r="E1963">
        <v>0</v>
      </c>
      <c r="F1963">
        <v>2.4945197845702281E-2</v>
      </c>
    </row>
    <row r="1964" spans="2:8">
      <c r="B1964">
        <v>1</v>
      </c>
      <c r="C1964">
        <v>97.960799999999992</v>
      </c>
      <c r="D1964">
        <v>1</v>
      </c>
      <c r="E1964">
        <v>0</v>
      </c>
      <c r="F1964">
        <v>0.21572893663764772</v>
      </c>
    </row>
    <row r="1965" spans="2:8">
      <c r="B1965">
        <v>1</v>
      </c>
      <c r="C1965">
        <v>97.960799999999992</v>
      </c>
      <c r="D1965">
        <v>1</v>
      </c>
      <c r="E1965">
        <v>0</v>
      </c>
      <c r="F1965">
        <v>0.14069640540243994</v>
      </c>
    </row>
    <row r="1966" spans="2:8">
      <c r="B1966">
        <v>3</v>
      </c>
      <c r="C1966">
        <v>97.771024959999991</v>
      </c>
      <c r="D1966">
        <v>3</v>
      </c>
      <c r="E1966">
        <v>0</v>
      </c>
      <c r="F1966">
        <v>-3.0370891072521441E-2</v>
      </c>
      <c r="G1966">
        <v>0.10190175271038544</v>
      </c>
      <c r="H1966">
        <v>0.22863996873699483</v>
      </c>
    </row>
    <row r="1967" spans="2:8">
      <c r="B1967">
        <v>1</v>
      </c>
      <c r="C1967">
        <v>97.960799999999992</v>
      </c>
      <c r="D1967">
        <v>1</v>
      </c>
      <c r="E1967">
        <v>0</v>
      </c>
      <c r="F1967">
        <v>9.0399178780870018E-2</v>
      </c>
    </row>
    <row r="1968" spans="2:8">
      <c r="B1968">
        <v>3</v>
      </c>
      <c r="C1968">
        <v>92.23681599999999</v>
      </c>
      <c r="D1968">
        <v>3</v>
      </c>
      <c r="E1968">
        <v>0</v>
      </c>
      <c r="F1968">
        <v>-0.13514046789229953</v>
      </c>
      <c r="G1968">
        <v>-0.1373352646320605</v>
      </c>
      <c r="H1968">
        <v>-0.14256282788501912</v>
      </c>
    </row>
    <row r="1969" spans="2:8">
      <c r="B1969">
        <v>3</v>
      </c>
      <c r="C1969">
        <v>97.771024959999991</v>
      </c>
      <c r="D1969">
        <v>3</v>
      </c>
      <c r="E1969">
        <v>0</v>
      </c>
      <c r="F1969">
        <v>-0.13395602383296626</v>
      </c>
      <c r="G1969">
        <v>0.21225688154653743</v>
      </c>
      <c r="H1969">
        <v>0.20811636113478338</v>
      </c>
    </row>
    <row r="1970" spans="2:8">
      <c r="B1970">
        <v>1</v>
      </c>
      <c r="C1970">
        <v>97.960799999999992</v>
      </c>
      <c r="D1970">
        <v>1</v>
      </c>
      <c r="E1970">
        <v>0</v>
      </c>
      <c r="F1970">
        <v>9.9438967845525278E-2</v>
      </c>
    </row>
    <row r="1971" spans="2:8">
      <c r="B1971">
        <v>1</v>
      </c>
      <c r="C1971">
        <v>97.960799999999992</v>
      </c>
      <c r="D1971">
        <v>1</v>
      </c>
      <c r="E1971">
        <v>0</v>
      </c>
      <c r="F1971">
        <v>0.34408836989993191</v>
      </c>
    </row>
    <row r="1972" spans="2:8">
      <c r="B1972">
        <v>3</v>
      </c>
      <c r="C1972">
        <v>92.23681599999999</v>
      </c>
      <c r="D1972">
        <v>1</v>
      </c>
      <c r="E1972">
        <v>0</v>
      </c>
      <c r="F1972">
        <v>-0.16826799846938834</v>
      </c>
      <c r="G1972">
        <v>-0.30943644700482953</v>
      </c>
      <c r="H1972">
        <v>-0.34262870725524924</v>
      </c>
    </row>
    <row r="1973" spans="2:8">
      <c r="B1973">
        <v>1</v>
      </c>
      <c r="C1973">
        <v>97.960799999999992</v>
      </c>
      <c r="D1973">
        <v>1</v>
      </c>
      <c r="E1973">
        <v>0</v>
      </c>
      <c r="F1973">
        <v>6.8571063312504191E-2</v>
      </c>
    </row>
    <row r="1974" spans="2:8">
      <c r="B1974">
        <v>1</v>
      </c>
      <c r="C1974">
        <v>102</v>
      </c>
      <c r="D1974">
        <v>1</v>
      </c>
      <c r="E1974">
        <v>0</v>
      </c>
      <c r="F1974">
        <v>-0.21604494591184498</v>
      </c>
      <c r="G1974">
        <v>-0.27904723295380801</v>
      </c>
      <c r="H1974">
        <v>-0.34495122979212278</v>
      </c>
    </row>
    <row r="1975" spans="2:8">
      <c r="B1975">
        <v>1</v>
      </c>
      <c r="C1975">
        <v>97.960799999999992</v>
      </c>
      <c r="D1975">
        <v>1</v>
      </c>
      <c r="E1975">
        <v>0</v>
      </c>
      <c r="F1975">
        <v>5.7441758036362131E-2</v>
      </c>
    </row>
    <row r="1976" spans="2:8">
      <c r="B1976">
        <v>3</v>
      </c>
      <c r="C1976">
        <v>92.23681599999999</v>
      </c>
      <c r="D1976">
        <v>3</v>
      </c>
      <c r="E1976">
        <v>0</v>
      </c>
      <c r="F1976">
        <v>-0.17747713611908347</v>
      </c>
      <c r="G1976">
        <v>-0.21474525472140926</v>
      </c>
      <c r="H1976">
        <v>-0.25491833164044819</v>
      </c>
    </row>
    <row r="1977" spans="2:8">
      <c r="B1977">
        <v>3</v>
      </c>
      <c r="C1977">
        <v>92.23681599999999</v>
      </c>
      <c r="D1977">
        <v>3</v>
      </c>
      <c r="E1977">
        <v>0</v>
      </c>
      <c r="F1977">
        <v>-2.7680045721754667E-2</v>
      </c>
      <c r="G1977">
        <v>-0.18828724198183022</v>
      </c>
      <c r="H1977">
        <v>-5.6467103176255813E-2</v>
      </c>
    </row>
    <row r="1978" spans="2:8">
      <c r="B1978">
        <v>1</v>
      </c>
      <c r="C1978">
        <v>102</v>
      </c>
      <c r="D1978">
        <v>1</v>
      </c>
      <c r="E1978">
        <v>0</v>
      </c>
      <c r="F1978">
        <v>-0.30131800956946581</v>
      </c>
      <c r="G1978">
        <v>-0.54590243737130528</v>
      </c>
      <c r="H1978">
        <v>-0.79656471816328089</v>
      </c>
    </row>
    <row r="1979" spans="2:8">
      <c r="B1979">
        <v>1</v>
      </c>
      <c r="C1979">
        <v>102</v>
      </c>
      <c r="D1979">
        <v>1</v>
      </c>
      <c r="E1979">
        <v>0</v>
      </c>
      <c r="F1979">
        <v>-2.6036398532135061E-2</v>
      </c>
      <c r="G1979">
        <v>-0.18461561259361858</v>
      </c>
      <c r="H1979">
        <v>-4.9604235385582361E-2</v>
      </c>
    </row>
    <row r="1980" spans="2:8">
      <c r="B1980">
        <v>1</v>
      </c>
      <c r="C1980">
        <v>97.960799999999992</v>
      </c>
      <c r="D1980">
        <v>1</v>
      </c>
      <c r="E1980">
        <v>0</v>
      </c>
      <c r="F1980">
        <v>7.214862445423717E-2</v>
      </c>
    </row>
    <row r="1981" spans="2:8">
      <c r="B1981">
        <v>1</v>
      </c>
      <c r="C1981">
        <v>97.960799999999992</v>
      </c>
      <c r="D1981">
        <v>1</v>
      </c>
      <c r="E1981">
        <v>0</v>
      </c>
      <c r="F1981">
        <v>1.5439479863785192E-2</v>
      </c>
    </row>
    <row r="1982" spans="2:8">
      <c r="B1982">
        <v>3</v>
      </c>
      <c r="C1982">
        <v>2.7301007492613909</v>
      </c>
      <c r="D1982">
        <v>0</v>
      </c>
      <c r="E1982">
        <v>0</v>
      </c>
      <c r="F1982">
        <v>-0.39047071733762212</v>
      </c>
      <c r="G1982">
        <v>-0.6763759769280685</v>
      </c>
      <c r="H1982">
        <v>-0.97099315815198817</v>
      </c>
    </row>
    <row r="1983" spans="2:8">
      <c r="B1983">
        <v>1</v>
      </c>
      <c r="C1983">
        <v>97.960799999999992</v>
      </c>
      <c r="D1983">
        <v>1</v>
      </c>
      <c r="E1983">
        <v>0</v>
      </c>
      <c r="F1983">
        <v>2.8616022516593197E-2</v>
      </c>
    </row>
    <row r="1984" spans="2:8">
      <c r="B1984">
        <v>3</v>
      </c>
      <c r="C1984">
        <v>92.23681599999999</v>
      </c>
      <c r="D1984">
        <v>1</v>
      </c>
      <c r="E1984">
        <v>0</v>
      </c>
      <c r="F1984">
        <v>-0.23120336012869763</v>
      </c>
      <c r="G1984">
        <v>-0.30281016232850227</v>
      </c>
      <c r="H1984">
        <v>-0.37733439379545719</v>
      </c>
    </row>
    <row r="1985" spans="2:8">
      <c r="B1985">
        <v>1</v>
      </c>
      <c r="C1985">
        <v>97.960799999999992</v>
      </c>
      <c r="D1985">
        <v>1</v>
      </c>
      <c r="E1985">
        <v>0</v>
      </c>
      <c r="F1985">
        <v>9.2835917233642457E-2</v>
      </c>
    </row>
    <row r="1986" spans="2:8">
      <c r="B1986">
        <v>3</v>
      </c>
      <c r="C1986">
        <v>37.630568862616371</v>
      </c>
      <c r="D1986">
        <v>0</v>
      </c>
      <c r="E1986">
        <v>0</v>
      </c>
      <c r="F1986">
        <v>-0.3650080532723663</v>
      </c>
      <c r="G1986">
        <v>-0.48102396736522768</v>
      </c>
      <c r="H1986">
        <v>-0.60018180283495426</v>
      </c>
    </row>
    <row r="1987" spans="2:8">
      <c r="B1987">
        <v>1</v>
      </c>
      <c r="C1987">
        <v>102</v>
      </c>
      <c r="D1987">
        <v>1</v>
      </c>
      <c r="E1987">
        <v>0</v>
      </c>
      <c r="F1987">
        <v>-0.22632729781177899</v>
      </c>
      <c r="G1987">
        <v>-0.12836330634552862</v>
      </c>
      <c r="H1987">
        <v>-0.20020408999667638</v>
      </c>
    </row>
    <row r="1988" spans="2:8">
      <c r="B1988">
        <v>3</v>
      </c>
      <c r="C1988">
        <v>33.892031766926394</v>
      </c>
      <c r="D1988">
        <v>1</v>
      </c>
      <c r="E1988">
        <v>0</v>
      </c>
      <c r="F1988">
        <v>-0.2960296398249449</v>
      </c>
      <c r="G1988">
        <v>-0.53732461406884924</v>
      </c>
      <c r="H1988">
        <v>-0.6399031040751898</v>
      </c>
    </row>
    <row r="1989" spans="2:8">
      <c r="B1989">
        <v>3</v>
      </c>
      <c r="C1989">
        <v>97.771024959999991</v>
      </c>
      <c r="D1989">
        <v>3</v>
      </c>
      <c r="E1989">
        <v>0</v>
      </c>
      <c r="F1989">
        <v>-0.14196149330310062</v>
      </c>
      <c r="G1989">
        <v>0.12272287159972238</v>
      </c>
      <c r="H1989">
        <v>0.11135688291685393</v>
      </c>
    </row>
    <row r="1990" spans="2:8">
      <c r="B1990">
        <v>3</v>
      </c>
      <c r="C1990">
        <v>97.771024959999991</v>
      </c>
      <c r="D1990">
        <v>3</v>
      </c>
      <c r="E1990">
        <v>0</v>
      </c>
      <c r="F1990">
        <v>-5.6948517610637467E-3</v>
      </c>
      <c r="G1990">
        <v>1.2273775379045535E-2</v>
      </c>
      <c r="H1990">
        <v>0.1945186493740324</v>
      </c>
    </row>
    <row r="1991" spans="2:8">
      <c r="B1991">
        <v>1</v>
      </c>
      <c r="C1991">
        <v>97.960799999999992</v>
      </c>
      <c r="D1991">
        <v>1</v>
      </c>
      <c r="E1991">
        <v>0</v>
      </c>
      <c r="F1991">
        <v>0.15224676114186689</v>
      </c>
    </row>
    <row r="1992" spans="2:8">
      <c r="B1992">
        <v>3</v>
      </c>
      <c r="C1992">
        <v>43.512407450865588</v>
      </c>
      <c r="D1992">
        <v>0</v>
      </c>
      <c r="E1992">
        <v>0</v>
      </c>
      <c r="F1992">
        <v>-0.32091376199285182</v>
      </c>
      <c r="G1992">
        <v>-0.42776373807494178</v>
      </c>
      <c r="H1992">
        <v>-0.53768829897761994</v>
      </c>
    </row>
    <row r="1993" spans="2:8">
      <c r="B1993">
        <v>1</v>
      </c>
      <c r="C1993">
        <v>102</v>
      </c>
      <c r="D1993">
        <v>1</v>
      </c>
      <c r="E1993">
        <v>0</v>
      </c>
      <c r="F1993">
        <v>-0.2832116211995751</v>
      </c>
      <c r="G1993">
        <v>-0.22149577891521605</v>
      </c>
      <c r="H1993">
        <v>-0.31959611575907476</v>
      </c>
    </row>
    <row r="1994" spans="2:8">
      <c r="B1994">
        <v>3</v>
      </c>
      <c r="C1994">
        <v>92.23681599999999</v>
      </c>
      <c r="D1994">
        <v>2</v>
      </c>
      <c r="E1994">
        <v>0</v>
      </c>
      <c r="F1994">
        <v>-0.1574086579987363</v>
      </c>
      <c r="G1994">
        <v>-0.28875650517216261</v>
      </c>
      <c r="H1994">
        <v>-0.31328437454121649</v>
      </c>
    </row>
    <row r="1995" spans="2:8">
      <c r="B1995">
        <v>1</v>
      </c>
      <c r="C1995">
        <v>102</v>
      </c>
      <c r="D1995">
        <v>1</v>
      </c>
      <c r="E1995">
        <v>0</v>
      </c>
      <c r="F1995">
        <v>3.6623113914169093E-2</v>
      </c>
    </row>
    <row r="1996" spans="2:8">
      <c r="B1996">
        <v>3</v>
      </c>
      <c r="C1996">
        <v>97.771024959999991</v>
      </c>
      <c r="D1996">
        <v>3</v>
      </c>
      <c r="E1996">
        <v>0</v>
      </c>
      <c r="F1996">
        <v>-7.3861390808314872E-3</v>
      </c>
      <c r="G1996">
        <v>8.7982923863418674E-3</v>
      </c>
      <c r="H1996">
        <v>2.1821136616347846E-2</v>
      </c>
    </row>
    <row r="1997" spans="2:8">
      <c r="B1997">
        <v>3</v>
      </c>
      <c r="C1997">
        <v>92.23681599999999</v>
      </c>
      <c r="D1997">
        <v>3</v>
      </c>
      <c r="E1997">
        <v>0</v>
      </c>
      <c r="F1997">
        <v>-0.20062601443367617</v>
      </c>
      <c r="G1997">
        <v>-7.6471321064654874E-2</v>
      </c>
      <c r="H1997">
        <v>-0.24977693525731093</v>
      </c>
    </row>
    <row r="1998" spans="2:8">
      <c r="B1998">
        <v>3</v>
      </c>
      <c r="C1998">
        <v>92.23681599999999</v>
      </c>
      <c r="D1998">
        <v>1</v>
      </c>
      <c r="E1998">
        <v>0</v>
      </c>
      <c r="F1998">
        <v>-0.17968797904061218</v>
      </c>
      <c r="G1998">
        <v>-0.3310224133523062</v>
      </c>
      <c r="H1998">
        <v>-0.37282219216982898</v>
      </c>
    </row>
    <row r="1999" spans="2:8">
      <c r="B1999">
        <v>1</v>
      </c>
      <c r="C1999">
        <v>97.960799999999992</v>
      </c>
      <c r="D1999">
        <v>1</v>
      </c>
      <c r="E1999">
        <v>0</v>
      </c>
      <c r="F1999">
        <v>0.10631187706250048</v>
      </c>
    </row>
    <row r="2000" spans="2:8">
      <c r="B2000">
        <v>1</v>
      </c>
      <c r="C2000">
        <v>102</v>
      </c>
      <c r="D2000">
        <v>1</v>
      </c>
      <c r="E2000">
        <v>0</v>
      </c>
      <c r="F2000">
        <v>0.23001935467251722</v>
      </c>
    </row>
    <row r="2001" spans="2:8">
      <c r="B2001">
        <v>1</v>
      </c>
      <c r="C2001">
        <v>102</v>
      </c>
      <c r="D2001">
        <v>1</v>
      </c>
      <c r="E2001">
        <v>0</v>
      </c>
      <c r="F2001">
        <v>-0.12256205352154111</v>
      </c>
      <c r="G2001">
        <v>-0.50696999085341587</v>
      </c>
      <c r="H2001">
        <v>-0.50032249555679664</v>
      </c>
    </row>
    <row r="2002" spans="2:8">
      <c r="B2002">
        <v>1</v>
      </c>
      <c r="C2002">
        <v>102</v>
      </c>
      <c r="D2002">
        <v>1</v>
      </c>
      <c r="E2002">
        <v>0</v>
      </c>
      <c r="F2002">
        <v>-5.7769511810387822E-2</v>
      </c>
      <c r="G2002">
        <v>-9.3406895997608777E-2</v>
      </c>
      <c r="H2002">
        <v>-1.0974292780410448E-2</v>
      </c>
    </row>
    <row r="2003" spans="2:8">
      <c r="B2003">
        <v>1</v>
      </c>
      <c r="C2003">
        <v>102</v>
      </c>
      <c r="D2003">
        <v>1</v>
      </c>
      <c r="E2003">
        <v>0</v>
      </c>
      <c r="F2003">
        <v>-0.14386333982062974</v>
      </c>
      <c r="G2003">
        <v>0.109971801863987</v>
      </c>
      <c r="H2003">
        <v>9.6930658960048877E-2</v>
      </c>
    </row>
    <row r="2004" spans="2:8">
      <c r="B2004">
        <v>1</v>
      </c>
      <c r="C2004">
        <v>102</v>
      </c>
      <c r="D2004">
        <v>1</v>
      </c>
      <c r="E2004">
        <v>0</v>
      </c>
      <c r="F2004">
        <v>0.14634192484980285</v>
      </c>
    </row>
    <row r="2005" spans="2:8">
      <c r="B2005">
        <v>1</v>
      </c>
      <c r="C2005">
        <v>102</v>
      </c>
      <c r="D2005">
        <v>1</v>
      </c>
      <c r="E2005">
        <v>0</v>
      </c>
      <c r="F2005">
        <v>8.2626705838348635E-2</v>
      </c>
    </row>
    <row r="2006" spans="2:8">
      <c r="B2006">
        <v>1</v>
      </c>
      <c r="C2006">
        <v>97.960799999999992</v>
      </c>
      <c r="D2006">
        <v>1</v>
      </c>
      <c r="E2006">
        <v>0</v>
      </c>
      <c r="F2006">
        <v>8.885564187485169E-2</v>
      </c>
    </row>
    <row r="2007" spans="2:8">
      <c r="B2007">
        <v>1</v>
      </c>
      <c r="C2007">
        <v>102</v>
      </c>
      <c r="D2007">
        <v>1</v>
      </c>
      <c r="E2007">
        <v>0</v>
      </c>
      <c r="F2007">
        <v>7.0744444715467369E-2</v>
      </c>
    </row>
    <row r="2008" spans="2:8">
      <c r="B2008">
        <v>1</v>
      </c>
      <c r="C2008">
        <v>97.960799999999992</v>
      </c>
      <c r="D2008">
        <v>1</v>
      </c>
      <c r="E2008">
        <v>0</v>
      </c>
      <c r="F2008">
        <v>0.13208445987089124</v>
      </c>
    </row>
    <row r="2009" spans="2:8">
      <c r="B2009">
        <v>3</v>
      </c>
      <c r="C2009">
        <v>92.23681599999999</v>
      </c>
      <c r="D2009">
        <v>3</v>
      </c>
      <c r="E2009">
        <v>0</v>
      </c>
      <c r="F2009">
        <v>-1.7304994717696934E-2</v>
      </c>
      <c r="G2009">
        <v>-0.165440520846767</v>
      </c>
      <c r="H2009">
        <v>-1.2173487245824101E-2</v>
      </c>
    </row>
    <row r="2010" spans="2:8">
      <c r="B2010">
        <v>1</v>
      </c>
      <c r="C2010">
        <v>97.960799999999992</v>
      </c>
      <c r="D2010">
        <v>1</v>
      </c>
      <c r="E2010">
        <v>0</v>
      </c>
      <c r="F2010">
        <v>3.9750645740014266E-2</v>
      </c>
    </row>
    <row r="2011" spans="2:8">
      <c r="B2011">
        <v>1</v>
      </c>
      <c r="C2011">
        <v>102</v>
      </c>
      <c r="D2011">
        <v>1</v>
      </c>
      <c r="E2011">
        <v>0</v>
      </c>
      <c r="F2011">
        <v>0.1181257872327036</v>
      </c>
    </row>
    <row r="2012" spans="2:8">
      <c r="B2012">
        <v>1</v>
      </c>
      <c r="C2012">
        <v>102</v>
      </c>
      <c r="D2012">
        <v>1</v>
      </c>
      <c r="E2012">
        <v>0</v>
      </c>
      <c r="F2012">
        <v>-0.20222673208463188</v>
      </c>
      <c r="G2012">
        <v>-0.25665421772433411</v>
      </c>
      <c r="H2012">
        <v>-0.31397616469490924</v>
      </c>
    </row>
    <row r="2013" spans="2:8">
      <c r="B2013">
        <v>1</v>
      </c>
      <c r="C2013">
        <v>102</v>
      </c>
      <c r="D2013">
        <v>1</v>
      </c>
      <c r="E2013">
        <v>0</v>
      </c>
      <c r="F2013">
        <v>2.6775380901269553E-2</v>
      </c>
    </row>
    <row r="2014" spans="2:8">
      <c r="B2014">
        <v>1</v>
      </c>
      <c r="C2014">
        <v>102</v>
      </c>
      <c r="D2014">
        <v>1</v>
      </c>
      <c r="E2014">
        <v>0</v>
      </c>
      <c r="F2014">
        <v>2.0160186503921162E-2</v>
      </c>
    </row>
    <row r="2015" spans="2:8">
      <c r="B2015">
        <v>1</v>
      </c>
      <c r="C2015">
        <v>97.960799999999992</v>
      </c>
      <c r="D2015">
        <v>1</v>
      </c>
      <c r="E2015">
        <v>0</v>
      </c>
      <c r="F2015">
        <v>0.29596204975409662</v>
      </c>
    </row>
    <row r="2016" spans="2:8">
      <c r="B2016">
        <v>1</v>
      </c>
      <c r="C2016">
        <v>97.960799999999992</v>
      </c>
      <c r="D2016">
        <v>1</v>
      </c>
      <c r="E2016">
        <v>0</v>
      </c>
      <c r="F2016">
        <v>7.6596421611685839E-2</v>
      </c>
    </row>
    <row r="2017" spans="2:8">
      <c r="B2017">
        <v>1</v>
      </c>
      <c r="C2017">
        <v>97.960799999999992</v>
      </c>
      <c r="D2017">
        <v>1</v>
      </c>
      <c r="E2017">
        <v>0</v>
      </c>
      <c r="F2017">
        <v>0.10899256706834888</v>
      </c>
    </row>
    <row r="2018" spans="2:8">
      <c r="B2018">
        <v>1</v>
      </c>
      <c r="C2018">
        <v>97.960799999999992</v>
      </c>
      <c r="D2018">
        <v>1</v>
      </c>
      <c r="E2018">
        <v>0</v>
      </c>
      <c r="F2018">
        <v>2.3778219835990197E-2</v>
      </c>
    </row>
    <row r="2019" spans="2:8">
      <c r="B2019">
        <v>1</v>
      </c>
      <c r="C2019">
        <v>102</v>
      </c>
      <c r="D2019">
        <v>1</v>
      </c>
      <c r="E2019">
        <v>0</v>
      </c>
      <c r="F2019">
        <v>-0.20899009897295465</v>
      </c>
      <c r="G2019">
        <v>-9.4328461330895827E-2</v>
      </c>
      <c r="H2019">
        <v>-0.15593822846877131</v>
      </c>
    </row>
    <row r="2020" spans="2:8">
      <c r="B2020">
        <v>1</v>
      </c>
      <c r="C2020">
        <v>102</v>
      </c>
      <c r="D2020">
        <v>1</v>
      </c>
      <c r="E2020">
        <v>0</v>
      </c>
      <c r="F2020">
        <v>4.1674445445074024E-2</v>
      </c>
    </row>
    <row r="2021" spans="2:8">
      <c r="B2021">
        <v>3</v>
      </c>
      <c r="C2021">
        <v>32.882976894316627</v>
      </c>
      <c r="D2021">
        <v>1</v>
      </c>
      <c r="E2021">
        <v>0</v>
      </c>
      <c r="F2021">
        <v>-0.1302858787600478</v>
      </c>
      <c r="G2021">
        <v>-0.64989248061332461</v>
      </c>
      <c r="H2021">
        <v>-0.65062413519965501</v>
      </c>
    </row>
    <row r="2022" spans="2:8">
      <c r="B2022">
        <v>1</v>
      </c>
      <c r="C2022">
        <v>102</v>
      </c>
      <c r="D2022">
        <v>1</v>
      </c>
      <c r="E2022">
        <v>0</v>
      </c>
      <c r="F2022">
        <v>-0.14894878565348127</v>
      </c>
      <c r="G2022">
        <v>-0.27254924658494567</v>
      </c>
      <c r="H2022">
        <v>-0.39935650866061756</v>
      </c>
    </row>
    <row r="2023" spans="2:8">
      <c r="B2023">
        <v>1</v>
      </c>
      <c r="C2023">
        <v>102</v>
      </c>
      <c r="D2023">
        <v>1</v>
      </c>
      <c r="E2023">
        <v>0</v>
      </c>
      <c r="F2023">
        <v>0.17796059151914795</v>
      </c>
    </row>
    <row r="2024" spans="2:8">
      <c r="B2024">
        <v>1</v>
      </c>
      <c r="C2024">
        <v>97.960799999999992</v>
      </c>
      <c r="D2024">
        <v>1</v>
      </c>
      <c r="E2024">
        <v>0</v>
      </c>
      <c r="F2024">
        <v>3.3529346454055114E-2</v>
      </c>
    </row>
    <row r="2025" spans="2:8">
      <c r="B2025">
        <v>3</v>
      </c>
      <c r="C2025">
        <v>92.23681599999999</v>
      </c>
      <c r="D2025">
        <v>3</v>
      </c>
      <c r="E2025">
        <v>0</v>
      </c>
      <c r="F2025">
        <v>-0.2575270398073195</v>
      </c>
      <c r="G2025">
        <v>-0.18223297253005702</v>
      </c>
      <c r="H2025">
        <v>-0.26981567667196232</v>
      </c>
    </row>
    <row r="2026" spans="2:8">
      <c r="B2026">
        <v>1</v>
      </c>
      <c r="C2026">
        <v>102</v>
      </c>
      <c r="D2026">
        <v>1</v>
      </c>
      <c r="E2026">
        <v>0</v>
      </c>
      <c r="F2026">
        <v>0.1664575119862047</v>
      </c>
    </row>
    <row r="2027" spans="2:8">
      <c r="B2027">
        <v>1</v>
      </c>
      <c r="C2027">
        <v>102</v>
      </c>
      <c r="D2027">
        <v>1</v>
      </c>
      <c r="E2027">
        <v>0</v>
      </c>
      <c r="F2027">
        <v>4.8797868636337192E-2</v>
      </c>
    </row>
    <row r="2028" spans="2:8">
      <c r="B2028">
        <v>1</v>
      </c>
      <c r="C2028">
        <v>102</v>
      </c>
      <c r="D2028">
        <v>1</v>
      </c>
      <c r="E2028">
        <v>0</v>
      </c>
      <c r="F2028">
        <v>-0.47555204127181083</v>
      </c>
      <c r="G2028">
        <v>-0.60094669654015886</v>
      </c>
      <c r="H2028">
        <v>-0.72956477000774356</v>
      </c>
    </row>
    <row r="2029" spans="2:8">
      <c r="B2029">
        <v>3</v>
      </c>
      <c r="C2029">
        <v>92.23681599999999</v>
      </c>
      <c r="D2029">
        <v>3</v>
      </c>
      <c r="E2029">
        <v>0</v>
      </c>
      <c r="F2029">
        <v>-0.18564628031188402</v>
      </c>
      <c r="G2029">
        <v>-4.1331960703795863E-2</v>
      </c>
      <c r="H2029">
        <v>-8.7422146016586183E-2</v>
      </c>
    </row>
    <row r="2030" spans="2:8">
      <c r="B2030">
        <v>1</v>
      </c>
      <c r="C2030">
        <v>102</v>
      </c>
      <c r="D2030">
        <v>1</v>
      </c>
      <c r="E2030">
        <v>0</v>
      </c>
      <c r="F2030">
        <v>0.12895914804865674</v>
      </c>
    </row>
    <row r="2031" spans="2:8">
      <c r="B2031">
        <v>1</v>
      </c>
      <c r="C2031">
        <v>97.960799999999992</v>
      </c>
      <c r="D2031">
        <v>1</v>
      </c>
      <c r="E2031">
        <v>0</v>
      </c>
      <c r="F2031">
        <v>0.12397698982162034</v>
      </c>
    </row>
    <row r="2032" spans="2:8">
      <c r="B2032">
        <v>3</v>
      </c>
      <c r="C2032">
        <v>97.771024959999991</v>
      </c>
      <c r="D2032">
        <v>3</v>
      </c>
      <c r="E2032">
        <v>0</v>
      </c>
      <c r="F2032">
        <v>-3.99829573998506E-3</v>
      </c>
      <c r="G2032">
        <v>0.1924201031557278</v>
      </c>
      <c r="H2032">
        <v>0.37954146102069375</v>
      </c>
    </row>
    <row r="2033" spans="2:8">
      <c r="B2033">
        <v>1</v>
      </c>
      <c r="C2033">
        <v>102</v>
      </c>
      <c r="D2033">
        <v>1</v>
      </c>
      <c r="E2033">
        <v>0</v>
      </c>
      <c r="F2033">
        <v>-2.9087088522486799E-3</v>
      </c>
      <c r="G2033">
        <v>-0.32774431932526815</v>
      </c>
      <c r="H2033">
        <v>-0.31003173903573206</v>
      </c>
    </row>
    <row r="2034" spans="2:8">
      <c r="B2034">
        <v>3</v>
      </c>
      <c r="C2034">
        <v>37.672821267288192</v>
      </c>
      <c r="D2034">
        <v>1</v>
      </c>
      <c r="E2034">
        <v>0</v>
      </c>
      <c r="F2034">
        <v>-0.22160737685384335</v>
      </c>
      <c r="G2034">
        <v>-0.40858958498107839</v>
      </c>
      <c r="H2034">
        <v>-0.59973287844256862</v>
      </c>
    </row>
    <row r="2035" spans="2:8">
      <c r="B2035">
        <v>1</v>
      </c>
      <c r="C2035">
        <v>102</v>
      </c>
      <c r="D2035">
        <v>1</v>
      </c>
      <c r="E2035">
        <v>0</v>
      </c>
      <c r="F2035">
        <v>-0.13211572787627082</v>
      </c>
      <c r="G2035">
        <v>0.26893255643106773</v>
      </c>
      <c r="H2035">
        <v>0.26649361704037317</v>
      </c>
    </row>
    <row r="2036" spans="2:8">
      <c r="B2036">
        <v>3</v>
      </c>
      <c r="C2036">
        <v>97.771024959999991</v>
      </c>
      <c r="D2036">
        <v>3</v>
      </c>
      <c r="E2036">
        <v>0</v>
      </c>
      <c r="F2036">
        <v>-3.20079674432978E-2</v>
      </c>
      <c r="G2036">
        <v>-4.1453327228901993E-2</v>
      </c>
      <c r="H2036">
        <v>8.2274022576047462E-2</v>
      </c>
    </row>
    <row r="2037" spans="2:8">
      <c r="B2037">
        <v>1</v>
      </c>
      <c r="C2037">
        <v>102</v>
      </c>
      <c r="D2037">
        <v>1</v>
      </c>
      <c r="E2037">
        <v>0</v>
      </c>
      <c r="F2037">
        <v>-0.26511846563458474</v>
      </c>
      <c r="G2037">
        <v>-0.19424398883065672</v>
      </c>
      <c r="H2037">
        <v>-0.41976741706971094</v>
      </c>
    </row>
    <row r="2038" spans="2:8">
      <c r="B2038">
        <v>3</v>
      </c>
      <c r="C2038">
        <v>97.771024959999991</v>
      </c>
      <c r="D2038">
        <v>3</v>
      </c>
      <c r="E2038">
        <v>0</v>
      </c>
      <c r="F2038">
        <v>-6.4725354651026135E-2</v>
      </c>
      <c r="G2038">
        <v>1.2004913394948866E-2</v>
      </c>
      <c r="H2038">
        <v>8.4760995742037784E-2</v>
      </c>
    </row>
    <row r="2039" spans="2:8">
      <c r="B2039">
        <v>1</v>
      </c>
      <c r="C2039">
        <v>102</v>
      </c>
      <c r="D2039">
        <v>1</v>
      </c>
      <c r="E2039">
        <v>0</v>
      </c>
      <c r="F2039">
        <v>-0.28788930037219734</v>
      </c>
      <c r="G2039">
        <v>-0.22825877014052887</v>
      </c>
      <c r="H2039">
        <v>-0.4700199282744551</v>
      </c>
    </row>
    <row r="2040" spans="2:8">
      <c r="B2040">
        <v>1</v>
      </c>
      <c r="C2040">
        <v>102</v>
      </c>
      <c r="D2040">
        <v>1</v>
      </c>
      <c r="E2040">
        <v>0</v>
      </c>
      <c r="F2040">
        <v>-3.8994137508050745E-2</v>
      </c>
      <c r="G2040">
        <v>7.7474049572444095E-2</v>
      </c>
      <c r="H2040">
        <v>0.18896338843853003</v>
      </c>
    </row>
    <row r="2041" spans="2:8">
      <c r="B2041">
        <v>1</v>
      </c>
      <c r="C2041">
        <v>102</v>
      </c>
      <c r="D2041">
        <v>1</v>
      </c>
      <c r="E2041">
        <v>0</v>
      </c>
      <c r="F2041">
        <v>0.13412396734918372</v>
      </c>
    </row>
    <row r="2042" spans="2:8">
      <c r="B2042">
        <v>3</v>
      </c>
      <c r="C2042">
        <v>55.376425722897224</v>
      </c>
      <c r="D2042">
        <v>1</v>
      </c>
      <c r="E2042">
        <v>0</v>
      </c>
      <c r="F2042">
        <v>-0.24816046582275159</v>
      </c>
      <c r="G2042">
        <v>-0.32842685369806085</v>
      </c>
      <c r="H2042">
        <v>-0.41163518471366922</v>
      </c>
    </row>
    <row r="2043" spans="2:8">
      <c r="B2043">
        <v>1</v>
      </c>
      <c r="C2043">
        <v>97.960799999999992</v>
      </c>
      <c r="D2043">
        <v>1</v>
      </c>
      <c r="E2043">
        <v>0</v>
      </c>
      <c r="F2043">
        <v>0.13737009605374281</v>
      </c>
    </row>
    <row r="2044" spans="2:8">
      <c r="B2044">
        <v>1</v>
      </c>
      <c r="C2044">
        <v>97.960799999999992</v>
      </c>
      <c r="D2044">
        <v>1</v>
      </c>
      <c r="E2044">
        <v>0</v>
      </c>
      <c r="F2044">
        <v>0.10200821647124035</v>
      </c>
    </row>
    <row r="2045" spans="2:8">
      <c r="B2045">
        <v>1</v>
      </c>
      <c r="C2045">
        <v>102</v>
      </c>
      <c r="D2045">
        <v>1</v>
      </c>
      <c r="E2045">
        <v>0</v>
      </c>
      <c r="F2045">
        <v>3.8525374985332955E-2</v>
      </c>
    </row>
    <row r="2046" spans="2:8">
      <c r="B2046">
        <v>3</v>
      </c>
      <c r="C2046">
        <v>48.026095520070953</v>
      </c>
      <c r="D2046">
        <v>1</v>
      </c>
      <c r="E2046">
        <v>0</v>
      </c>
      <c r="F2046">
        <v>-0.29099448524271099</v>
      </c>
      <c r="G2046">
        <v>-0.38885299646985616</v>
      </c>
      <c r="H2046">
        <v>-0.48973115453519622</v>
      </c>
    </row>
    <row r="2047" spans="2:8">
      <c r="B2047">
        <v>3</v>
      </c>
      <c r="C2047">
        <v>45.587128575278001</v>
      </c>
      <c r="D2047">
        <v>0</v>
      </c>
      <c r="E2047">
        <v>0</v>
      </c>
      <c r="F2047">
        <v>-0.42057040690809111</v>
      </c>
      <c r="G2047">
        <v>-0.38999240666190671</v>
      </c>
      <c r="H2047">
        <v>-0.51564475074928384</v>
      </c>
    </row>
    <row r="2048" spans="2:8">
      <c r="B2048">
        <v>3</v>
      </c>
      <c r="C2048">
        <v>97.771024959999991</v>
      </c>
      <c r="D2048">
        <v>3</v>
      </c>
      <c r="E2048">
        <v>0</v>
      </c>
      <c r="F2048">
        <v>-7.3338856271742678E-2</v>
      </c>
      <c r="G2048">
        <v>-8.1591361288112611E-3</v>
      </c>
      <c r="H2048">
        <v>5.3256884711814778E-2</v>
      </c>
    </row>
    <row r="2049" spans="2:8">
      <c r="B2049">
        <v>3</v>
      </c>
      <c r="C2049">
        <v>92.23681599999999</v>
      </c>
      <c r="D2049">
        <v>2</v>
      </c>
      <c r="E2049">
        <v>0</v>
      </c>
      <c r="F2049">
        <v>-0.22928000057527848</v>
      </c>
      <c r="G2049">
        <v>-0.1338249778139681</v>
      </c>
      <c r="H2049">
        <v>-0.33130618057767292</v>
      </c>
    </row>
    <row r="2050" spans="2:8">
      <c r="B2050">
        <v>1</v>
      </c>
      <c r="C2050">
        <v>102</v>
      </c>
      <c r="D2050">
        <v>1</v>
      </c>
      <c r="E2050">
        <v>0</v>
      </c>
      <c r="F2050">
        <v>-0.1178791075028648</v>
      </c>
      <c r="G2050">
        <v>-0.10347034659344491</v>
      </c>
      <c r="H2050">
        <v>-9.2208700178756223E-2</v>
      </c>
    </row>
    <row r="2051" spans="2:8">
      <c r="B2051">
        <v>3</v>
      </c>
      <c r="C2051">
        <v>92.23681599999999</v>
      </c>
      <c r="D2051">
        <v>3</v>
      </c>
      <c r="E2051">
        <v>0</v>
      </c>
      <c r="F2051">
        <v>-7.0657876205709486E-2</v>
      </c>
      <c r="G2051">
        <v>-0.29391997129655362</v>
      </c>
      <c r="H2051">
        <v>-0.2290448122212761</v>
      </c>
    </row>
    <row r="2052" spans="2:8">
      <c r="B2052">
        <v>3</v>
      </c>
      <c r="C2052">
        <v>92.23681599999999</v>
      </c>
      <c r="D2052">
        <v>3</v>
      </c>
      <c r="E2052">
        <v>0</v>
      </c>
      <c r="F2052">
        <v>-0.10134647216097635</v>
      </c>
      <c r="G2052">
        <v>-0.17996768940853397</v>
      </c>
      <c r="H2052">
        <v>-0.151506155294582</v>
      </c>
    </row>
    <row r="2053" spans="2:8">
      <c r="B2053">
        <v>3</v>
      </c>
      <c r="C2053">
        <v>97.771024959999991</v>
      </c>
      <c r="D2053">
        <v>3</v>
      </c>
      <c r="E2053">
        <v>0</v>
      </c>
      <c r="F2053">
        <v>-1.0149932272945384E-2</v>
      </c>
      <c r="G2053">
        <v>-0.15011008023491637</v>
      </c>
      <c r="H2053">
        <v>2.02091642707087E-2</v>
      </c>
    </row>
    <row r="2054" spans="2:8">
      <c r="B2054">
        <v>1</v>
      </c>
      <c r="C2054">
        <v>97.960799999999992</v>
      </c>
      <c r="D2054">
        <v>1</v>
      </c>
      <c r="E2054">
        <v>0</v>
      </c>
      <c r="F2054">
        <v>0.18575447083811589</v>
      </c>
    </row>
    <row r="2055" spans="2:8">
      <c r="B2055">
        <v>1</v>
      </c>
      <c r="C2055">
        <v>102</v>
      </c>
      <c r="D2055">
        <v>1</v>
      </c>
      <c r="E2055">
        <v>0</v>
      </c>
      <c r="F2055">
        <v>0.21157526082599606</v>
      </c>
    </row>
    <row r="2056" spans="2:8">
      <c r="B2056">
        <v>1</v>
      </c>
      <c r="C2056">
        <v>102</v>
      </c>
      <c r="D2056">
        <v>1</v>
      </c>
      <c r="E2056">
        <v>0</v>
      </c>
      <c r="F2056">
        <v>-0.1086737117021091</v>
      </c>
      <c r="G2056">
        <v>-8.4787264039808075E-2</v>
      </c>
      <c r="H2056">
        <v>-6.413049267209342E-2</v>
      </c>
    </row>
    <row r="2057" spans="2:8">
      <c r="B2057">
        <v>3</v>
      </c>
      <c r="C2057">
        <v>92.23681599999999</v>
      </c>
      <c r="D2057">
        <v>1</v>
      </c>
      <c r="E2057">
        <v>0</v>
      </c>
      <c r="F2057">
        <v>-9.6878400864912284E-2</v>
      </c>
      <c r="G2057">
        <v>-0.37533995562159905</v>
      </c>
      <c r="H2057">
        <v>-0.34196759855576442</v>
      </c>
    </row>
    <row r="2058" spans="2:8">
      <c r="B2058">
        <v>3</v>
      </c>
      <c r="C2058">
        <v>97.771024959999991</v>
      </c>
      <c r="D2058">
        <v>3</v>
      </c>
      <c r="E2058">
        <v>0</v>
      </c>
      <c r="F2058">
        <v>-2.3333736316943299E-2</v>
      </c>
      <c r="G2058">
        <v>-2.3820412376250353E-2</v>
      </c>
      <c r="H2058">
        <v>0.11659434295145309</v>
      </c>
    </row>
    <row r="2059" spans="2:8">
      <c r="B2059">
        <v>1</v>
      </c>
      <c r="C2059">
        <v>102</v>
      </c>
      <c r="D2059">
        <v>1</v>
      </c>
      <c r="E2059">
        <v>0</v>
      </c>
      <c r="F2059">
        <v>-0.35830496605797985</v>
      </c>
      <c r="G2059">
        <v>-0.31966600249334359</v>
      </c>
      <c r="H2059">
        <v>-0.60162183574830763</v>
      </c>
    </row>
    <row r="2060" spans="2:8">
      <c r="B2060">
        <v>1</v>
      </c>
      <c r="C2060">
        <v>97.960799999999992</v>
      </c>
      <c r="D2060">
        <v>1</v>
      </c>
      <c r="E2060">
        <v>0</v>
      </c>
      <c r="F2060">
        <v>1.430337144362435E-2</v>
      </c>
    </row>
    <row r="2061" spans="2:8">
      <c r="B2061">
        <v>3</v>
      </c>
      <c r="C2061">
        <v>92.23681599999999</v>
      </c>
      <c r="D2061">
        <v>3</v>
      </c>
      <c r="E2061">
        <v>0</v>
      </c>
      <c r="F2061">
        <v>-0.17175026728751508</v>
      </c>
      <c r="G2061">
        <v>-3.5430066743962585E-3</v>
      </c>
      <c r="H2061">
        <v>-3.9414030982593558E-2</v>
      </c>
    </row>
    <row r="2062" spans="2:8">
      <c r="B2062">
        <v>3</v>
      </c>
      <c r="C2062">
        <v>97.771024959999991</v>
      </c>
      <c r="D2062">
        <v>3</v>
      </c>
      <c r="E2062">
        <v>0</v>
      </c>
      <c r="F2062">
        <v>-4.062176095261491E-2</v>
      </c>
      <c r="G2062">
        <v>-5.889211569112849E-2</v>
      </c>
      <c r="H2062">
        <v>4.9874314958540326E-2</v>
      </c>
    </row>
    <row r="2063" spans="2:8">
      <c r="B2063">
        <v>3</v>
      </c>
      <c r="C2063">
        <v>92.23681599999999</v>
      </c>
      <c r="D2063">
        <v>3</v>
      </c>
      <c r="E2063">
        <v>0</v>
      </c>
      <c r="F2063">
        <v>-0.21430471726348232</v>
      </c>
      <c r="G2063">
        <v>-0.10515121802890015</v>
      </c>
      <c r="H2063">
        <v>-0.29016673166891666</v>
      </c>
    </row>
    <row r="2064" spans="2:8">
      <c r="B2064">
        <v>3</v>
      </c>
      <c r="C2064">
        <v>92.23681599999999</v>
      </c>
      <c r="D2064">
        <v>3</v>
      </c>
      <c r="E2064">
        <v>0</v>
      </c>
      <c r="F2064">
        <v>-0.14701169839043007</v>
      </c>
      <c r="G2064">
        <v>-0.26882683674423502</v>
      </c>
      <c r="H2064">
        <v>-0.28460684250686452</v>
      </c>
    </row>
    <row r="2065" spans="2:8">
      <c r="B2065">
        <v>1</v>
      </c>
      <c r="C2065">
        <v>97.960799999999992</v>
      </c>
      <c r="D2065">
        <v>1</v>
      </c>
      <c r="E2065">
        <v>0</v>
      </c>
      <c r="F2065">
        <v>7.9080040533488546E-3</v>
      </c>
    </row>
    <row r="2066" spans="2:8">
      <c r="B2066">
        <v>1</v>
      </c>
      <c r="C2066">
        <v>97.960799999999992</v>
      </c>
      <c r="D2066">
        <v>1</v>
      </c>
      <c r="E2066">
        <v>0</v>
      </c>
      <c r="F2066">
        <v>8.4118629740236303E-2</v>
      </c>
    </row>
    <row r="2067" spans="2:8">
      <c r="B2067">
        <v>3</v>
      </c>
      <c r="C2067">
        <v>92.23681599999999</v>
      </c>
      <c r="D2067">
        <v>1</v>
      </c>
      <c r="E2067">
        <v>0</v>
      </c>
      <c r="F2067">
        <v>-1.1828356043252188E-2</v>
      </c>
      <c r="G2067">
        <v>-0.38343050580226073</v>
      </c>
      <c r="H2067">
        <v>-0.3750415928096818</v>
      </c>
    </row>
    <row r="2068" spans="2:8">
      <c r="B2068">
        <v>3</v>
      </c>
      <c r="C2068">
        <v>47.804815435985624</v>
      </c>
      <c r="D2068">
        <v>1</v>
      </c>
      <c r="E2068">
        <v>0</v>
      </c>
      <c r="F2068">
        <v>-0.18192333816466619</v>
      </c>
      <c r="G2068">
        <v>-0.33522711906091479</v>
      </c>
      <c r="H2068">
        <v>-0.49208221663607821</v>
      </c>
    </row>
    <row r="2069" spans="2:8">
      <c r="B2069">
        <v>1</v>
      </c>
      <c r="C2069">
        <v>102</v>
      </c>
      <c r="D2069">
        <v>1</v>
      </c>
      <c r="E2069">
        <v>0</v>
      </c>
      <c r="F2069">
        <v>-0.24266334775399878</v>
      </c>
      <c r="G2069">
        <v>-0.15756243142819648</v>
      </c>
      <c r="H2069">
        <v>-0.2380646566953992</v>
      </c>
    </row>
    <row r="2070" spans="2:8">
      <c r="B2070">
        <v>1</v>
      </c>
      <c r="C2070">
        <v>102</v>
      </c>
      <c r="D2070">
        <v>1</v>
      </c>
      <c r="E2070">
        <v>0</v>
      </c>
      <c r="F2070">
        <v>-0.23425871941480922</v>
      </c>
      <c r="G2070">
        <v>-0.43139039136059093</v>
      </c>
      <c r="H2070">
        <v>-0.5075532995376858</v>
      </c>
    </row>
    <row r="2071" spans="2:8">
      <c r="B2071">
        <v>1</v>
      </c>
      <c r="C2071">
        <v>102</v>
      </c>
      <c r="D2071">
        <v>1</v>
      </c>
      <c r="E2071">
        <v>0</v>
      </c>
      <c r="F2071">
        <v>-0.26126406488434734</v>
      </c>
      <c r="G2071">
        <v>-0.18819178869864306</v>
      </c>
      <c r="H2071">
        <v>-0.27743776547843668</v>
      </c>
    </row>
    <row r="2072" spans="2:8">
      <c r="B2072">
        <v>3</v>
      </c>
      <c r="C2072">
        <v>56.086938094612123</v>
      </c>
      <c r="D2072">
        <v>1</v>
      </c>
      <c r="E2072">
        <v>0</v>
      </c>
      <c r="F2072">
        <v>-0.19179492110393961</v>
      </c>
      <c r="G2072">
        <v>-0.35371027187225201</v>
      </c>
      <c r="H2072">
        <v>-0.40408611532384331</v>
      </c>
    </row>
    <row r="2073" spans="2:8">
      <c r="B2073">
        <v>1</v>
      </c>
      <c r="C2073">
        <v>102</v>
      </c>
      <c r="D2073">
        <v>1</v>
      </c>
      <c r="E2073">
        <v>0</v>
      </c>
      <c r="F2073">
        <v>0.15598745653275836</v>
      </c>
    </row>
    <row r="2074" spans="2:8">
      <c r="B2074">
        <v>1</v>
      </c>
      <c r="C2074">
        <v>102</v>
      </c>
      <c r="D2074">
        <v>1</v>
      </c>
      <c r="E2074">
        <v>0</v>
      </c>
      <c r="F2074">
        <v>6.50531308763065E-2</v>
      </c>
    </row>
    <row r="2075" spans="2:8">
      <c r="B2075">
        <v>1</v>
      </c>
      <c r="C2075">
        <v>97.960799999999992</v>
      </c>
      <c r="D2075">
        <v>1</v>
      </c>
      <c r="E2075">
        <v>0</v>
      </c>
      <c r="F2075">
        <v>0.15984583373417527</v>
      </c>
    </row>
    <row r="2076" spans="2:8">
      <c r="B2076">
        <v>3</v>
      </c>
      <c r="C2076">
        <v>97.771024959999991</v>
      </c>
      <c r="D2076">
        <v>3</v>
      </c>
      <c r="E2076">
        <v>0</v>
      </c>
      <c r="F2076">
        <v>-5.6146588766291652E-2</v>
      </c>
      <c r="G2076">
        <v>3.285187555875433E-2</v>
      </c>
      <c r="H2076">
        <v>0.11761644286767148</v>
      </c>
    </row>
    <row r="2077" spans="2:8">
      <c r="B2077">
        <v>3</v>
      </c>
      <c r="C2077">
        <v>25.540541417759698</v>
      </c>
      <c r="D2077">
        <v>0</v>
      </c>
      <c r="E2077">
        <v>0</v>
      </c>
      <c r="F2077">
        <v>-0.44835662484470518</v>
      </c>
      <c r="G2077">
        <v>-0.41963074735878086</v>
      </c>
      <c r="H2077">
        <v>-0.7286362249385917</v>
      </c>
    </row>
    <row r="2078" spans="2:8">
      <c r="B2078">
        <v>1</v>
      </c>
      <c r="C2078">
        <v>97.960799999999992</v>
      </c>
      <c r="D2078">
        <v>1</v>
      </c>
      <c r="E2078">
        <v>0</v>
      </c>
      <c r="F2078">
        <v>4.3611986928924332E-2</v>
      </c>
    </row>
    <row r="2079" spans="2:8">
      <c r="B2079">
        <v>3</v>
      </c>
      <c r="C2079">
        <v>55.316012784220987</v>
      </c>
      <c r="D2079">
        <v>1</v>
      </c>
      <c r="E2079">
        <v>0</v>
      </c>
      <c r="F2079">
        <v>-0.34024609423249491</v>
      </c>
      <c r="G2079">
        <v>-0.29776160053635076</v>
      </c>
      <c r="H2079">
        <v>-0.41227706159613564</v>
      </c>
    </row>
    <row r="2080" spans="2:8">
      <c r="B2080">
        <v>1</v>
      </c>
      <c r="C2080">
        <v>102</v>
      </c>
      <c r="D2080">
        <v>1</v>
      </c>
      <c r="E2080">
        <v>0</v>
      </c>
      <c r="F2080">
        <v>-0.2516276495711931</v>
      </c>
      <c r="G2080">
        <v>-0.4621438098893576</v>
      </c>
      <c r="H2080">
        <v>-0.5470059024107522</v>
      </c>
    </row>
    <row r="2081" spans="2:8">
      <c r="B2081">
        <v>1</v>
      </c>
      <c r="C2081">
        <v>102</v>
      </c>
      <c r="D2081">
        <v>1</v>
      </c>
      <c r="E2081">
        <v>0</v>
      </c>
      <c r="F2081">
        <v>-0.21162548925599717</v>
      </c>
      <c r="G2081">
        <v>-9.9742303117905329E-2</v>
      </c>
      <c r="H2081">
        <v>-0.16297741664966323</v>
      </c>
    </row>
    <row r="2082" spans="2:8">
      <c r="B2082">
        <v>3</v>
      </c>
      <c r="C2082">
        <v>0</v>
      </c>
      <c r="D2082">
        <v>0</v>
      </c>
      <c r="E2082">
        <v>0</v>
      </c>
      <c r="F2082">
        <v>-0.66448480624003148</v>
      </c>
      <c r="G2082">
        <v>-0.97265559987872274</v>
      </c>
      <c r="H2082">
        <v>-1.1030942617295509</v>
      </c>
    </row>
    <row r="2083" spans="2:8">
      <c r="B2083">
        <v>3</v>
      </c>
      <c r="C2083">
        <v>92.23681599999999</v>
      </c>
      <c r="D2083">
        <v>3</v>
      </c>
      <c r="E2083">
        <v>0</v>
      </c>
      <c r="F2083">
        <v>-6.0433192274432605E-2</v>
      </c>
      <c r="G2083">
        <v>-0.26667658546020856</v>
      </c>
      <c r="H2083">
        <v>-0.18800877720886877</v>
      </c>
    </row>
    <row r="2084" spans="2:8">
      <c r="B2084">
        <v>3</v>
      </c>
      <c r="C2084">
        <v>12.306664281555541</v>
      </c>
      <c r="D2084">
        <v>0</v>
      </c>
      <c r="E2084">
        <v>0</v>
      </c>
      <c r="F2084">
        <v>-0.33516846242236648</v>
      </c>
      <c r="G2084">
        <v>-0.59865719639265802</v>
      </c>
      <c r="H2084">
        <v>-0.86924384948495592</v>
      </c>
    </row>
    <row r="2085" spans="2:8">
      <c r="B2085">
        <v>1</v>
      </c>
      <c r="C2085">
        <v>97.960799999999992</v>
      </c>
      <c r="D2085">
        <v>1</v>
      </c>
      <c r="E2085">
        <v>0</v>
      </c>
      <c r="F2085">
        <v>5.0854162664031434E-4</v>
      </c>
    </row>
    <row r="2086" spans="2:8">
      <c r="B2086">
        <v>3</v>
      </c>
      <c r="C2086">
        <v>92.23681599999999</v>
      </c>
      <c r="D2086">
        <v>3</v>
      </c>
      <c r="E2086">
        <v>0</v>
      </c>
      <c r="F2086">
        <v>-0.12550169555602436</v>
      </c>
      <c r="G2086">
        <v>-0.11860524983723061</v>
      </c>
      <c r="H2086">
        <v>-0.11479957613111463</v>
      </c>
    </row>
    <row r="2087" spans="2:8">
      <c r="B2087">
        <v>3</v>
      </c>
      <c r="C2087">
        <v>92.23681599999999</v>
      </c>
      <c r="D2087">
        <v>3</v>
      </c>
      <c r="E2087">
        <v>0</v>
      </c>
      <c r="F2087">
        <v>-0.16483963186691819</v>
      </c>
      <c r="G2087">
        <v>1.8090246578891973E-2</v>
      </c>
      <c r="H2087">
        <v>-0.12334903601375123</v>
      </c>
    </row>
    <row r="2088" spans="2:8">
      <c r="B2088">
        <v>3</v>
      </c>
      <c r="C2088">
        <v>20.804477720299012</v>
      </c>
      <c r="D2088">
        <v>0</v>
      </c>
      <c r="E2088">
        <v>0</v>
      </c>
      <c r="F2088">
        <v>-0.37671644330297338</v>
      </c>
      <c r="G2088">
        <v>-0.65802562524365305</v>
      </c>
      <c r="H2088">
        <v>-0.77895607144664414</v>
      </c>
    </row>
    <row r="2089" spans="2:8">
      <c r="B2089">
        <v>3</v>
      </c>
      <c r="C2089">
        <v>92.23681599999999</v>
      </c>
      <c r="D2089">
        <v>2</v>
      </c>
      <c r="E2089">
        <v>0</v>
      </c>
      <c r="F2089">
        <v>-8.6380437418958567E-2</v>
      </c>
      <c r="G2089">
        <v>-0.34006631765205347</v>
      </c>
      <c r="H2089">
        <v>-0.29466650013132817</v>
      </c>
    </row>
    <row r="2090" spans="2:8">
      <c r="B2090">
        <v>1</v>
      </c>
      <c r="C2090">
        <v>102</v>
      </c>
      <c r="D2090">
        <v>1</v>
      </c>
      <c r="E2090">
        <v>0</v>
      </c>
      <c r="F2090">
        <v>-0.1703840050133727</v>
      </c>
      <c r="G2090">
        <v>-0.31344899828729816</v>
      </c>
      <c r="H2090">
        <v>-0.4599289808078682</v>
      </c>
    </row>
    <row r="2091" spans="2:8">
      <c r="B2091">
        <v>3</v>
      </c>
      <c r="C2091">
        <v>92.23681599999999</v>
      </c>
      <c r="D2091">
        <v>1</v>
      </c>
      <c r="E2091">
        <v>0</v>
      </c>
      <c r="F2091">
        <v>-0.31063260354278066</v>
      </c>
      <c r="G2091">
        <v>-0.2597238968065903</v>
      </c>
      <c r="H2091">
        <v>-0.36681996450216381</v>
      </c>
    </row>
    <row r="2092" spans="2:8">
      <c r="B2092">
        <v>1</v>
      </c>
      <c r="C2092">
        <v>102</v>
      </c>
      <c r="D2092">
        <v>1</v>
      </c>
      <c r="E2092">
        <v>0</v>
      </c>
      <c r="F2092">
        <v>-0.12730563506062711</v>
      </c>
      <c r="G2092">
        <v>-0.12214459165517465</v>
      </c>
      <c r="H2092">
        <v>-0.12006240275762428</v>
      </c>
    </row>
    <row r="2093" spans="2:8">
      <c r="B2093">
        <v>1</v>
      </c>
      <c r="C2093">
        <v>102</v>
      </c>
      <c r="D2093">
        <v>1</v>
      </c>
      <c r="E2093">
        <v>0</v>
      </c>
      <c r="F2093">
        <v>-4.4914011088370905E-2</v>
      </c>
      <c r="G2093">
        <v>-0.22814783926164864</v>
      </c>
      <c r="H2093">
        <v>-0.1263562194448212</v>
      </c>
    </row>
    <row r="2094" spans="2:8">
      <c r="B2094">
        <v>3</v>
      </c>
      <c r="C2094">
        <v>44.62774012441259</v>
      </c>
      <c r="D2094">
        <v>1</v>
      </c>
      <c r="E2094">
        <v>0</v>
      </c>
      <c r="F2094">
        <v>-0.19417766415689794</v>
      </c>
      <c r="G2094">
        <v>-0.35815002020636377</v>
      </c>
      <c r="H2094">
        <v>-0.52583808484971617</v>
      </c>
    </row>
    <row r="2095" spans="2:8">
      <c r="B2095">
        <v>3</v>
      </c>
      <c r="C2095">
        <v>92.23681599999999</v>
      </c>
      <c r="D2095">
        <v>3</v>
      </c>
      <c r="E2095">
        <v>0</v>
      </c>
      <c r="F2095">
        <v>-0.19815618049154585</v>
      </c>
      <c r="G2095">
        <v>-7.0981558804181361E-2</v>
      </c>
      <c r="H2095">
        <v>-0.12564139326497484</v>
      </c>
    </row>
    <row r="2096" spans="2:8">
      <c r="B2096">
        <v>1</v>
      </c>
      <c r="C2096">
        <v>102</v>
      </c>
      <c r="D2096">
        <v>1</v>
      </c>
      <c r="E2096">
        <v>0</v>
      </c>
      <c r="F2096">
        <v>0.19079739417973771</v>
      </c>
    </row>
    <row r="2097" spans="2:8">
      <c r="B2097">
        <v>1</v>
      </c>
      <c r="C2097">
        <v>97.960799999999992</v>
      </c>
      <c r="D2097">
        <v>1</v>
      </c>
      <c r="E2097">
        <v>0</v>
      </c>
      <c r="F2097">
        <v>1.9009356341582097E-2</v>
      </c>
    </row>
    <row r="2098" spans="2:8">
      <c r="B2098">
        <v>3</v>
      </c>
      <c r="C2098">
        <v>92.23681599999999</v>
      </c>
      <c r="D2098">
        <v>3</v>
      </c>
      <c r="E2098">
        <v>0</v>
      </c>
      <c r="F2098">
        <v>-0.18944263375564557</v>
      </c>
      <c r="G2098">
        <v>-0.23530028029208294</v>
      </c>
      <c r="H2098">
        <v>-0.2840534637603061</v>
      </c>
    </row>
    <row r="2099" spans="2:8">
      <c r="B2099">
        <v>3</v>
      </c>
      <c r="C2099">
        <v>97.771024959999991</v>
      </c>
      <c r="D2099">
        <v>3</v>
      </c>
      <c r="E2099">
        <v>0</v>
      </c>
      <c r="F2099">
        <v>-1.2030200246069874E-3</v>
      </c>
      <c r="G2099">
        <v>-0.13138034504278429</v>
      </c>
      <c r="H2099">
        <v>6.426023068140102E-2</v>
      </c>
    </row>
    <row r="2100" spans="2:8">
      <c r="B2100">
        <v>1</v>
      </c>
      <c r="C2100">
        <v>102</v>
      </c>
      <c r="D2100">
        <v>1</v>
      </c>
      <c r="E2100">
        <v>0</v>
      </c>
      <c r="F2100">
        <v>0.12590165257912472</v>
      </c>
    </row>
    <row r="2101" spans="2:8">
      <c r="B2101">
        <v>1</v>
      </c>
      <c r="C2101">
        <v>102</v>
      </c>
      <c r="D2101">
        <v>1</v>
      </c>
      <c r="E2101">
        <v>0</v>
      </c>
      <c r="F2101">
        <v>-0.22343257204054223</v>
      </c>
      <c r="G2101">
        <v>-0.12292200594535042</v>
      </c>
      <c r="H2101">
        <v>-0.19312976654023042</v>
      </c>
    </row>
    <row r="2102" spans="2:8">
      <c r="B2102">
        <v>1</v>
      </c>
      <c r="C2102">
        <v>97.960799999999992</v>
      </c>
      <c r="D2102">
        <v>1</v>
      </c>
      <c r="E2102">
        <v>0</v>
      </c>
      <c r="F2102">
        <v>7.4360249153554589E-2</v>
      </c>
    </row>
    <row r="2103" spans="2:8">
      <c r="B2103">
        <v>1</v>
      </c>
      <c r="C2103">
        <v>102</v>
      </c>
      <c r="D2103">
        <v>1</v>
      </c>
      <c r="E2103">
        <v>0</v>
      </c>
      <c r="F2103">
        <v>-0.23941973794908739</v>
      </c>
      <c r="G2103">
        <v>-0.15195294569895806</v>
      </c>
      <c r="H2103">
        <v>-0.23080959352553643</v>
      </c>
    </row>
    <row r="2104" spans="2:8">
      <c r="B2104">
        <v>1</v>
      </c>
      <c r="C2104">
        <v>97.960799999999992</v>
      </c>
      <c r="D2104">
        <v>1</v>
      </c>
      <c r="E2104">
        <v>0</v>
      </c>
      <c r="F2104">
        <v>0.11349148295053101</v>
      </c>
    </row>
    <row r="2105" spans="2:8">
      <c r="B2105">
        <v>1</v>
      </c>
      <c r="C2105">
        <v>97.960799999999992</v>
      </c>
      <c r="D2105">
        <v>1</v>
      </c>
      <c r="E2105">
        <v>0</v>
      </c>
      <c r="F2105">
        <v>0.18264475242482919</v>
      </c>
    </row>
    <row r="2106" spans="2:8">
      <c r="B2106">
        <v>3</v>
      </c>
      <c r="C2106">
        <v>97.771024959999991</v>
      </c>
      <c r="D2106">
        <v>3</v>
      </c>
      <c r="E2106">
        <v>0</v>
      </c>
      <c r="F2106">
        <v>-8.2012634999681741E-2</v>
      </c>
      <c r="G2106">
        <v>-2.7799343325363695E-2</v>
      </c>
      <c r="H2106">
        <v>2.2823001148648749E-2</v>
      </c>
    </row>
    <row r="2107" spans="2:8">
      <c r="B2107">
        <v>3</v>
      </c>
      <c r="C2107">
        <v>92.23681599999999</v>
      </c>
      <c r="D2107">
        <v>3</v>
      </c>
      <c r="E2107">
        <v>0</v>
      </c>
      <c r="F2107">
        <v>-0.18795130983830294</v>
      </c>
      <c r="G2107">
        <v>-4.7054345338954418E-2</v>
      </c>
      <c r="H2107">
        <v>-0.2092631640505225</v>
      </c>
    </row>
    <row r="2108" spans="2:8">
      <c r="B2108">
        <v>3</v>
      </c>
      <c r="C2108">
        <v>49.786949491201668</v>
      </c>
      <c r="D2108">
        <v>1</v>
      </c>
      <c r="E2108">
        <v>0</v>
      </c>
      <c r="F2108">
        <v>-0.21880106674314168</v>
      </c>
      <c r="G2108">
        <v>-0.4034898057578305</v>
      </c>
      <c r="H2108">
        <v>-0.47102238978655075</v>
      </c>
    </row>
    <row r="2109" spans="2:8">
      <c r="B2109">
        <v>3</v>
      </c>
      <c r="C2109">
        <v>54.16402309333607</v>
      </c>
      <c r="D2109">
        <v>0</v>
      </c>
      <c r="E2109">
        <v>0</v>
      </c>
      <c r="F2109">
        <v>-0.34880449656678242</v>
      </c>
      <c r="G2109">
        <v>-0.30824950183720423</v>
      </c>
      <c r="H2109">
        <v>-0.42451675010692747</v>
      </c>
    </row>
    <row r="2110" spans="2:8">
      <c r="B2110">
        <v>3</v>
      </c>
      <c r="C2110">
        <v>92.23681599999999</v>
      </c>
      <c r="D2110">
        <v>3</v>
      </c>
      <c r="E2110">
        <v>0</v>
      </c>
      <c r="F2110">
        <v>-9.96500909120034E-2</v>
      </c>
      <c r="G2110">
        <v>-6.600910742888362E-2</v>
      </c>
      <c r="H2110">
        <v>-3.5697027001321012E-2</v>
      </c>
    </row>
    <row r="2111" spans="2:8">
      <c r="B2111">
        <v>3</v>
      </c>
      <c r="C2111">
        <v>45.251229533804704</v>
      </c>
      <c r="D2111">
        <v>1</v>
      </c>
      <c r="E2111">
        <v>0</v>
      </c>
      <c r="F2111">
        <v>-0.12435105506008598</v>
      </c>
      <c r="G2111">
        <v>-0.52412669893774111</v>
      </c>
      <c r="H2111">
        <v>-0.51921361917860853</v>
      </c>
    </row>
    <row r="2112" spans="2:8">
      <c r="B2112">
        <v>1</v>
      </c>
      <c r="C2112">
        <v>97.960799999999992</v>
      </c>
      <c r="D2112">
        <v>1</v>
      </c>
      <c r="E2112">
        <v>0</v>
      </c>
      <c r="F2112">
        <v>6.2936460869486455E-2</v>
      </c>
    </row>
    <row r="2113" spans="2:8">
      <c r="B2113">
        <v>1</v>
      </c>
      <c r="C2113">
        <v>102</v>
      </c>
      <c r="D2113">
        <v>1</v>
      </c>
      <c r="E2113">
        <v>0</v>
      </c>
      <c r="F2113">
        <v>-0.19572052934647219</v>
      </c>
      <c r="G2113">
        <v>-6.5460501388355144E-2</v>
      </c>
      <c r="H2113">
        <v>-0.1184979456075215</v>
      </c>
    </row>
    <row r="2114" spans="2:8">
      <c r="B2114">
        <v>1</v>
      </c>
      <c r="C2114">
        <v>97.960799999999992</v>
      </c>
      <c r="D2114">
        <v>1</v>
      </c>
      <c r="E2114">
        <v>0</v>
      </c>
      <c r="F2114">
        <v>1.2536408577792181E-2</v>
      </c>
    </row>
    <row r="2115" spans="2:8">
      <c r="B2115">
        <v>1</v>
      </c>
      <c r="C2115">
        <v>97.960799999999992</v>
      </c>
      <c r="D2115">
        <v>1</v>
      </c>
      <c r="E2115">
        <v>0</v>
      </c>
      <c r="F2115">
        <v>6.6419831414419525E-2</v>
      </c>
    </row>
    <row r="2116" spans="2:8">
      <c r="B2116">
        <v>1</v>
      </c>
      <c r="C2116">
        <v>97.960799999999992</v>
      </c>
      <c r="D2116">
        <v>1</v>
      </c>
      <c r="E2116">
        <v>0</v>
      </c>
      <c r="F2116">
        <v>2.9800694321447784E-2</v>
      </c>
    </row>
    <row r="2117" spans="2:8">
      <c r="B2117">
        <v>1</v>
      </c>
      <c r="C2117">
        <v>97.960799999999992</v>
      </c>
      <c r="D2117">
        <v>1</v>
      </c>
      <c r="E2117">
        <v>0</v>
      </c>
      <c r="F2117">
        <v>0.17346618371472586</v>
      </c>
    </row>
    <row r="2118" spans="2:8">
      <c r="B2118">
        <v>1</v>
      </c>
      <c r="C2118">
        <v>102</v>
      </c>
      <c r="D2118">
        <v>1</v>
      </c>
      <c r="E2118">
        <v>0</v>
      </c>
      <c r="F2118">
        <v>0.28556189877286436</v>
      </c>
    </row>
    <row r="2119" spans="2:8">
      <c r="B2119">
        <v>3</v>
      </c>
      <c r="C2119">
        <v>97.771024959999991</v>
      </c>
      <c r="D2119">
        <v>3</v>
      </c>
      <c r="E2119">
        <v>0</v>
      </c>
      <c r="F2119">
        <v>-0.1521576725346892</v>
      </c>
      <c r="G2119">
        <v>6.6389132137512075E-2</v>
      </c>
      <c r="H2119">
        <v>4.6223035815938507E-2</v>
      </c>
    </row>
    <row r="2120" spans="2:8">
      <c r="B2120">
        <v>1</v>
      </c>
      <c r="C2120">
        <v>97.960799999999992</v>
      </c>
      <c r="D2120">
        <v>1</v>
      </c>
      <c r="E2120">
        <v>0</v>
      </c>
      <c r="F2120">
        <v>2.1964430726436366E-2</v>
      </c>
    </row>
    <row r="2121" spans="2:8">
      <c r="B2121">
        <v>1</v>
      </c>
      <c r="C2121">
        <v>97.960799999999992</v>
      </c>
      <c r="D2121">
        <v>1</v>
      </c>
      <c r="E2121">
        <v>0</v>
      </c>
      <c r="F2121">
        <v>3.4733396027591998E-2</v>
      </c>
    </row>
    <row r="2122" spans="2:8">
      <c r="B2122">
        <v>1</v>
      </c>
      <c r="C2122">
        <v>102</v>
      </c>
      <c r="D2122">
        <v>1</v>
      </c>
      <c r="E2122">
        <v>0</v>
      </c>
      <c r="F2122">
        <v>0.14287172736563208</v>
      </c>
    </row>
    <row r="2123" spans="2:8">
      <c r="B2123">
        <v>3</v>
      </c>
      <c r="C2123">
        <v>92.23681599999999</v>
      </c>
      <c r="D2123">
        <v>2</v>
      </c>
      <c r="E2123">
        <v>0</v>
      </c>
      <c r="F2123">
        <v>-0.27872306347569226</v>
      </c>
      <c r="G2123">
        <v>-0.2149022901364607</v>
      </c>
      <c r="H2123">
        <v>-0.31131613469989594</v>
      </c>
    </row>
    <row r="2124" spans="2:8">
      <c r="B2124">
        <v>1</v>
      </c>
      <c r="C2124">
        <v>97.960799999999992</v>
      </c>
      <c r="D2124">
        <v>1</v>
      </c>
      <c r="E2124">
        <v>0</v>
      </c>
      <c r="F2124">
        <v>0.27172736083811005</v>
      </c>
    </row>
    <row r="2125" spans="2:8">
      <c r="B2125">
        <v>1</v>
      </c>
      <c r="C2125">
        <v>102</v>
      </c>
      <c r="D2125">
        <v>1</v>
      </c>
      <c r="E2125">
        <v>0</v>
      </c>
      <c r="F2125">
        <v>-3.4689055021789303E-2</v>
      </c>
      <c r="G2125">
        <v>-0.20418405702762918</v>
      </c>
      <c r="H2125">
        <v>-8.5265159931039627E-2</v>
      </c>
    </row>
    <row r="2126" spans="2:8">
      <c r="B2126">
        <v>1</v>
      </c>
      <c r="C2126">
        <v>102</v>
      </c>
      <c r="D2126">
        <v>1</v>
      </c>
      <c r="E2126">
        <v>0</v>
      </c>
      <c r="F2126">
        <v>0.11073377190799732</v>
      </c>
    </row>
    <row r="2127" spans="2:8">
      <c r="B2127">
        <v>1</v>
      </c>
      <c r="C2127">
        <v>102</v>
      </c>
      <c r="D2127">
        <v>1</v>
      </c>
      <c r="E2127">
        <v>0</v>
      </c>
      <c r="F2127">
        <v>-0.18336851848012536</v>
      </c>
      <c r="G2127">
        <v>-3.5544524715227205E-2</v>
      </c>
      <c r="H2127">
        <v>-8.0010615234037658E-2</v>
      </c>
    </row>
    <row r="2128" spans="2:8">
      <c r="B2128">
        <v>3</v>
      </c>
      <c r="C2128">
        <v>97.771024959999991</v>
      </c>
      <c r="D2128">
        <v>3</v>
      </c>
      <c r="E2128">
        <v>0</v>
      </c>
      <c r="F2128">
        <v>-1.4572259695250262E-2</v>
      </c>
      <c r="G2128">
        <v>-5.9333719929586283E-3</v>
      </c>
      <c r="H2128">
        <v>0.15358472973074228</v>
      </c>
    </row>
    <row r="2129" spans="2:8">
      <c r="B2129">
        <v>1</v>
      </c>
      <c r="C2129">
        <v>97.960799999999992</v>
      </c>
      <c r="D2129">
        <v>1</v>
      </c>
      <c r="E2129">
        <v>0</v>
      </c>
      <c r="F2129">
        <v>0.23511160630687472</v>
      </c>
    </row>
    <row r="2130" spans="2:8">
      <c r="B2130">
        <v>1</v>
      </c>
      <c r="C2130">
        <v>97.960799999999992</v>
      </c>
      <c r="D2130">
        <v>1</v>
      </c>
      <c r="E2130">
        <v>0</v>
      </c>
      <c r="F2130">
        <v>0.11629946959140557</v>
      </c>
    </row>
    <row r="2131" spans="2:8">
      <c r="B2131">
        <v>1</v>
      </c>
      <c r="C2131">
        <v>97.960799999999992</v>
      </c>
      <c r="D2131">
        <v>1</v>
      </c>
      <c r="E2131">
        <v>0</v>
      </c>
      <c r="F2131">
        <v>9.6546579994948051E-3</v>
      </c>
    </row>
    <row r="2132" spans="2:8">
      <c r="B2132">
        <v>3</v>
      </c>
      <c r="C2132">
        <v>92.23681599999999</v>
      </c>
      <c r="D2132">
        <v>3</v>
      </c>
      <c r="E2132">
        <v>0</v>
      </c>
      <c r="F2132">
        <v>-0.15540707349376834</v>
      </c>
      <c r="G2132">
        <v>-0.17533594759208698</v>
      </c>
      <c r="H2132">
        <v>-0.19821460622419632</v>
      </c>
    </row>
    <row r="2133" spans="2:8">
      <c r="B2133">
        <v>3</v>
      </c>
      <c r="C2133">
        <v>92.23681599999999</v>
      </c>
      <c r="D2133">
        <v>2</v>
      </c>
      <c r="E2133">
        <v>0</v>
      </c>
      <c r="F2133">
        <v>-7.9310131007300222E-2</v>
      </c>
      <c r="G2133">
        <v>-0.31853928595430353</v>
      </c>
      <c r="H2133">
        <v>-0.2646162663558122</v>
      </c>
    </row>
    <row r="2134" spans="2:8">
      <c r="B2134">
        <v>3</v>
      </c>
      <c r="C2134">
        <v>92.23681599999999</v>
      </c>
      <c r="D2134">
        <v>3</v>
      </c>
      <c r="E2134">
        <v>0</v>
      </c>
      <c r="F2134">
        <v>-7.4975859537019116E-2</v>
      </c>
      <c r="G2134">
        <v>-0.12778097013764619</v>
      </c>
      <c r="H2134">
        <v>-6.8447510634306957E-2</v>
      </c>
    </row>
    <row r="2135" spans="2:8">
      <c r="B2135">
        <v>3</v>
      </c>
      <c r="C2135">
        <v>92.23681599999999</v>
      </c>
      <c r="D2135">
        <v>1</v>
      </c>
      <c r="E2135">
        <v>0</v>
      </c>
      <c r="F2135">
        <v>-8.8040966443234975E-2</v>
      </c>
      <c r="G2135">
        <v>-0.34534915744648753</v>
      </c>
      <c r="H2135">
        <v>-0.30189989911191556</v>
      </c>
    </row>
    <row r="2136" spans="2:8">
      <c r="B2136">
        <v>3</v>
      </c>
      <c r="C2136">
        <v>97.771024959999991</v>
      </c>
      <c r="D2136">
        <v>3</v>
      </c>
      <c r="E2136">
        <v>0</v>
      </c>
      <c r="F2136">
        <v>-4.9200664224469809E-2</v>
      </c>
      <c r="G2136">
        <v>-7.619242222351294E-2</v>
      </c>
      <c r="H2136">
        <v>1.8906272393432077E-2</v>
      </c>
    </row>
    <row r="2137" spans="2:8">
      <c r="B2137">
        <v>3</v>
      </c>
      <c r="C2137">
        <v>92.23681599999999</v>
      </c>
      <c r="D2137">
        <v>3</v>
      </c>
      <c r="E2137">
        <v>0</v>
      </c>
      <c r="F2137">
        <v>-0.1760734413066046</v>
      </c>
      <c r="G2137">
        <v>-1.599411550875901E-2</v>
      </c>
      <c r="H2137">
        <v>-0.1676096553047817</v>
      </c>
    </row>
    <row r="2138" spans="2:8">
      <c r="B2138">
        <v>3</v>
      </c>
      <c r="C2138">
        <v>38.542943450192915</v>
      </c>
      <c r="D2138">
        <v>1</v>
      </c>
      <c r="E2138">
        <v>0</v>
      </c>
      <c r="F2138">
        <v>-0.2717228481769759</v>
      </c>
      <c r="G2138">
        <v>-0.49683050782018512</v>
      </c>
      <c r="H2138">
        <v>-0.59048798278998416</v>
      </c>
    </row>
    <row r="2139" spans="2:8">
      <c r="B2139">
        <v>3</v>
      </c>
      <c r="C2139">
        <v>92.23681599999999</v>
      </c>
      <c r="D2139">
        <v>3</v>
      </c>
      <c r="E2139">
        <v>0</v>
      </c>
      <c r="F2139">
        <v>-0.17390079332793765</v>
      </c>
      <c r="G2139">
        <v>-9.8274232266812398E-3</v>
      </c>
      <c r="H2139">
        <v>-4.7328942020745009E-2</v>
      </c>
    </row>
    <row r="2140" spans="2:8">
      <c r="B2140">
        <v>1</v>
      </c>
      <c r="C2140">
        <v>97.960799999999992</v>
      </c>
      <c r="D2140">
        <v>1</v>
      </c>
      <c r="E2140">
        <v>0</v>
      </c>
      <c r="F2140">
        <v>8.6471886773047388E-2</v>
      </c>
    </row>
    <row r="2141" spans="2:8">
      <c r="B2141">
        <v>3</v>
      </c>
      <c r="C2141">
        <v>92.23681599999999</v>
      </c>
      <c r="D2141">
        <v>1</v>
      </c>
      <c r="E2141">
        <v>0</v>
      </c>
      <c r="F2141">
        <v>-0.30485357557888559</v>
      </c>
      <c r="G2141">
        <v>-0.25193589781421227</v>
      </c>
      <c r="H2141">
        <v>-0.35731620252002455</v>
      </c>
    </row>
    <row r="2142" spans="2:8">
      <c r="B2142">
        <v>3</v>
      </c>
      <c r="C2142">
        <v>28.31948608497953</v>
      </c>
      <c r="D2142">
        <v>0</v>
      </c>
      <c r="E2142">
        <v>0</v>
      </c>
      <c r="F2142">
        <v>-0.32776832910542575</v>
      </c>
      <c r="G2142">
        <v>-0.58745298515309385</v>
      </c>
      <c r="H2142">
        <v>-0.69911042502507958</v>
      </c>
    </row>
    <row r="2143" spans="2:8">
      <c r="B2143">
        <v>3</v>
      </c>
      <c r="C2143">
        <v>53.712234784567698</v>
      </c>
      <c r="D2143">
        <v>1</v>
      </c>
      <c r="E2143">
        <v>0</v>
      </c>
      <c r="F2143">
        <v>-0.11325135081328484</v>
      </c>
      <c r="G2143">
        <v>-0.44524654575851214</v>
      </c>
      <c r="H2143">
        <v>-0.42931692168476032</v>
      </c>
    </row>
    <row r="2144" spans="2:8">
      <c r="B2144">
        <v>3</v>
      </c>
      <c r="C2144">
        <v>92.23681599999999</v>
      </c>
      <c r="D2144">
        <v>3</v>
      </c>
      <c r="E2144">
        <v>0</v>
      </c>
      <c r="F2144">
        <v>-8.3664021684692821E-2</v>
      </c>
      <c r="G2144">
        <v>-0.14504110428178743</v>
      </c>
      <c r="H2144">
        <v>-9.6409253653884128E-2</v>
      </c>
    </row>
    <row r="2145" spans="2:8">
      <c r="B2145">
        <v>1</v>
      </c>
      <c r="C2145">
        <v>102</v>
      </c>
      <c r="D2145">
        <v>1</v>
      </c>
      <c r="E2145">
        <v>0</v>
      </c>
      <c r="F2145">
        <v>-6.2057856297530099E-2</v>
      </c>
      <c r="G2145">
        <v>-0.27089248608141436</v>
      </c>
      <c r="H2145">
        <v>-0.1944842179146016</v>
      </c>
    </row>
    <row r="2146" spans="2:8">
      <c r="B2146">
        <v>1</v>
      </c>
      <c r="C2146">
        <v>102</v>
      </c>
      <c r="D2146">
        <v>1</v>
      </c>
      <c r="E2146">
        <v>0</v>
      </c>
      <c r="F2146">
        <v>-0.12911910866637039</v>
      </c>
      <c r="G2146">
        <v>-0.23425420096755112</v>
      </c>
      <c r="H2146">
        <v>-0.23388916360075307</v>
      </c>
    </row>
    <row r="2147" spans="2:8">
      <c r="B2147">
        <v>1</v>
      </c>
      <c r="C2147">
        <v>97.960799999999992</v>
      </c>
      <c r="D2147">
        <v>1</v>
      </c>
      <c r="E2147">
        <v>0</v>
      </c>
      <c r="F2147">
        <v>8.0320771005061048E-2</v>
      </c>
    </row>
    <row r="2148" spans="2:8">
      <c r="B2148">
        <v>3</v>
      </c>
      <c r="C2148">
        <v>51.893141534125064</v>
      </c>
      <c r="D2148">
        <v>1</v>
      </c>
      <c r="E2148">
        <v>0</v>
      </c>
      <c r="F2148">
        <v>-0.26765361277760913</v>
      </c>
      <c r="G2148">
        <v>-0.35666115626333417</v>
      </c>
      <c r="H2148">
        <v>-0.44864446856618984</v>
      </c>
    </row>
    <row r="2149" spans="2:8">
      <c r="B2149">
        <v>1</v>
      </c>
      <c r="C2149">
        <v>97.960799999999992</v>
      </c>
      <c r="D2149">
        <v>1</v>
      </c>
      <c r="E2149">
        <v>0</v>
      </c>
      <c r="F2149">
        <v>0.20542617480518108</v>
      </c>
    </row>
    <row r="2150" spans="2:8">
      <c r="B2150">
        <v>1</v>
      </c>
      <c r="C2150">
        <v>97.960799999999992</v>
      </c>
      <c r="D2150">
        <v>1</v>
      </c>
      <c r="E2150">
        <v>0</v>
      </c>
      <c r="F2150">
        <v>5.0580039071348171E-3</v>
      </c>
    </row>
    <row r="2151" spans="2:8">
      <c r="B2151">
        <v>3</v>
      </c>
      <c r="C2151">
        <v>97.771024959999991</v>
      </c>
      <c r="D2151">
        <v>3</v>
      </c>
      <c r="E2151">
        <v>0</v>
      </c>
      <c r="F2151">
        <v>-0.14007217592918292</v>
      </c>
      <c r="G2151">
        <v>0.13715349942216729</v>
      </c>
      <c r="H2151">
        <v>0.12746720820005691</v>
      </c>
    </row>
    <row r="2152" spans="2:8">
      <c r="B2152">
        <v>3</v>
      </c>
      <c r="C2152">
        <v>92.23681599999999</v>
      </c>
      <c r="D2152">
        <v>3</v>
      </c>
      <c r="E2152">
        <v>0</v>
      </c>
      <c r="F2152">
        <v>-0.11964580839820853</v>
      </c>
      <c r="G2152">
        <v>-0.21581853408337548</v>
      </c>
      <c r="H2152">
        <v>-0.206310369295618</v>
      </c>
    </row>
    <row r="2153" spans="2:8">
      <c r="B2153">
        <v>1</v>
      </c>
      <c r="C2153">
        <v>102</v>
      </c>
      <c r="D2153">
        <v>1</v>
      </c>
      <c r="E2153">
        <v>0</v>
      </c>
      <c r="F2153">
        <v>4.6821654137251742E-2</v>
      </c>
    </row>
    <row r="2154" spans="2:8">
      <c r="B2154">
        <v>3</v>
      </c>
      <c r="C2154">
        <v>92.23681599999999</v>
      </c>
      <c r="D2154">
        <v>3</v>
      </c>
      <c r="E2154">
        <v>0</v>
      </c>
      <c r="F2154">
        <v>-0.14508833741885413</v>
      </c>
      <c r="G2154">
        <v>-0.15621406246873668</v>
      </c>
      <c r="H2154">
        <v>-0.17032592028805671</v>
      </c>
    </row>
    <row r="2155" spans="2:8">
      <c r="B2155">
        <v>3</v>
      </c>
      <c r="C2155">
        <v>92.23681599999999</v>
      </c>
      <c r="D2155">
        <v>1</v>
      </c>
      <c r="E2155">
        <v>0</v>
      </c>
      <c r="F2155">
        <v>-0.10585281213527756</v>
      </c>
      <c r="G2155">
        <v>-0.41037276124214711</v>
      </c>
      <c r="H2155">
        <v>-0.38674674625752614</v>
      </c>
    </row>
    <row r="2156" spans="2:8">
      <c r="B2156">
        <v>1</v>
      </c>
      <c r="C2156">
        <v>97.960799999999992</v>
      </c>
      <c r="D2156">
        <v>1</v>
      </c>
      <c r="E2156">
        <v>0</v>
      </c>
      <c r="F2156">
        <v>3.3297774636286059E-3</v>
      </c>
    </row>
    <row r="2157" spans="2:8">
      <c r="B2157">
        <v>1</v>
      </c>
      <c r="C2157">
        <v>97.960799999999992</v>
      </c>
      <c r="D2157">
        <v>1</v>
      </c>
      <c r="E2157">
        <v>0</v>
      </c>
      <c r="F2157">
        <v>0.10367509571441212</v>
      </c>
    </row>
    <row r="2158" spans="2:8">
      <c r="B2158">
        <v>3</v>
      </c>
      <c r="C2158">
        <v>92.23681599999999</v>
      </c>
      <c r="D2158">
        <v>3</v>
      </c>
      <c r="E2158">
        <v>0</v>
      </c>
      <c r="F2158">
        <v>-0.166172014716961</v>
      </c>
      <c r="G2158">
        <v>-0.19480586607832484</v>
      </c>
      <c r="H2158">
        <v>-0.22636263444583463</v>
      </c>
    </row>
    <row r="2159" spans="2:8">
      <c r="B2159">
        <v>1</v>
      </c>
      <c r="C2159">
        <v>102</v>
      </c>
      <c r="D2159">
        <v>1</v>
      </c>
      <c r="E2159">
        <v>0</v>
      </c>
      <c r="F2159">
        <v>-5.3484806597154551E-2</v>
      </c>
      <c r="G2159">
        <v>-0.24906146056211617</v>
      </c>
      <c r="H2159">
        <v>-0.16040656264051964</v>
      </c>
    </row>
    <row r="2160" spans="2:8">
      <c r="B2160">
        <v>1</v>
      </c>
      <c r="C2160">
        <v>102</v>
      </c>
      <c r="D2160">
        <v>1</v>
      </c>
      <c r="E2160">
        <v>0</v>
      </c>
      <c r="F2160">
        <v>-0.15942676517883417</v>
      </c>
      <c r="G2160">
        <v>-0.29261048762547809</v>
      </c>
      <c r="H2160">
        <v>-0.42909565665948551</v>
      </c>
    </row>
    <row r="2161" spans="2:8">
      <c r="B2161">
        <v>1</v>
      </c>
      <c r="C2161">
        <v>97.960799999999992</v>
      </c>
      <c r="D2161">
        <v>1</v>
      </c>
      <c r="E2161">
        <v>0</v>
      </c>
      <c r="F2161">
        <v>0.31591568883789584</v>
      </c>
    </row>
    <row r="2162" spans="2:8">
      <c r="B2162">
        <v>1</v>
      </c>
      <c r="C2162">
        <v>102</v>
      </c>
      <c r="D2162">
        <v>1</v>
      </c>
      <c r="E2162">
        <v>0</v>
      </c>
      <c r="F2162">
        <v>-4.7577726851584769E-2</v>
      </c>
      <c r="G2162">
        <v>5.4584616970691682E-2</v>
      </c>
      <c r="H2162">
        <v>0.15218703603765354</v>
      </c>
    </row>
    <row r="2163" spans="2:8">
      <c r="B2163">
        <v>1</v>
      </c>
      <c r="C2163">
        <v>97.960799999999992</v>
      </c>
      <c r="D2163">
        <v>1</v>
      </c>
      <c r="E2163">
        <v>0</v>
      </c>
      <c r="F2163">
        <v>0.19963630312174377</v>
      </c>
    </row>
    <row r="2164" spans="2:8">
      <c r="B2164">
        <v>1</v>
      </c>
      <c r="C2164">
        <v>102</v>
      </c>
      <c r="D2164">
        <v>1</v>
      </c>
      <c r="E2164">
        <v>0</v>
      </c>
      <c r="F2164">
        <v>0.17067856711121504</v>
      </c>
    </row>
    <row r="2165" spans="2:8">
      <c r="B2165">
        <v>3</v>
      </c>
      <c r="C2165">
        <v>92.23681599999999</v>
      </c>
      <c r="D2165">
        <v>3</v>
      </c>
      <c r="E2165">
        <v>0</v>
      </c>
      <c r="F2165">
        <v>-6.9026189947287625E-2</v>
      </c>
      <c r="G2165">
        <v>-0.28945156002742412</v>
      </c>
      <c r="H2165">
        <v>-0.22244069147138273</v>
      </c>
    </row>
    <row r="2166" spans="2:8">
      <c r="B2166">
        <v>3</v>
      </c>
      <c r="C2166">
        <v>29.515425700897445</v>
      </c>
      <c r="D2166">
        <v>1</v>
      </c>
      <c r="E2166">
        <v>0</v>
      </c>
      <c r="F2166">
        <v>-0.25519085113834827</v>
      </c>
      <c r="G2166">
        <v>-0.46836760752424034</v>
      </c>
      <c r="H2166">
        <v>-0.6864037762656563</v>
      </c>
    </row>
    <row r="2167" spans="2:8">
      <c r="B2167">
        <v>3</v>
      </c>
      <c r="C2167">
        <v>92.23681599999999</v>
      </c>
      <c r="D2167">
        <v>2</v>
      </c>
      <c r="E2167">
        <v>0</v>
      </c>
      <c r="F2167">
        <v>-7.7666572366796513E-2</v>
      </c>
      <c r="G2167">
        <v>-0.31373140466078897</v>
      </c>
      <c r="H2167">
        <v>-0.25777404549028493</v>
      </c>
    </row>
    <row r="2168" spans="2:8">
      <c r="B2168">
        <v>3</v>
      </c>
      <c r="C2168">
        <v>41.265579199978141</v>
      </c>
      <c r="D2168">
        <v>1</v>
      </c>
      <c r="E2168">
        <v>0</v>
      </c>
      <c r="F2168">
        <v>-0.20732407575658493</v>
      </c>
      <c r="G2168">
        <v>-0.38248452158564122</v>
      </c>
      <c r="H2168">
        <v>-0.56156045525272058</v>
      </c>
    </row>
    <row r="2169" spans="2:8">
      <c r="B2169">
        <v>3</v>
      </c>
      <c r="C2169">
        <v>92.23681599999999</v>
      </c>
      <c r="D2169">
        <v>3</v>
      </c>
      <c r="E2169">
        <v>0</v>
      </c>
      <c r="F2169">
        <v>-0.16277493382898212</v>
      </c>
      <c r="G2169">
        <v>2.5063268094243453E-2</v>
      </c>
      <c r="H2169">
        <v>-3.8055338781024612E-3</v>
      </c>
    </row>
    <row r="2170" spans="2:8">
      <c r="B2170">
        <v>1</v>
      </c>
      <c r="C2170">
        <v>97.960799999999992</v>
      </c>
      <c r="D2170">
        <v>1</v>
      </c>
      <c r="E2170">
        <v>0</v>
      </c>
      <c r="F2170">
        <v>5.2073994043318139E-2</v>
      </c>
    </row>
    <row r="2171" spans="2:8">
      <c r="B2171">
        <v>3</v>
      </c>
      <c r="C2171">
        <v>97.771024959999991</v>
      </c>
      <c r="D2171">
        <v>3</v>
      </c>
      <c r="E2171">
        <v>0</v>
      </c>
      <c r="F2171">
        <v>-0.16072840531551638</v>
      </c>
      <c r="G2171">
        <v>3.2255537768410197E-2</v>
      </c>
      <c r="H2171">
        <v>5.0284556077032508E-3</v>
      </c>
    </row>
    <row r="2172" spans="2:8">
      <c r="B2172">
        <v>1</v>
      </c>
      <c r="C2172">
        <v>102</v>
      </c>
      <c r="D2172">
        <v>1</v>
      </c>
      <c r="E2172">
        <v>0</v>
      </c>
      <c r="F2172">
        <v>-6.6352934819965098E-2</v>
      </c>
      <c r="G2172">
        <v>-0.11058637532502277</v>
      </c>
      <c r="H2172">
        <v>-4.0024732837787652E-2</v>
      </c>
    </row>
    <row r="2173" spans="2:8">
      <c r="B2173">
        <v>3</v>
      </c>
      <c r="C2173">
        <v>52.649834110795268</v>
      </c>
      <c r="D2173">
        <v>1</v>
      </c>
      <c r="E2173">
        <v>0</v>
      </c>
      <c r="F2173">
        <v>-0.11499776673831542</v>
      </c>
      <c r="G2173">
        <v>-0.45475989241362569</v>
      </c>
      <c r="H2173">
        <v>-0.44060474259454746</v>
      </c>
    </row>
    <row r="2174" spans="2:8">
      <c r="B2174">
        <v>1</v>
      </c>
      <c r="C2174">
        <v>102</v>
      </c>
      <c r="D2174">
        <v>1</v>
      </c>
      <c r="E2174">
        <v>0</v>
      </c>
      <c r="F2174">
        <v>3.1659293499281808E-2</v>
      </c>
    </row>
    <row r="2175" spans="2:8">
      <c r="B2175">
        <v>1</v>
      </c>
      <c r="C2175">
        <v>102</v>
      </c>
      <c r="D2175">
        <v>1</v>
      </c>
      <c r="E2175">
        <v>0</v>
      </c>
      <c r="F2175">
        <v>6.1685433547930893E-3</v>
      </c>
    </row>
    <row r="2176" spans="2:8">
      <c r="B2176">
        <v>1</v>
      </c>
      <c r="C2176">
        <v>102</v>
      </c>
      <c r="D2176">
        <v>1</v>
      </c>
      <c r="E2176">
        <v>0</v>
      </c>
      <c r="F2176">
        <v>-0.27593890413141031</v>
      </c>
      <c r="G2176">
        <v>-0.50397457702304205</v>
      </c>
      <c r="H2176">
        <v>-0.7373841986076819</v>
      </c>
    </row>
    <row r="2177" spans="2:8">
      <c r="B2177">
        <v>3</v>
      </c>
      <c r="C2177">
        <v>92.23681599999999</v>
      </c>
      <c r="D2177">
        <v>3</v>
      </c>
      <c r="E2177">
        <v>0</v>
      </c>
      <c r="F2177">
        <v>-5.1862458140318042E-2</v>
      </c>
      <c r="G2177">
        <v>-0.24503806197937764</v>
      </c>
      <c r="H2177">
        <v>-0.15397028572028859</v>
      </c>
    </row>
    <row r="2178" spans="2:8">
      <c r="B2178">
        <v>1</v>
      </c>
      <c r="C2178">
        <v>97.960799999999992</v>
      </c>
      <c r="D2178">
        <v>1</v>
      </c>
      <c r="E2178">
        <v>0</v>
      </c>
      <c r="F2178">
        <v>0.25996316906334932</v>
      </c>
    </row>
    <row r="2179" spans="2:8">
      <c r="B2179">
        <v>1</v>
      </c>
      <c r="C2179">
        <v>97.960799999999992</v>
      </c>
      <c r="D2179">
        <v>1</v>
      </c>
      <c r="E2179">
        <v>0</v>
      </c>
      <c r="F2179">
        <v>9.5306888245736729E-2</v>
      </c>
    </row>
    <row r="2180" spans="2:8">
      <c r="B2180">
        <v>1</v>
      </c>
      <c r="C2180">
        <v>102</v>
      </c>
      <c r="D2180">
        <v>1</v>
      </c>
      <c r="E2180">
        <v>0</v>
      </c>
      <c r="F2180">
        <v>5.4092648252245336E-2</v>
      </c>
    </row>
    <row r="2181" spans="2:8">
      <c r="B2181">
        <v>1</v>
      </c>
      <c r="C2181">
        <v>102</v>
      </c>
      <c r="D2181">
        <v>1</v>
      </c>
      <c r="E2181">
        <v>0</v>
      </c>
      <c r="F2181">
        <v>0.25323241604636132</v>
      </c>
    </row>
    <row r="2182" spans="2:8">
      <c r="B2182">
        <v>1</v>
      </c>
      <c r="C2182">
        <v>102</v>
      </c>
      <c r="D2182">
        <v>1</v>
      </c>
      <c r="E2182">
        <v>0</v>
      </c>
      <c r="F2182">
        <v>-0.13699870133181932</v>
      </c>
      <c r="G2182">
        <v>-0.24952052815246936</v>
      </c>
      <c r="H2182">
        <v>-0.25644080936724128</v>
      </c>
    </row>
    <row r="2183" spans="2:8">
      <c r="B2183">
        <v>3</v>
      </c>
      <c r="C2183">
        <v>92.23681599999999</v>
      </c>
      <c r="D2183">
        <v>3</v>
      </c>
      <c r="E2183">
        <v>0</v>
      </c>
      <c r="F2183">
        <v>-1.8965644672302991E-2</v>
      </c>
      <c r="G2183">
        <v>-0.1690464553719615</v>
      </c>
      <c r="H2183">
        <v>-1.9440498642570071E-2</v>
      </c>
    </row>
    <row r="2184" spans="2:8">
      <c r="B2184">
        <v>1</v>
      </c>
      <c r="C2184">
        <v>97.960799999999992</v>
      </c>
      <c r="D2184">
        <v>1</v>
      </c>
      <c r="E2184">
        <v>0</v>
      </c>
      <c r="F2184">
        <v>0.37191023028088194</v>
      </c>
    </row>
    <row r="2185" spans="2:8">
      <c r="B2185">
        <v>1</v>
      </c>
      <c r="C2185">
        <v>102</v>
      </c>
      <c r="D2185">
        <v>1</v>
      </c>
      <c r="E2185">
        <v>0</v>
      </c>
      <c r="F2185">
        <v>5.9507057851274768E-2</v>
      </c>
    </row>
    <row r="2186" spans="2:8">
      <c r="B2186">
        <v>1</v>
      </c>
      <c r="C2186">
        <v>102</v>
      </c>
      <c r="D2186">
        <v>1</v>
      </c>
      <c r="E2186">
        <v>0</v>
      </c>
      <c r="F2186">
        <v>0.1960945187869248</v>
      </c>
    </row>
    <row r="2187" spans="2:8">
      <c r="B2187">
        <v>3</v>
      </c>
      <c r="C2187">
        <v>92.23681599999999</v>
      </c>
      <c r="D2187">
        <v>1</v>
      </c>
      <c r="E2187">
        <v>0</v>
      </c>
      <c r="F2187">
        <v>-9.5195437485632736E-2</v>
      </c>
      <c r="G2187">
        <v>-0.36934925848267119</v>
      </c>
      <c r="H2187">
        <v>-0.33409600199297618</v>
      </c>
    </row>
    <row r="2188" spans="2:8">
      <c r="B2188">
        <v>1</v>
      </c>
      <c r="C2188">
        <v>102</v>
      </c>
      <c r="D2188">
        <v>1</v>
      </c>
      <c r="E2188">
        <v>0</v>
      </c>
      <c r="F2188">
        <v>-0.13886837575261762</v>
      </c>
      <c r="G2188">
        <v>-0.253133576053513</v>
      </c>
      <c r="H2188">
        <v>-0.26174146662739012</v>
      </c>
    </row>
    <row r="2189" spans="2:8">
      <c r="B2189">
        <v>1</v>
      </c>
      <c r="C2189">
        <v>97.960799999999992</v>
      </c>
      <c r="D2189">
        <v>1</v>
      </c>
      <c r="E2189">
        <v>0</v>
      </c>
      <c r="F2189">
        <v>0.1210223467111107</v>
      </c>
    </row>
    <row r="2190" spans="2:8">
      <c r="B2190">
        <v>1</v>
      </c>
      <c r="C2190">
        <v>97.960799999999992</v>
      </c>
      <c r="D2190">
        <v>1</v>
      </c>
      <c r="E2190">
        <v>0</v>
      </c>
      <c r="F2190">
        <v>0.14990836628833193</v>
      </c>
    </row>
    <row r="2191" spans="2:8">
      <c r="B2191">
        <v>3</v>
      </c>
      <c r="C2191">
        <v>92.23681599999999</v>
      </c>
      <c r="D2191">
        <v>3</v>
      </c>
      <c r="E2191">
        <v>0</v>
      </c>
      <c r="F2191">
        <v>-4.32893183356165E-2</v>
      </c>
      <c r="G2191">
        <v>-0.22427308832390982</v>
      </c>
      <c r="H2191">
        <v>-0.11987516285732984</v>
      </c>
    </row>
    <row r="2192" spans="2:8">
      <c r="B2192">
        <v>1</v>
      </c>
      <c r="C2192">
        <v>102</v>
      </c>
      <c r="D2192">
        <v>1</v>
      </c>
      <c r="E2192">
        <v>0</v>
      </c>
      <c r="F2192">
        <v>0.16238370716244729</v>
      </c>
    </row>
    <row r="2193" spans="2:8">
      <c r="B2193">
        <v>3</v>
      </c>
      <c r="C2193">
        <v>47.79249101768162</v>
      </c>
      <c r="D2193">
        <v>0</v>
      </c>
      <c r="E2193">
        <v>0</v>
      </c>
      <c r="F2193">
        <v>-0.40079765805553103</v>
      </c>
      <c r="G2193">
        <v>-0.36835630787459106</v>
      </c>
      <c r="H2193">
        <v>-0.49221316141996929</v>
      </c>
    </row>
    <row r="2194" spans="2:8">
      <c r="B2194">
        <v>3</v>
      </c>
      <c r="C2194">
        <v>53.017485353914545</v>
      </c>
      <c r="D2194">
        <v>1</v>
      </c>
      <c r="E2194">
        <v>0</v>
      </c>
      <c r="F2194">
        <v>-0.20475611212201042</v>
      </c>
      <c r="G2194">
        <v>-0.37775328140550812</v>
      </c>
      <c r="H2194">
        <v>-0.43669851258920023</v>
      </c>
    </row>
    <row r="2195" spans="2:8">
      <c r="B2195">
        <v>1</v>
      </c>
      <c r="C2195">
        <v>97.960799999999992</v>
      </c>
      <c r="D2195">
        <v>1</v>
      </c>
      <c r="E2195">
        <v>0</v>
      </c>
      <c r="F2195">
        <v>0.2436972770907406</v>
      </c>
    </row>
    <row r="2196" spans="2:8">
      <c r="B2196">
        <v>3</v>
      </c>
      <c r="C2196">
        <v>97.771024959999991</v>
      </c>
      <c r="D2196">
        <v>3</v>
      </c>
      <c r="E2196">
        <v>0</v>
      </c>
      <c r="F2196">
        <v>-2.1682245172402567E-2</v>
      </c>
      <c r="G2196">
        <v>0.12844151176683286</v>
      </c>
      <c r="H2196">
        <v>0.27226092509624189</v>
      </c>
    </row>
    <row r="2197" spans="2:8">
      <c r="B2197">
        <v>1</v>
      </c>
      <c r="C2197">
        <v>97.960799999999992</v>
      </c>
      <c r="D2197">
        <v>1</v>
      </c>
      <c r="E2197">
        <v>0</v>
      </c>
      <c r="F2197">
        <v>5.5394649232385171E-2</v>
      </c>
    </row>
    <row r="2198" spans="2:8">
      <c r="B2198">
        <v>1</v>
      </c>
      <c r="C2198">
        <v>97.960799999999992</v>
      </c>
      <c r="D2198">
        <v>1</v>
      </c>
      <c r="E2198">
        <v>0</v>
      </c>
      <c r="F2198">
        <v>6.0839837910115928E-2</v>
      </c>
    </row>
    <row r="2199" spans="2:8">
      <c r="B2199">
        <v>1</v>
      </c>
      <c r="C2199">
        <v>97.960799999999992</v>
      </c>
      <c r="D2199">
        <v>1</v>
      </c>
      <c r="E2199">
        <v>0</v>
      </c>
      <c r="F2199">
        <v>4.4860507110851121E-2</v>
      </c>
    </row>
    <row r="2200" spans="2:8">
      <c r="B2200">
        <v>1</v>
      </c>
      <c r="C2200">
        <v>102</v>
      </c>
      <c r="D2200">
        <v>1</v>
      </c>
      <c r="E2200">
        <v>0</v>
      </c>
      <c r="F2200">
        <v>9.6908361882757491E-2</v>
      </c>
    </row>
    <row r="2201" spans="2:8">
      <c r="B2201">
        <v>3</v>
      </c>
      <c r="C2201">
        <v>97.771024959999991</v>
      </c>
      <c r="D2201">
        <v>3</v>
      </c>
      <c r="E2201">
        <v>0</v>
      </c>
      <c r="F2201">
        <v>-0.15019700647099532</v>
      </c>
      <c r="G2201">
        <v>7.5438625273055185E-2</v>
      </c>
      <c r="H2201">
        <v>5.693053326490579E-2</v>
      </c>
    </row>
    <row r="2202" spans="2:8">
      <c r="B2202">
        <v>3</v>
      </c>
      <c r="C2202">
        <v>92.23681599999999</v>
      </c>
      <c r="D2202">
        <v>3</v>
      </c>
      <c r="E2202">
        <v>0</v>
      </c>
      <c r="F2202">
        <v>-9.2444524353554186E-2</v>
      </c>
      <c r="G2202">
        <v>-0.16241857507361901</v>
      </c>
      <c r="H2202">
        <v>-0.1240529283193261</v>
      </c>
    </row>
    <row r="2203" spans="2:8">
      <c r="B2203">
        <v>3</v>
      </c>
      <c r="C2203">
        <v>92.23681599999999</v>
      </c>
      <c r="D2203">
        <v>3</v>
      </c>
      <c r="E2203">
        <v>0</v>
      </c>
      <c r="F2203">
        <v>-3.6320799321834012E-2</v>
      </c>
      <c r="G2203">
        <v>-0.20794379035109309</v>
      </c>
      <c r="H2203">
        <v>-9.188136912606619E-2</v>
      </c>
    </row>
    <row r="2204" spans="2:8">
      <c r="B2204">
        <v>3</v>
      </c>
      <c r="C2204">
        <v>33.786569646479172</v>
      </c>
      <c r="D2204">
        <v>1</v>
      </c>
      <c r="E2204">
        <v>0</v>
      </c>
      <c r="F2204">
        <v>-0.23738176099037128</v>
      </c>
      <c r="G2204">
        <v>-0.43696875928356854</v>
      </c>
      <c r="H2204">
        <v>-0.6410236206164186</v>
      </c>
    </row>
    <row r="2205" spans="2:8">
      <c r="B2205">
        <v>3</v>
      </c>
      <c r="C2205">
        <v>92.23681599999999</v>
      </c>
      <c r="D2205">
        <v>1</v>
      </c>
      <c r="E2205">
        <v>0</v>
      </c>
      <c r="F2205">
        <v>-0.10414144509277833</v>
      </c>
      <c r="G2205">
        <v>-0.40321103973815398</v>
      </c>
      <c r="H2205">
        <v>-0.37776219401644229</v>
      </c>
    </row>
    <row r="2206" spans="2:8">
      <c r="B2206">
        <v>3</v>
      </c>
      <c r="C2206">
        <v>92.23681599999999</v>
      </c>
      <c r="D2206">
        <v>3</v>
      </c>
      <c r="E2206">
        <v>0</v>
      </c>
      <c r="F2206">
        <v>-0.11040172251206937</v>
      </c>
      <c r="G2206">
        <v>-0.19774654405175274</v>
      </c>
      <c r="H2206">
        <v>-0.17888730875661421</v>
      </c>
    </row>
    <row r="2207" spans="2:8">
      <c r="B2207">
        <v>1</v>
      </c>
      <c r="C2207">
        <v>102</v>
      </c>
      <c r="D2207">
        <v>1</v>
      </c>
      <c r="E2207">
        <v>0</v>
      </c>
      <c r="F2207">
        <v>1.7220067092953782E-2</v>
      </c>
    </row>
    <row r="2208" spans="2:8">
      <c r="B2208">
        <v>1</v>
      </c>
      <c r="C2208">
        <v>97.960799999999992</v>
      </c>
      <c r="D2208">
        <v>1</v>
      </c>
      <c r="E2208">
        <v>0</v>
      </c>
      <c r="F2208">
        <v>5.0071881662689187E-2</v>
      </c>
    </row>
    <row r="2209" spans="2:8">
      <c r="B2209">
        <v>1</v>
      </c>
      <c r="C2209">
        <v>97.960799999999992</v>
      </c>
      <c r="D2209">
        <v>1</v>
      </c>
      <c r="E2209">
        <v>0</v>
      </c>
      <c r="F2209">
        <v>7.804214027361242E-2</v>
      </c>
    </row>
    <row r="2210" spans="2:8">
      <c r="B2210">
        <v>1</v>
      </c>
      <c r="C2210">
        <v>102</v>
      </c>
      <c r="D2210">
        <v>1</v>
      </c>
      <c r="E2210">
        <v>0</v>
      </c>
      <c r="F2210">
        <v>1.6080636093709643E-3</v>
      </c>
    </row>
    <row r="2211" spans="2:8">
      <c r="B2211">
        <v>1</v>
      </c>
      <c r="C2211">
        <v>102</v>
      </c>
      <c r="D2211">
        <v>1</v>
      </c>
      <c r="E2211">
        <v>0</v>
      </c>
      <c r="F2211">
        <v>-0.24598696618679156</v>
      </c>
      <c r="G2211">
        <v>-0.16322217290226468</v>
      </c>
      <c r="H2211">
        <v>-0.37411666983891628</v>
      </c>
    </row>
    <row r="2212" spans="2:8">
      <c r="B2212">
        <v>3</v>
      </c>
      <c r="C2212">
        <v>92.23681599999999</v>
      </c>
      <c r="D2212">
        <v>3</v>
      </c>
      <c r="E2212">
        <v>0</v>
      </c>
      <c r="F2212">
        <v>-9.0773489155798151E-2</v>
      </c>
      <c r="G2212">
        <v>-4.7045775719004819E-2</v>
      </c>
      <c r="H2212">
        <v>-6.7659886374782418E-3</v>
      </c>
    </row>
    <row r="2213" spans="2:8">
      <c r="B2213">
        <v>1</v>
      </c>
      <c r="C2213">
        <v>102</v>
      </c>
      <c r="D2213">
        <v>1</v>
      </c>
      <c r="E2213">
        <v>0</v>
      </c>
      <c r="F2213">
        <v>-0.15413338889641931</v>
      </c>
      <c r="G2213">
        <v>5.7820246079749192E-2</v>
      </c>
      <c r="H2213">
        <v>-7.3789874326418717E-2</v>
      </c>
    </row>
    <row r="2214" spans="2:8">
      <c r="B2214">
        <v>1</v>
      </c>
      <c r="C2214">
        <v>102</v>
      </c>
      <c r="D2214">
        <v>1</v>
      </c>
      <c r="E2214">
        <v>0</v>
      </c>
      <c r="F2214">
        <v>0.22259976428443515</v>
      </c>
    </row>
    <row r="2215" spans="2:8">
      <c r="B2215">
        <v>3</v>
      </c>
      <c r="C2215">
        <v>97.771024959999991</v>
      </c>
      <c r="D2215">
        <v>3</v>
      </c>
      <c r="E2215">
        <v>0</v>
      </c>
      <c r="F2215">
        <v>-8.466812924325438E-3</v>
      </c>
      <c r="G2215">
        <v>-0.14655045580775322</v>
      </c>
      <c r="H2215">
        <v>2.8137195879454738E-2</v>
      </c>
    </row>
    <row r="2216" spans="2:8">
      <c r="B2216">
        <v>1</v>
      </c>
      <c r="C2216">
        <v>102</v>
      </c>
      <c r="D2216">
        <v>1</v>
      </c>
      <c r="E2216">
        <v>0</v>
      </c>
      <c r="F2216">
        <v>1.0777366486394163E-2</v>
      </c>
    </row>
    <row r="2217" spans="2:8">
      <c r="B2217">
        <v>1</v>
      </c>
      <c r="C2217">
        <v>102</v>
      </c>
      <c r="D2217">
        <v>1</v>
      </c>
      <c r="E2217">
        <v>0</v>
      </c>
      <c r="F2217">
        <v>-0.31676917392168424</v>
      </c>
      <c r="G2217">
        <v>-0.26785323482062423</v>
      </c>
      <c r="H2217">
        <v>-0.52807549270717535</v>
      </c>
    </row>
    <row r="2218" spans="2:8">
      <c r="B2218">
        <v>3</v>
      </c>
      <c r="C2218">
        <v>97.771024959999991</v>
      </c>
      <c r="D2218">
        <v>3</v>
      </c>
      <c r="E2218">
        <v>0</v>
      </c>
      <c r="F2218">
        <v>-1.2901086434356999E-2</v>
      </c>
      <c r="G2218">
        <v>0.15803357033244306</v>
      </c>
      <c r="H2218">
        <v>0.32152666395355012</v>
      </c>
    </row>
    <row r="2219" spans="2:8">
      <c r="B2219">
        <v>1</v>
      </c>
      <c r="C2219">
        <v>97.960799999999992</v>
      </c>
      <c r="D2219">
        <v>1</v>
      </c>
      <c r="E2219">
        <v>0</v>
      </c>
      <c r="F2219">
        <v>2.4945197845702281E-2</v>
      </c>
    </row>
    <row r="2220" spans="2:8">
      <c r="B2220">
        <v>1</v>
      </c>
      <c r="C2220">
        <v>97.960799999999992</v>
      </c>
      <c r="D2220">
        <v>1</v>
      </c>
      <c r="E2220">
        <v>0</v>
      </c>
      <c r="F2220">
        <v>0.21572893663764772</v>
      </c>
    </row>
    <row r="2221" spans="2:8">
      <c r="B2221">
        <v>1</v>
      </c>
      <c r="C2221">
        <v>97.960799999999992</v>
      </c>
      <c r="D2221">
        <v>1</v>
      </c>
      <c r="E2221">
        <v>0</v>
      </c>
      <c r="F2221">
        <v>0.14069640540243994</v>
      </c>
    </row>
    <row r="2222" spans="2:8">
      <c r="B2222">
        <v>3</v>
      </c>
      <c r="C2222">
        <v>97.771024959999991</v>
      </c>
      <c r="D2222">
        <v>3</v>
      </c>
      <c r="E2222">
        <v>0</v>
      </c>
      <c r="F2222">
        <v>-3.0370891072521441E-2</v>
      </c>
      <c r="G2222">
        <v>0.10190175271038544</v>
      </c>
      <c r="H2222">
        <v>0.22863996873699483</v>
      </c>
    </row>
    <row r="2223" spans="2:8">
      <c r="B2223">
        <v>1</v>
      </c>
      <c r="C2223">
        <v>97.960799999999992</v>
      </c>
      <c r="D2223">
        <v>1</v>
      </c>
      <c r="E2223">
        <v>0</v>
      </c>
      <c r="F2223">
        <v>9.0399178780870018E-2</v>
      </c>
    </row>
    <row r="2224" spans="2:8">
      <c r="B2224">
        <v>3</v>
      </c>
      <c r="C2224">
        <v>92.23681599999999</v>
      </c>
      <c r="D2224">
        <v>3</v>
      </c>
      <c r="E2224">
        <v>0</v>
      </c>
      <c r="F2224">
        <v>-0.13514046789229953</v>
      </c>
      <c r="G2224">
        <v>-0.1373352646320605</v>
      </c>
      <c r="H2224">
        <v>-0.14256282788501912</v>
      </c>
    </row>
    <row r="2225" spans="2:8">
      <c r="B2225">
        <v>3</v>
      </c>
      <c r="C2225">
        <v>97.771024959999991</v>
      </c>
      <c r="D2225">
        <v>3</v>
      </c>
      <c r="E2225">
        <v>0</v>
      </c>
      <c r="F2225">
        <v>-0.13395602383296626</v>
      </c>
      <c r="G2225">
        <v>0.21225688154653743</v>
      </c>
      <c r="H2225">
        <v>0.20811636113478338</v>
      </c>
    </row>
    <row r="2226" spans="2:8">
      <c r="B2226">
        <v>1</v>
      </c>
      <c r="C2226">
        <v>97.960799999999992</v>
      </c>
      <c r="D2226">
        <v>1</v>
      </c>
      <c r="E2226">
        <v>0</v>
      </c>
      <c r="F2226">
        <v>9.9438967845525278E-2</v>
      </c>
    </row>
    <row r="2227" spans="2:8">
      <c r="B2227">
        <v>1</v>
      </c>
      <c r="C2227">
        <v>97.960799999999992</v>
      </c>
      <c r="D2227">
        <v>1</v>
      </c>
      <c r="E2227">
        <v>0</v>
      </c>
      <c r="F2227">
        <v>0.34408836989993191</v>
      </c>
    </row>
    <row r="2228" spans="2:8">
      <c r="B2228">
        <v>3</v>
      </c>
      <c r="C2228">
        <v>92.23681599999999</v>
      </c>
      <c r="D2228">
        <v>1</v>
      </c>
      <c r="E2228">
        <v>0</v>
      </c>
      <c r="F2228">
        <v>-0.16826799846938834</v>
      </c>
      <c r="G2228">
        <v>-0.30943644700482953</v>
      </c>
      <c r="H2228">
        <v>-0.34262870725524924</v>
      </c>
    </row>
    <row r="2229" spans="2:8">
      <c r="B2229">
        <v>1</v>
      </c>
      <c r="C2229">
        <v>97.960799999999992</v>
      </c>
      <c r="D2229">
        <v>1</v>
      </c>
      <c r="E2229">
        <v>0</v>
      </c>
      <c r="F2229">
        <v>6.8571063312504191E-2</v>
      </c>
    </row>
    <row r="2230" spans="2:8">
      <c r="B2230">
        <v>1</v>
      </c>
      <c r="C2230">
        <v>102</v>
      </c>
      <c r="D2230">
        <v>1</v>
      </c>
      <c r="E2230">
        <v>0</v>
      </c>
      <c r="F2230">
        <v>-0.21604494591184498</v>
      </c>
      <c r="G2230">
        <v>-0.27904723295380801</v>
      </c>
      <c r="H2230">
        <v>-0.34495122979212278</v>
      </c>
    </row>
    <row r="2231" spans="2:8">
      <c r="B2231">
        <v>1</v>
      </c>
      <c r="C2231">
        <v>97.960799999999992</v>
      </c>
      <c r="D2231">
        <v>1</v>
      </c>
      <c r="E2231">
        <v>0</v>
      </c>
      <c r="F2231">
        <v>5.7441758036362131E-2</v>
      </c>
    </row>
    <row r="2232" spans="2:8">
      <c r="B2232">
        <v>3</v>
      </c>
      <c r="C2232">
        <v>92.23681599999999</v>
      </c>
      <c r="D2232">
        <v>3</v>
      </c>
      <c r="E2232">
        <v>0</v>
      </c>
      <c r="F2232">
        <v>-0.17747713611908347</v>
      </c>
      <c r="G2232">
        <v>-0.21474525472140926</v>
      </c>
      <c r="H2232">
        <v>-0.25491833164044819</v>
      </c>
    </row>
    <row r="2233" spans="2:8">
      <c r="B2233">
        <v>3</v>
      </c>
      <c r="C2233">
        <v>92.23681599999999</v>
      </c>
      <c r="D2233">
        <v>3</v>
      </c>
      <c r="E2233">
        <v>0</v>
      </c>
      <c r="F2233">
        <v>-2.7680045721754667E-2</v>
      </c>
      <c r="G2233">
        <v>-0.18828724198183022</v>
      </c>
      <c r="H2233">
        <v>-5.6467103176255813E-2</v>
      </c>
    </row>
    <row r="2234" spans="2:8">
      <c r="B2234">
        <v>1</v>
      </c>
      <c r="C2234">
        <v>102</v>
      </c>
      <c r="D2234">
        <v>1</v>
      </c>
      <c r="E2234">
        <v>0</v>
      </c>
      <c r="F2234">
        <v>-0.30131800956946581</v>
      </c>
      <c r="G2234">
        <v>-0.54590243737130528</v>
      </c>
      <c r="H2234">
        <v>-0.79656471816328089</v>
      </c>
    </row>
    <row r="2235" spans="2:8">
      <c r="B2235">
        <v>1</v>
      </c>
      <c r="C2235">
        <v>102</v>
      </c>
      <c r="D2235">
        <v>1</v>
      </c>
      <c r="E2235">
        <v>0</v>
      </c>
      <c r="F2235">
        <v>-2.6036398532135061E-2</v>
      </c>
      <c r="G2235">
        <v>-0.18461561259361858</v>
      </c>
      <c r="H2235">
        <v>-4.9604235385582361E-2</v>
      </c>
    </row>
    <row r="2236" spans="2:8">
      <c r="B2236">
        <v>1</v>
      </c>
      <c r="C2236">
        <v>97.960799999999992</v>
      </c>
      <c r="D2236">
        <v>1</v>
      </c>
      <c r="E2236">
        <v>0</v>
      </c>
      <c r="F2236">
        <v>7.214862445423717E-2</v>
      </c>
    </row>
    <row r="2237" spans="2:8">
      <c r="B2237">
        <v>1</v>
      </c>
      <c r="C2237">
        <v>97.960799999999992</v>
      </c>
      <c r="D2237">
        <v>1</v>
      </c>
      <c r="E2237">
        <v>0</v>
      </c>
      <c r="F2237">
        <v>1.5439479863785192E-2</v>
      </c>
    </row>
    <row r="2238" spans="2:8">
      <c r="B2238">
        <v>3</v>
      </c>
      <c r="C2238">
        <v>2.7301007492613909</v>
      </c>
      <c r="D2238">
        <v>0</v>
      </c>
      <c r="E2238">
        <v>0</v>
      </c>
      <c r="F2238">
        <v>-0.39047071733762212</v>
      </c>
      <c r="G2238">
        <v>-0.6763759769280685</v>
      </c>
      <c r="H2238">
        <v>-0.97099315815198817</v>
      </c>
    </row>
    <row r="2239" spans="2:8">
      <c r="B2239">
        <v>1</v>
      </c>
      <c r="C2239">
        <v>97.960799999999992</v>
      </c>
      <c r="D2239">
        <v>1</v>
      </c>
      <c r="E2239">
        <v>0</v>
      </c>
      <c r="F2239">
        <v>2.8616022516593197E-2</v>
      </c>
    </row>
    <row r="2240" spans="2:8">
      <c r="B2240">
        <v>3</v>
      </c>
      <c r="C2240">
        <v>92.23681599999999</v>
      </c>
      <c r="D2240">
        <v>1</v>
      </c>
      <c r="E2240">
        <v>0</v>
      </c>
      <c r="F2240">
        <v>-0.23120336012869763</v>
      </c>
      <c r="G2240">
        <v>-0.30281016232850227</v>
      </c>
      <c r="H2240">
        <v>-0.37733439379545719</v>
      </c>
    </row>
    <row r="2241" spans="2:8">
      <c r="B2241">
        <v>1</v>
      </c>
      <c r="C2241">
        <v>97.960799999999992</v>
      </c>
      <c r="D2241">
        <v>1</v>
      </c>
      <c r="E2241">
        <v>0</v>
      </c>
      <c r="F2241">
        <v>9.2835917233642457E-2</v>
      </c>
    </row>
    <row r="2242" spans="2:8">
      <c r="B2242">
        <v>3</v>
      </c>
      <c r="C2242">
        <v>37.630568862616371</v>
      </c>
      <c r="D2242">
        <v>0</v>
      </c>
      <c r="E2242">
        <v>0</v>
      </c>
      <c r="F2242">
        <v>-0.3650080532723663</v>
      </c>
      <c r="G2242">
        <v>-0.48102396736522768</v>
      </c>
      <c r="H2242">
        <v>-0.60018180283495426</v>
      </c>
    </row>
    <row r="2243" spans="2:8">
      <c r="B2243">
        <v>1</v>
      </c>
      <c r="C2243">
        <v>102</v>
      </c>
      <c r="D2243">
        <v>1</v>
      </c>
      <c r="E2243">
        <v>0</v>
      </c>
      <c r="F2243">
        <v>-0.22632729781177899</v>
      </c>
      <c r="G2243">
        <v>-0.12836330634552862</v>
      </c>
      <c r="H2243">
        <v>-0.20020408999667638</v>
      </c>
    </row>
    <row r="2244" spans="2:8">
      <c r="B2244">
        <v>3</v>
      </c>
      <c r="C2244">
        <v>33.892031766926394</v>
      </c>
      <c r="D2244">
        <v>1</v>
      </c>
      <c r="E2244">
        <v>0</v>
      </c>
      <c r="F2244">
        <v>-0.2960296398249449</v>
      </c>
      <c r="G2244">
        <v>-0.53732461406884924</v>
      </c>
      <c r="H2244">
        <v>-0.6399031040751898</v>
      </c>
    </row>
    <row r="2245" spans="2:8">
      <c r="B2245">
        <v>3</v>
      </c>
      <c r="C2245">
        <v>97.771024959999991</v>
      </c>
      <c r="D2245">
        <v>3</v>
      </c>
      <c r="E2245">
        <v>0</v>
      </c>
      <c r="F2245">
        <v>-0.14196149330310062</v>
      </c>
      <c r="G2245">
        <v>0.12272287159972238</v>
      </c>
      <c r="H2245">
        <v>0.11135688291685393</v>
      </c>
    </row>
    <row r="2246" spans="2:8">
      <c r="B2246">
        <v>3</v>
      </c>
      <c r="C2246">
        <v>97.771024959999991</v>
      </c>
      <c r="D2246">
        <v>3</v>
      </c>
      <c r="E2246">
        <v>0</v>
      </c>
      <c r="F2246">
        <v>-5.6948517610637467E-3</v>
      </c>
      <c r="G2246">
        <v>1.2273775379045535E-2</v>
      </c>
      <c r="H2246">
        <v>0.1945186493740324</v>
      </c>
    </row>
    <row r="2247" spans="2:8">
      <c r="B2247">
        <v>1</v>
      </c>
      <c r="C2247">
        <v>97.960799999999992</v>
      </c>
      <c r="D2247">
        <v>1</v>
      </c>
      <c r="E2247">
        <v>0</v>
      </c>
      <c r="F2247">
        <v>0.15224676114186689</v>
      </c>
    </row>
    <row r="2248" spans="2:8">
      <c r="B2248">
        <v>3</v>
      </c>
      <c r="C2248">
        <v>43.512407450865588</v>
      </c>
      <c r="D2248">
        <v>0</v>
      </c>
      <c r="E2248">
        <v>0</v>
      </c>
      <c r="F2248">
        <v>-0.32091376199285182</v>
      </c>
      <c r="G2248">
        <v>-0.42776373807494178</v>
      </c>
      <c r="H2248">
        <v>-0.53768829897761994</v>
      </c>
    </row>
    <row r="2249" spans="2:8">
      <c r="B2249">
        <v>1</v>
      </c>
      <c r="C2249">
        <v>102</v>
      </c>
      <c r="D2249">
        <v>1</v>
      </c>
      <c r="E2249">
        <v>0</v>
      </c>
      <c r="F2249">
        <v>-0.2832116211995751</v>
      </c>
      <c r="G2249">
        <v>-0.22149577891521605</v>
      </c>
      <c r="H2249">
        <v>-0.31959611575907476</v>
      </c>
    </row>
    <row r="2250" spans="2:8">
      <c r="B2250">
        <v>3</v>
      </c>
      <c r="C2250">
        <v>92.23681599999999</v>
      </c>
      <c r="D2250">
        <v>2</v>
      </c>
      <c r="E2250">
        <v>0</v>
      </c>
      <c r="F2250">
        <v>-0.1574086579987363</v>
      </c>
      <c r="G2250">
        <v>-0.28875650517216261</v>
      </c>
      <c r="H2250">
        <v>-0.31328437454121649</v>
      </c>
    </row>
    <row r="2251" spans="2:8">
      <c r="B2251">
        <v>1</v>
      </c>
      <c r="C2251">
        <v>102</v>
      </c>
      <c r="D2251">
        <v>1</v>
      </c>
      <c r="E2251">
        <v>0</v>
      </c>
      <c r="F2251">
        <v>3.6623113914169093E-2</v>
      </c>
    </row>
    <row r="2252" spans="2:8">
      <c r="B2252">
        <v>3</v>
      </c>
      <c r="C2252">
        <v>97.771024959999991</v>
      </c>
      <c r="D2252">
        <v>3</v>
      </c>
      <c r="E2252">
        <v>0</v>
      </c>
      <c r="F2252">
        <v>-7.3861390808314872E-3</v>
      </c>
      <c r="G2252">
        <v>8.7982923863418674E-3</v>
      </c>
      <c r="H2252">
        <v>2.1821136616347846E-2</v>
      </c>
    </row>
    <row r="2253" spans="2:8">
      <c r="B2253">
        <v>3</v>
      </c>
      <c r="C2253">
        <v>92.23681599999999</v>
      </c>
      <c r="D2253">
        <v>3</v>
      </c>
      <c r="E2253">
        <v>0</v>
      </c>
      <c r="F2253">
        <v>-0.20062601443367617</v>
      </c>
      <c r="G2253">
        <v>-7.6471321064654874E-2</v>
      </c>
      <c r="H2253">
        <v>-0.24977693525731093</v>
      </c>
    </row>
    <row r="2254" spans="2:8">
      <c r="B2254">
        <v>3</v>
      </c>
      <c r="C2254">
        <v>92.23681599999999</v>
      </c>
      <c r="D2254">
        <v>1</v>
      </c>
      <c r="E2254">
        <v>0</v>
      </c>
      <c r="F2254">
        <v>-0.17968797904061218</v>
      </c>
      <c r="G2254">
        <v>-0.3310224133523062</v>
      </c>
      <c r="H2254">
        <v>-0.37282219216982898</v>
      </c>
    </row>
    <row r="2255" spans="2:8">
      <c r="B2255">
        <v>1</v>
      </c>
      <c r="C2255">
        <v>97.960799999999992</v>
      </c>
      <c r="D2255">
        <v>1</v>
      </c>
      <c r="E2255">
        <v>0</v>
      </c>
      <c r="F2255">
        <v>0.10631187706250048</v>
      </c>
    </row>
    <row r="2256" spans="2:8">
      <c r="B2256">
        <v>1</v>
      </c>
      <c r="C2256">
        <v>102</v>
      </c>
      <c r="D2256">
        <v>1</v>
      </c>
      <c r="E2256">
        <v>0</v>
      </c>
      <c r="F2256">
        <v>0.23001935467251722</v>
      </c>
    </row>
    <row r="2257" spans="2:8">
      <c r="B2257">
        <v>1</v>
      </c>
      <c r="C2257">
        <v>102</v>
      </c>
      <c r="D2257">
        <v>1</v>
      </c>
      <c r="E2257">
        <v>0</v>
      </c>
      <c r="F2257">
        <v>-0.12256205352154111</v>
      </c>
      <c r="G2257">
        <v>-0.50696999085341587</v>
      </c>
      <c r="H2257">
        <v>-0.50032249555679664</v>
      </c>
    </row>
    <row r="2258" spans="2:8">
      <c r="B2258">
        <v>1</v>
      </c>
      <c r="C2258">
        <v>102</v>
      </c>
      <c r="D2258">
        <v>1</v>
      </c>
      <c r="E2258">
        <v>0</v>
      </c>
      <c r="F2258">
        <v>-5.7769511810387822E-2</v>
      </c>
      <c r="G2258">
        <v>-9.3406895997608777E-2</v>
      </c>
      <c r="H2258">
        <v>-1.0974292780410448E-2</v>
      </c>
    </row>
    <row r="2259" spans="2:8">
      <c r="B2259">
        <v>1</v>
      </c>
      <c r="C2259">
        <v>102</v>
      </c>
      <c r="D2259">
        <v>1</v>
      </c>
      <c r="E2259">
        <v>0</v>
      </c>
      <c r="F2259">
        <v>-0.14386333982062974</v>
      </c>
      <c r="G2259">
        <v>0.109971801863987</v>
      </c>
      <c r="H2259">
        <v>9.6930658960048877E-2</v>
      </c>
    </row>
    <row r="2260" spans="2:8">
      <c r="B2260">
        <v>1</v>
      </c>
      <c r="C2260">
        <v>102</v>
      </c>
      <c r="D2260">
        <v>1</v>
      </c>
      <c r="E2260">
        <v>0</v>
      </c>
      <c r="F2260">
        <v>0.14634192484980285</v>
      </c>
    </row>
    <row r="2261" spans="2:8">
      <c r="B2261">
        <v>1</v>
      </c>
      <c r="C2261">
        <v>102</v>
      </c>
      <c r="D2261">
        <v>1</v>
      </c>
      <c r="E2261">
        <v>0</v>
      </c>
      <c r="F2261">
        <v>8.2626705838348635E-2</v>
      </c>
    </row>
    <row r="2262" spans="2:8">
      <c r="B2262">
        <v>1</v>
      </c>
      <c r="C2262">
        <v>97.960799999999992</v>
      </c>
      <c r="D2262">
        <v>1</v>
      </c>
      <c r="E2262">
        <v>0</v>
      </c>
      <c r="F2262">
        <v>8.885564187485169E-2</v>
      </c>
    </row>
    <row r="2263" spans="2:8">
      <c r="B2263">
        <v>1</v>
      </c>
      <c r="C2263">
        <v>102</v>
      </c>
      <c r="D2263">
        <v>1</v>
      </c>
      <c r="E2263">
        <v>0</v>
      </c>
      <c r="F2263">
        <v>7.0744444715467369E-2</v>
      </c>
    </row>
    <row r="2264" spans="2:8">
      <c r="B2264">
        <v>1</v>
      </c>
      <c r="C2264">
        <v>97.960799999999992</v>
      </c>
      <c r="D2264">
        <v>1</v>
      </c>
      <c r="E2264">
        <v>0</v>
      </c>
      <c r="F2264">
        <v>0.13208445987089124</v>
      </c>
    </row>
    <row r="2265" spans="2:8">
      <c r="B2265">
        <v>3</v>
      </c>
      <c r="C2265">
        <v>92.23681599999999</v>
      </c>
      <c r="D2265">
        <v>3</v>
      </c>
      <c r="E2265">
        <v>0</v>
      </c>
      <c r="F2265">
        <v>-1.7304994717696934E-2</v>
      </c>
      <c r="G2265">
        <v>-0.165440520846767</v>
      </c>
      <c r="H2265">
        <v>-1.2173487245824101E-2</v>
      </c>
    </row>
    <row r="2266" spans="2:8">
      <c r="B2266">
        <v>1</v>
      </c>
      <c r="C2266">
        <v>97.960799999999992</v>
      </c>
      <c r="D2266">
        <v>1</v>
      </c>
      <c r="E2266">
        <v>0</v>
      </c>
      <c r="F2266">
        <v>3.9750645740014266E-2</v>
      </c>
    </row>
    <row r="2267" spans="2:8">
      <c r="B2267">
        <v>1</v>
      </c>
      <c r="C2267">
        <v>102</v>
      </c>
      <c r="D2267">
        <v>1</v>
      </c>
      <c r="E2267">
        <v>0</v>
      </c>
      <c r="F2267">
        <v>0.1181257872327036</v>
      </c>
    </row>
    <row r="2268" spans="2:8">
      <c r="B2268">
        <v>1</v>
      </c>
      <c r="C2268">
        <v>102</v>
      </c>
      <c r="D2268">
        <v>1</v>
      </c>
      <c r="E2268">
        <v>0</v>
      </c>
      <c r="F2268">
        <v>-0.20222673208463188</v>
      </c>
      <c r="G2268">
        <v>-0.25665421772433411</v>
      </c>
      <c r="H2268">
        <v>-0.31397616469490924</v>
      </c>
    </row>
    <row r="2269" spans="2:8">
      <c r="B2269">
        <v>1</v>
      </c>
      <c r="C2269">
        <v>102</v>
      </c>
      <c r="D2269">
        <v>1</v>
      </c>
      <c r="E2269">
        <v>0</v>
      </c>
      <c r="F2269">
        <v>2.6775380901269553E-2</v>
      </c>
    </row>
    <row r="2270" spans="2:8">
      <c r="B2270">
        <v>1</v>
      </c>
      <c r="C2270">
        <v>102</v>
      </c>
      <c r="D2270">
        <v>1</v>
      </c>
      <c r="E2270">
        <v>0</v>
      </c>
      <c r="F2270">
        <v>2.0160186503921162E-2</v>
      </c>
    </row>
    <row r="2271" spans="2:8">
      <c r="B2271">
        <v>1</v>
      </c>
      <c r="C2271">
        <v>97.960799999999992</v>
      </c>
      <c r="D2271">
        <v>1</v>
      </c>
      <c r="E2271">
        <v>0</v>
      </c>
      <c r="F2271">
        <v>0.29596204975409662</v>
      </c>
    </row>
    <row r="2272" spans="2:8">
      <c r="B2272">
        <v>1</v>
      </c>
      <c r="C2272">
        <v>97.960799999999992</v>
      </c>
      <c r="D2272">
        <v>1</v>
      </c>
      <c r="E2272">
        <v>0</v>
      </c>
      <c r="F2272">
        <v>7.6596421611685839E-2</v>
      </c>
    </row>
    <row r="2273" spans="2:8">
      <c r="B2273">
        <v>1</v>
      </c>
      <c r="C2273">
        <v>97.960799999999992</v>
      </c>
      <c r="D2273">
        <v>1</v>
      </c>
      <c r="E2273">
        <v>0</v>
      </c>
      <c r="F2273">
        <v>0.10899256706834888</v>
      </c>
    </row>
    <row r="2274" spans="2:8">
      <c r="B2274">
        <v>1</v>
      </c>
      <c r="C2274">
        <v>97.960799999999992</v>
      </c>
      <c r="D2274">
        <v>1</v>
      </c>
      <c r="E2274">
        <v>0</v>
      </c>
      <c r="F2274">
        <v>2.3778219835990197E-2</v>
      </c>
    </row>
    <row r="2275" spans="2:8">
      <c r="B2275">
        <v>1</v>
      </c>
      <c r="C2275">
        <v>102</v>
      </c>
      <c r="D2275">
        <v>1</v>
      </c>
      <c r="E2275">
        <v>0</v>
      </c>
      <c r="F2275">
        <v>-0.20899009897295465</v>
      </c>
      <c r="G2275">
        <v>-9.4328461330895827E-2</v>
      </c>
      <c r="H2275">
        <v>-0.15593822846877131</v>
      </c>
    </row>
    <row r="2276" spans="2:8">
      <c r="B2276">
        <v>1</v>
      </c>
      <c r="C2276">
        <v>102</v>
      </c>
      <c r="D2276">
        <v>1</v>
      </c>
      <c r="E2276">
        <v>0</v>
      </c>
      <c r="F2276">
        <v>4.1674445445074024E-2</v>
      </c>
    </row>
    <row r="2277" spans="2:8">
      <c r="B2277">
        <v>3</v>
      </c>
      <c r="C2277">
        <v>32.882976894316627</v>
      </c>
      <c r="D2277">
        <v>1</v>
      </c>
      <c r="E2277">
        <v>0</v>
      </c>
      <c r="F2277">
        <v>-0.1302858787600478</v>
      </c>
      <c r="G2277">
        <v>-0.64989248061332461</v>
      </c>
      <c r="H2277">
        <v>-0.65062413519965501</v>
      </c>
    </row>
    <row r="2278" spans="2:8">
      <c r="B2278">
        <v>1</v>
      </c>
      <c r="C2278">
        <v>102</v>
      </c>
      <c r="D2278">
        <v>1</v>
      </c>
      <c r="E2278">
        <v>0</v>
      </c>
      <c r="F2278">
        <v>-0.14894878565348127</v>
      </c>
      <c r="G2278">
        <v>-0.27254924658494567</v>
      </c>
      <c r="H2278">
        <v>-0.39935650866061756</v>
      </c>
    </row>
    <row r="2279" spans="2:8">
      <c r="B2279">
        <v>1</v>
      </c>
      <c r="C2279">
        <v>102</v>
      </c>
      <c r="D2279">
        <v>1</v>
      </c>
      <c r="E2279">
        <v>0</v>
      </c>
      <c r="F2279">
        <v>0.17796059151914795</v>
      </c>
    </row>
    <row r="2280" spans="2:8">
      <c r="B2280">
        <v>1</v>
      </c>
      <c r="C2280">
        <v>97.960799999999992</v>
      </c>
      <c r="D2280">
        <v>1</v>
      </c>
      <c r="E2280">
        <v>0</v>
      </c>
      <c r="F2280">
        <v>3.3529346454055114E-2</v>
      </c>
    </row>
    <row r="2281" spans="2:8">
      <c r="B2281">
        <v>3</v>
      </c>
      <c r="C2281">
        <v>92.23681599999999</v>
      </c>
      <c r="D2281">
        <v>3</v>
      </c>
      <c r="E2281">
        <v>0</v>
      </c>
      <c r="F2281">
        <v>-0.2575270398073195</v>
      </c>
      <c r="G2281">
        <v>-0.18223297253005702</v>
      </c>
      <c r="H2281">
        <v>-0.26981567667196232</v>
      </c>
    </row>
    <row r="2282" spans="2:8">
      <c r="B2282">
        <v>1</v>
      </c>
      <c r="C2282">
        <v>102</v>
      </c>
      <c r="D2282">
        <v>1</v>
      </c>
      <c r="E2282">
        <v>0</v>
      </c>
      <c r="F2282">
        <v>0.1664575119862047</v>
      </c>
    </row>
    <row r="2283" spans="2:8">
      <c r="B2283">
        <v>1</v>
      </c>
      <c r="C2283">
        <v>102</v>
      </c>
      <c r="D2283">
        <v>1</v>
      </c>
      <c r="E2283">
        <v>0</v>
      </c>
      <c r="F2283">
        <v>4.8797868636337192E-2</v>
      </c>
    </row>
    <row r="2284" spans="2:8">
      <c r="B2284">
        <v>1</v>
      </c>
      <c r="C2284">
        <v>102</v>
      </c>
      <c r="D2284">
        <v>1</v>
      </c>
      <c r="E2284">
        <v>0</v>
      </c>
      <c r="F2284">
        <v>-0.47555204127181083</v>
      </c>
      <c r="G2284">
        <v>-0.60094669654015886</v>
      </c>
      <c r="H2284">
        <v>-0.72956477000774356</v>
      </c>
    </row>
    <row r="2285" spans="2:8">
      <c r="B2285">
        <v>3</v>
      </c>
      <c r="C2285">
        <v>92.23681599999999</v>
      </c>
      <c r="D2285">
        <v>3</v>
      </c>
      <c r="E2285">
        <v>0</v>
      </c>
      <c r="F2285">
        <v>-0.18564628031188402</v>
      </c>
      <c r="G2285">
        <v>-4.1331960703795863E-2</v>
      </c>
      <c r="H2285">
        <v>-8.7422146016586183E-2</v>
      </c>
    </row>
    <row r="2286" spans="2:8">
      <c r="B2286">
        <v>1</v>
      </c>
      <c r="C2286">
        <v>102</v>
      </c>
      <c r="D2286">
        <v>1</v>
      </c>
      <c r="E2286">
        <v>0</v>
      </c>
      <c r="F2286">
        <v>0.12895914804865674</v>
      </c>
    </row>
    <row r="2287" spans="2:8">
      <c r="B2287">
        <v>1</v>
      </c>
      <c r="C2287">
        <v>97.960799999999992</v>
      </c>
      <c r="D2287">
        <v>1</v>
      </c>
      <c r="E2287">
        <v>0</v>
      </c>
      <c r="F2287">
        <v>0.12397698982162034</v>
      </c>
    </row>
    <row r="2288" spans="2:8">
      <c r="B2288">
        <v>3</v>
      </c>
      <c r="C2288">
        <v>97.771024959999991</v>
      </c>
      <c r="D2288">
        <v>3</v>
      </c>
      <c r="E2288">
        <v>0</v>
      </c>
      <c r="F2288">
        <v>-3.99829573998506E-3</v>
      </c>
      <c r="G2288">
        <v>0.1924201031557278</v>
      </c>
      <c r="H2288">
        <v>0.37954146102069375</v>
      </c>
    </row>
    <row r="2289" spans="2:8">
      <c r="B2289">
        <v>1</v>
      </c>
      <c r="C2289">
        <v>102</v>
      </c>
      <c r="D2289">
        <v>1</v>
      </c>
      <c r="E2289">
        <v>0</v>
      </c>
      <c r="F2289">
        <v>-2.9087088522486799E-3</v>
      </c>
      <c r="G2289">
        <v>-0.32774431932526815</v>
      </c>
      <c r="H2289">
        <v>-0.31003173903573206</v>
      </c>
    </row>
    <row r="2290" spans="2:8">
      <c r="B2290">
        <v>3</v>
      </c>
      <c r="C2290">
        <v>37.672821267288192</v>
      </c>
      <c r="D2290">
        <v>1</v>
      </c>
      <c r="E2290">
        <v>0</v>
      </c>
      <c r="F2290">
        <v>-0.22160737685384335</v>
      </c>
      <c r="G2290">
        <v>-0.40858958498107839</v>
      </c>
      <c r="H2290">
        <v>-0.59973287844256862</v>
      </c>
    </row>
    <row r="2291" spans="2:8">
      <c r="B2291">
        <v>1</v>
      </c>
      <c r="C2291">
        <v>102</v>
      </c>
      <c r="D2291">
        <v>1</v>
      </c>
      <c r="E2291">
        <v>0</v>
      </c>
      <c r="F2291">
        <v>-0.13211572787627082</v>
      </c>
      <c r="G2291">
        <v>0.26893255643106773</v>
      </c>
      <c r="H2291">
        <v>0.26649361704037317</v>
      </c>
    </row>
    <row r="2292" spans="2:8">
      <c r="B2292">
        <v>3</v>
      </c>
      <c r="C2292">
        <v>97.771024959999991</v>
      </c>
      <c r="D2292">
        <v>3</v>
      </c>
      <c r="E2292">
        <v>0</v>
      </c>
      <c r="F2292">
        <v>-3.20079674432978E-2</v>
      </c>
      <c r="G2292">
        <v>-4.1453327228901993E-2</v>
      </c>
      <c r="H2292">
        <v>8.2274022576047462E-2</v>
      </c>
    </row>
    <row r="2293" spans="2:8">
      <c r="B2293">
        <v>1</v>
      </c>
      <c r="C2293">
        <v>102</v>
      </c>
      <c r="D2293">
        <v>1</v>
      </c>
      <c r="E2293">
        <v>0</v>
      </c>
      <c r="F2293">
        <v>-0.26511846563458474</v>
      </c>
      <c r="G2293">
        <v>-0.19424398883065672</v>
      </c>
      <c r="H2293">
        <v>-0.41976741706971094</v>
      </c>
    </row>
    <row r="2294" spans="2:8">
      <c r="B2294">
        <v>3</v>
      </c>
      <c r="C2294">
        <v>97.771024959999991</v>
      </c>
      <c r="D2294">
        <v>3</v>
      </c>
      <c r="E2294">
        <v>0</v>
      </c>
      <c r="F2294">
        <v>-6.4725354651026135E-2</v>
      </c>
      <c r="G2294">
        <v>1.2004913394948866E-2</v>
      </c>
      <c r="H2294">
        <v>8.4760995742037784E-2</v>
      </c>
    </row>
    <row r="2295" spans="2:8">
      <c r="B2295">
        <v>1</v>
      </c>
      <c r="C2295">
        <v>102</v>
      </c>
      <c r="D2295">
        <v>1</v>
      </c>
      <c r="E2295">
        <v>0</v>
      </c>
      <c r="F2295">
        <v>-0.28788930037219734</v>
      </c>
      <c r="G2295">
        <v>-0.22825877014052887</v>
      </c>
      <c r="H2295">
        <v>-0.4700199282744551</v>
      </c>
    </row>
    <row r="2296" spans="2:8">
      <c r="B2296">
        <v>1</v>
      </c>
      <c r="C2296">
        <v>102</v>
      </c>
      <c r="D2296">
        <v>1</v>
      </c>
      <c r="E2296">
        <v>0</v>
      </c>
      <c r="F2296">
        <v>-3.8994137508050745E-2</v>
      </c>
      <c r="G2296">
        <v>7.7474049572444095E-2</v>
      </c>
      <c r="H2296">
        <v>0.18896338843853003</v>
      </c>
    </row>
    <row r="2297" spans="2:8">
      <c r="B2297">
        <v>1</v>
      </c>
      <c r="C2297">
        <v>102</v>
      </c>
      <c r="D2297">
        <v>1</v>
      </c>
      <c r="E2297">
        <v>0</v>
      </c>
      <c r="F2297">
        <v>0.13412396734918372</v>
      </c>
    </row>
    <row r="2298" spans="2:8">
      <c r="B2298">
        <v>3</v>
      </c>
      <c r="C2298">
        <v>55.376425722897224</v>
      </c>
      <c r="D2298">
        <v>1</v>
      </c>
      <c r="E2298">
        <v>0</v>
      </c>
      <c r="F2298">
        <v>-0.24816046582275159</v>
      </c>
      <c r="G2298">
        <v>-0.32842685369806085</v>
      </c>
      <c r="H2298">
        <v>-0.41163518471366922</v>
      </c>
    </row>
    <row r="2299" spans="2:8">
      <c r="B2299">
        <v>1</v>
      </c>
      <c r="C2299">
        <v>97.960799999999992</v>
      </c>
      <c r="D2299">
        <v>1</v>
      </c>
      <c r="E2299">
        <v>0</v>
      </c>
      <c r="F2299">
        <v>0.13737009605374281</v>
      </c>
    </row>
    <row r="2300" spans="2:8">
      <c r="B2300">
        <v>1</v>
      </c>
      <c r="C2300">
        <v>97.960799999999992</v>
      </c>
      <c r="D2300">
        <v>1</v>
      </c>
      <c r="E2300">
        <v>0</v>
      </c>
      <c r="F2300">
        <v>0.10200821647124035</v>
      </c>
    </row>
    <row r="2301" spans="2:8">
      <c r="B2301">
        <v>1</v>
      </c>
      <c r="C2301">
        <v>102</v>
      </c>
      <c r="D2301">
        <v>1</v>
      </c>
      <c r="E2301">
        <v>0</v>
      </c>
      <c r="F2301">
        <v>3.8525374985332955E-2</v>
      </c>
    </row>
    <row r="2302" spans="2:8">
      <c r="B2302">
        <v>3</v>
      </c>
      <c r="C2302">
        <v>48.026095520070953</v>
      </c>
      <c r="D2302">
        <v>1</v>
      </c>
      <c r="E2302">
        <v>0</v>
      </c>
      <c r="F2302">
        <v>-0.29099448524271099</v>
      </c>
      <c r="G2302">
        <v>-0.38885299646985616</v>
      </c>
      <c r="H2302">
        <v>-0.48973115453519622</v>
      </c>
    </row>
    <row r="2303" spans="2:8">
      <c r="B2303">
        <v>3</v>
      </c>
      <c r="C2303">
        <v>45.587128575278001</v>
      </c>
      <c r="D2303">
        <v>0</v>
      </c>
      <c r="E2303">
        <v>0</v>
      </c>
      <c r="F2303">
        <v>-0.42057040690809111</v>
      </c>
      <c r="G2303">
        <v>-0.38999240666190671</v>
      </c>
      <c r="H2303">
        <v>-0.51564475074928384</v>
      </c>
    </row>
    <row r="2304" spans="2:8">
      <c r="B2304">
        <v>3</v>
      </c>
      <c r="C2304">
        <v>97.771024959999991</v>
      </c>
      <c r="D2304">
        <v>3</v>
      </c>
      <c r="E2304">
        <v>0</v>
      </c>
      <c r="F2304">
        <v>-7.3338856271742678E-2</v>
      </c>
      <c r="G2304">
        <v>-8.1591361288112611E-3</v>
      </c>
      <c r="H2304">
        <v>5.3256884711814778E-2</v>
      </c>
    </row>
    <row r="2305" spans="2:8">
      <c r="B2305">
        <v>3</v>
      </c>
      <c r="C2305">
        <v>92.23681599999999</v>
      </c>
      <c r="D2305">
        <v>2</v>
      </c>
      <c r="E2305">
        <v>0</v>
      </c>
      <c r="F2305">
        <v>-0.22928000057527848</v>
      </c>
      <c r="G2305">
        <v>-0.1338249778139681</v>
      </c>
      <c r="H2305">
        <v>-0.33130618057767292</v>
      </c>
    </row>
    <row r="2306" spans="2:8">
      <c r="B2306">
        <v>1</v>
      </c>
      <c r="C2306">
        <v>102</v>
      </c>
      <c r="D2306">
        <v>1</v>
      </c>
      <c r="E2306">
        <v>0</v>
      </c>
      <c r="F2306">
        <v>-0.1178791075028648</v>
      </c>
      <c r="G2306">
        <v>-0.10347034659344491</v>
      </c>
      <c r="H2306">
        <v>-9.2208700178756223E-2</v>
      </c>
    </row>
    <row r="2307" spans="2:8">
      <c r="B2307">
        <v>3</v>
      </c>
      <c r="C2307">
        <v>92.23681599999999</v>
      </c>
      <c r="D2307">
        <v>3</v>
      </c>
      <c r="E2307">
        <v>0</v>
      </c>
      <c r="F2307">
        <v>-7.0657876205709486E-2</v>
      </c>
      <c r="G2307">
        <v>-0.29391997129655362</v>
      </c>
      <c r="H2307">
        <v>-0.2290448122212761</v>
      </c>
    </row>
    <row r="2308" spans="2:8">
      <c r="B2308">
        <v>3</v>
      </c>
      <c r="C2308">
        <v>92.23681599999999</v>
      </c>
      <c r="D2308">
        <v>3</v>
      </c>
      <c r="E2308">
        <v>0</v>
      </c>
      <c r="F2308">
        <v>-0.10134647216097635</v>
      </c>
      <c r="G2308">
        <v>-0.17996768940853397</v>
      </c>
      <c r="H2308">
        <v>-0.151506155294582</v>
      </c>
    </row>
    <row r="2309" spans="2:8">
      <c r="B2309">
        <v>3</v>
      </c>
      <c r="C2309">
        <v>97.771024959999991</v>
      </c>
      <c r="D2309">
        <v>3</v>
      </c>
      <c r="E2309">
        <v>0</v>
      </c>
      <c r="F2309">
        <v>-1.0149932272945384E-2</v>
      </c>
      <c r="G2309">
        <v>-0.15011008023491637</v>
      </c>
      <c r="H2309">
        <v>2.02091642707087E-2</v>
      </c>
    </row>
    <row r="2310" spans="2:8">
      <c r="B2310">
        <v>1</v>
      </c>
      <c r="C2310">
        <v>97.960799999999992</v>
      </c>
      <c r="D2310">
        <v>1</v>
      </c>
      <c r="E2310">
        <v>0</v>
      </c>
      <c r="F2310">
        <v>0.18575447083811589</v>
      </c>
    </row>
    <row r="2311" spans="2:8">
      <c r="B2311">
        <v>1</v>
      </c>
      <c r="C2311">
        <v>102</v>
      </c>
      <c r="D2311">
        <v>1</v>
      </c>
      <c r="E2311">
        <v>0</v>
      </c>
      <c r="F2311">
        <v>0.21157526082599606</v>
      </c>
    </row>
    <row r="2312" spans="2:8">
      <c r="B2312">
        <v>1</v>
      </c>
      <c r="C2312">
        <v>102</v>
      </c>
      <c r="D2312">
        <v>1</v>
      </c>
      <c r="E2312">
        <v>0</v>
      </c>
      <c r="F2312">
        <v>-0.1086737117021091</v>
      </c>
      <c r="G2312">
        <v>-8.4787264039808075E-2</v>
      </c>
      <c r="H2312">
        <v>-6.413049267209342E-2</v>
      </c>
    </row>
    <row r="2313" spans="2:8">
      <c r="B2313">
        <v>3</v>
      </c>
      <c r="C2313">
        <v>92.23681599999999</v>
      </c>
      <c r="D2313">
        <v>1</v>
      </c>
      <c r="E2313">
        <v>0</v>
      </c>
      <c r="F2313">
        <v>-9.6878400864912284E-2</v>
      </c>
      <c r="G2313">
        <v>-0.37533995562159905</v>
      </c>
      <c r="H2313">
        <v>-0.34196759855576442</v>
      </c>
    </row>
    <row r="2314" spans="2:8">
      <c r="B2314">
        <v>3</v>
      </c>
      <c r="C2314">
        <v>97.771024959999991</v>
      </c>
      <c r="D2314">
        <v>3</v>
      </c>
      <c r="E2314">
        <v>0</v>
      </c>
      <c r="F2314">
        <v>-2.3333736316943299E-2</v>
      </c>
      <c r="G2314">
        <v>-2.3820412376250353E-2</v>
      </c>
      <c r="H2314">
        <v>0.11659434295145309</v>
      </c>
    </row>
    <row r="2315" spans="2:8">
      <c r="B2315">
        <v>1</v>
      </c>
      <c r="C2315">
        <v>102</v>
      </c>
      <c r="D2315">
        <v>1</v>
      </c>
      <c r="E2315">
        <v>0</v>
      </c>
      <c r="F2315">
        <v>-0.35830496605797985</v>
      </c>
      <c r="G2315">
        <v>-0.31966600249334359</v>
      </c>
      <c r="H2315">
        <v>-0.60162183574830763</v>
      </c>
    </row>
    <row r="2316" spans="2:8">
      <c r="B2316">
        <v>1</v>
      </c>
      <c r="C2316">
        <v>97.960799999999992</v>
      </c>
      <c r="D2316">
        <v>1</v>
      </c>
      <c r="E2316">
        <v>0</v>
      </c>
      <c r="F2316">
        <v>1.430337144362435E-2</v>
      </c>
    </row>
    <row r="2317" spans="2:8">
      <c r="B2317">
        <v>3</v>
      </c>
      <c r="C2317">
        <v>92.23681599999999</v>
      </c>
      <c r="D2317">
        <v>3</v>
      </c>
      <c r="E2317">
        <v>0</v>
      </c>
      <c r="F2317">
        <v>-0.17175026728751508</v>
      </c>
      <c r="G2317">
        <v>-3.5430066743962585E-3</v>
      </c>
      <c r="H2317">
        <v>-3.9414030982593558E-2</v>
      </c>
    </row>
    <row r="2318" spans="2:8">
      <c r="B2318">
        <v>3</v>
      </c>
      <c r="C2318">
        <v>97.771024959999991</v>
      </c>
      <c r="D2318">
        <v>3</v>
      </c>
      <c r="E2318">
        <v>0</v>
      </c>
      <c r="F2318">
        <v>-4.062176095261491E-2</v>
      </c>
      <c r="G2318">
        <v>-5.889211569112849E-2</v>
      </c>
      <c r="H2318">
        <v>4.9874314958540326E-2</v>
      </c>
    </row>
    <row r="2319" spans="2:8">
      <c r="B2319">
        <v>3</v>
      </c>
      <c r="C2319">
        <v>92.23681599999999</v>
      </c>
      <c r="D2319">
        <v>3</v>
      </c>
      <c r="E2319">
        <v>0</v>
      </c>
      <c r="F2319">
        <v>-0.21430471726348232</v>
      </c>
      <c r="G2319">
        <v>-0.10515121802890015</v>
      </c>
      <c r="H2319">
        <v>-0.29016673166891666</v>
      </c>
    </row>
    <row r="2320" spans="2:8">
      <c r="B2320">
        <v>3</v>
      </c>
      <c r="C2320">
        <v>92.23681599999999</v>
      </c>
      <c r="D2320">
        <v>3</v>
      </c>
      <c r="E2320">
        <v>0</v>
      </c>
      <c r="F2320">
        <v>-0.14701169839043007</v>
      </c>
      <c r="G2320">
        <v>-0.26882683674423502</v>
      </c>
      <c r="H2320">
        <v>-0.28460684250686452</v>
      </c>
    </row>
    <row r="2321" spans="2:8">
      <c r="B2321">
        <v>1</v>
      </c>
      <c r="C2321">
        <v>97.960799999999992</v>
      </c>
      <c r="D2321">
        <v>1</v>
      </c>
      <c r="E2321">
        <v>0</v>
      </c>
      <c r="F2321">
        <v>7.9080040533488546E-3</v>
      </c>
    </row>
    <row r="2322" spans="2:8">
      <c r="B2322">
        <v>1</v>
      </c>
      <c r="C2322">
        <v>97.960799999999992</v>
      </c>
      <c r="D2322">
        <v>1</v>
      </c>
      <c r="E2322">
        <v>0</v>
      </c>
      <c r="F2322">
        <v>8.4118629740236303E-2</v>
      </c>
    </row>
    <row r="2323" spans="2:8">
      <c r="B2323">
        <v>3</v>
      </c>
      <c r="C2323">
        <v>92.23681599999999</v>
      </c>
      <c r="D2323">
        <v>1</v>
      </c>
      <c r="E2323">
        <v>0</v>
      </c>
      <c r="F2323">
        <v>-1.1828356043252188E-2</v>
      </c>
      <c r="G2323">
        <v>-0.38343050580226073</v>
      </c>
      <c r="H2323">
        <v>-0.3750415928096818</v>
      </c>
    </row>
    <row r="2324" spans="2:8">
      <c r="B2324">
        <v>3</v>
      </c>
      <c r="C2324">
        <v>47.804815435985624</v>
      </c>
      <c r="D2324">
        <v>1</v>
      </c>
      <c r="E2324">
        <v>0</v>
      </c>
      <c r="F2324">
        <v>-0.18192333816466619</v>
      </c>
      <c r="G2324">
        <v>-0.33522711906091479</v>
      </c>
      <c r="H2324">
        <v>-0.49208221663607821</v>
      </c>
    </row>
    <row r="2325" spans="2:8">
      <c r="B2325">
        <v>1</v>
      </c>
      <c r="C2325">
        <v>102</v>
      </c>
      <c r="D2325">
        <v>1</v>
      </c>
      <c r="E2325">
        <v>0</v>
      </c>
      <c r="F2325">
        <v>-0.24266334775399878</v>
      </c>
      <c r="G2325">
        <v>-0.15756243142819648</v>
      </c>
      <c r="H2325">
        <v>-0.2380646566953992</v>
      </c>
    </row>
    <row r="2326" spans="2:8">
      <c r="B2326">
        <v>1</v>
      </c>
      <c r="C2326">
        <v>102</v>
      </c>
      <c r="D2326">
        <v>1</v>
      </c>
      <c r="E2326">
        <v>0</v>
      </c>
      <c r="F2326">
        <v>-0.23425871941480922</v>
      </c>
      <c r="G2326">
        <v>-0.43139039136059093</v>
      </c>
      <c r="H2326">
        <v>-0.5075532995376858</v>
      </c>
    </row>
    <row r="2327" spans="2:8">
      <c r="B2327">
        <v>1</v>
      </c>
      <c r="C2327">
        <v>102</v>
      </c>
      <c r="D2327">
        <v>1</v>
      </c>
      <c r="E2327">
        <v>0</v>
      </c>
      <c r="F2327">
        <v>-0.26126406488434734</v>
      </c>
      <c r="G2327">
        <v>-0.18819178869864306</v>
      </c>
      <c r="H2327">
        <v>-0.27743776547843668</v>
      </c>
    </row>
    <row r="2328" spans="2:8">
      <c r="B2328">
        <v>3</v>
      </c>
      <c r="C2328">
        <v>56.086938094612123</v>
      </c>
      <c r="D2328">
        <v>1</v>
      </c>
      <c r="E2328">
        <v>0</v>
      </c>
      <c r="F2328">
        <v>-0.19179492110393961</v>
      </c>
      <c r="G2328">
        <v>-0.35371027187225201</v>
      </c>
      <c r="H2328">
        <v>-0.40408611532384331</v>
      </c>
    </row>
    <row r="2329" spans="2:8">
      <c r="B2329">
        <v>1</v>
      </c>
      <c r="C2329">
        <v>102</v>
      </c>
      <c r="D2329">
        <v>1</v>
      </c>
      <c r="E2329">
        <v>0</v>
      </c>
      <c r="F2329">
        <v>0.15598745653275836</v>
      </c>
    </row>
    <row r="2330" spans="2:8">
      <c r="B2330">
        <v>1</v>
      </c>
      <c r="C2330">
        <v>102</v>
      </c>
      <c r="D2330">
        <v>1</v>
      </c>
      <c r="E2330">
        <v>0</v>
      </c>
      <c r="F2330">
        <v>6.50531308763065E-2</v>
      </c>
    </row>
    <row r="2331" spans="2:8">
      <c r="B2331">
        <v>1</v>
      </c>
      <c r="C2331">
        <v>97.960799999999992</v>
      </c>
      <c r="D2331">
        <v>1</v>
      </c>
      <c r="E2331">
        <v>0</v>
      </c>
      <c r="F2331">
        <v>0.15984583373417527</v>
      </c>
    </row>
    <row r="2332" spans="2:8">
      <c r="B2332">
        <v>3</v>
      </c>
      <c r="C2332">
        <v>97.771024959999991</v>
      </c>
      <c r="D2332">
        <v>3</v>
      </c>
      <c r="E2332">
        <v>0</v>
      </c>
      <c r="F2332">
        <v>-5.6146588766291652E-2</v>
      </c>
      <c r="G2332">
        <v>3.285187555875433E-2</v>
      </c>
      <c r="H2332">
        <v>0.11761644286767148</v>
      </c>
    </row>
    <row r="2333" spans="2:8">
      <c r="B2333">
        <v>3</v>
      </c>
      <c r="C2333">
        <v>25.540541417759698</v>
      </c>
      <c r="D2333">
        <v>0</v>
      </c>
      <c r="E2333">
        <v>0</v>
      </c>
      <c r="F2333">
        <v>-0.44835662484470518</v>
      </c>
      <c r="G2333">
        <v>-0.41963074735878086</v>
      </c>
      <c r="H2333">
        <v>-0.7286362249385917</v>
      </c>
    </row>
    <row r="2334" spans="2:8">
      <c r="B2334">
        <v>1</v>
      </c>
      <c r="C2334">
        <v>97.960799999999992</v>
      </c>
      <c r="D2334">
        <v>1</v>
      </c>
      <c r="E2334">
        <v>0</v>
      </c>
      <c r="F2334">
        <v>4.3611986928924332E-2</v>
      </c>
    </row>
    <row r="2335" spans="2:8">
      <c r="B2335">
        <v>3</v>
      </c>
      <c r="C2335">
        <v>55.316012784220987</v>
      </c>
      <c r="D2335">
        <v>1</v>
      </c>
      <c r="E2335">
        <v>0</v>
      </c>
      <c r="F2335">
        <v>-0.34024609423249491</v>
      </c>
      <c r="G2335">
        <v>-0.29776160053635076</v>
      </c>
      <c r="H2335">
        <v>-0.41227706159613564</v>
      </c>
    </row>
    <row r="2336" spans="2:8">
      <c r="B2336">
        <v>1</v>
      </c>
      <c r="C2336">
        <v>102</v>
      </c>
      <c r="D2336">
        <v>1</v>
      </c>
      <c r="E2336">
        <v>0</v>
      </c>
      <c r="F2336">
        <v>-0.2516276495711931</v>
      </c>
      <c r="G2336">
        <v>-0.4621438098893576</v>
      </c>
      <c r="H2336">
        <v>-0.5470059024107522</v>
      </c>
    </row>
    <row r="2337" spans="2:8">
      <c r="B2337">
        <v>1</v>
      </c>
      <c r="C2337">
        <v>102</v>
      </c>
      <c r="D2337">
        <v>1</v>
      </c>
      <c r="E2337">
        <v>0</v>
      </c>
      <c r="F2337">
        <v>-0.21162548925599717</v>
      </c>
      <c r="G2337">
        <v>-9.9742303117905329E-2</v>
      </c>
      <c r="H2337">
        <v>-0.16297741664966323</v>
      </c>
    </row>
    <row r="2338" spans="2:8">
      <c r="B2338">
        <v>3</v>
      </c>
      <c r="C2338">
        <v>0</v>
      </c>
      <c r="D2338">
        <v>0</v>
      </c>
      <c r="E2338">
        <v>0</v>
      </c>
      <c r="F2338">
        <v>-0.66448480624003148</v>
      </c>
      <c r="G2338">
        <v>-0.97265559987872274</v>
      </c>
      <c r="H2338">
        <v>-1.1030942617295509</v>
      </c>
    </row>
    <row r="2339" spans="2:8">
      <c r="B2339">
        <v>3</v>
      </c>
      <c r="C2339">
        <v>92.23681599999999</v>
      </c>
      <c r="D2339">
        <v>3</v>
      </c>
      <c r="E2339">
        <v>0</v>
      </c>
      <c r="F2339">
        <v>-6.0433192274432605E-2</v>
      </c>
      <c r="G2339">
        <v>-0.26667658546020856</v>
      </c>
      <c r="H2339">
        <v>-0.18800877720886877</v>
      </c>
    </row>
    <row r="2340" spans="2:8">
      <c r="B2340">
        <v>3</v>
      </c>
      <c r="C2340">
        <v>12.306664281555541</v>
      </c>
      <c r="D2340">
        <v>0</v>
      </c>
      <c r="E2340">
        <v>0</v>
      </c>
      <c r="F2340">
        <v>-0.33516846242236648</v>
      </c>
      <c r="G2340">
        <v>-0.59865719639265802</v>
      </c>
      <c r="H2340">
        <v>-0.86924384948495592</v>
      </c>
    </row>
    <row r="2341" spans="2:8">
      <c r="B2341">
        <v>1</v>
      </c>
      <c r="C2341">
        <v>97.960799999999992</v>
      </c>
      <c r="D2341">
        <v>1</v>
      </c>
      <c r="E2341">
        <v>0</v>
      </c>
      <c r="F2341">
        <v>5.0854162664031434E-4</v>
      </c>
    </row>
    <row r="2342" spans="2:8">
      <c r="B2342">
        <v>3</v>
      </c>
      <c r="C2342">
        <v>92.23681599999999</v>
      </c>
      <c r="D2342">
        <v>3</v>
      </c>
      <c r="E2342">
        <v>0</v>
      </c>
      <c r="F2342">
        <v>-0.12550169555602436</v>
      </c>
      <c r="G2342">
        <v>-0.11860524983723061</v>
      </c>
      <c r="H2342">
        <v>-0.11479957613111463</v>
      </c>
    </row>
    <row r="2343" spans="2:8">
      <c r="B2343">
        <v>3</v>
      </c>
      <c r="C2343">
        <v>92.23681599999999</v>
      </c>
      <c r="D2343">
        <v>3</v>
      </c>
      <c r="E2343">
        <v>0</v>
      </c>
      <c r="F2343">
        <v>-0.16483963186691819</v>
      </c>
      <c r="G2343">
        <v>1.8090246578891973E-2</v>
      </c>
      <c r="H2343">
        <v>-0.12334903601375123</v>
      </c>
    </row>
    <row r="2344" spans="2:8">
      <c r="B2344">
        <v>3</v>
      </c>
      <c r="C2344">
        <v>20.804477720299012</v>
      </c>
      <c r="D2344">
        <v>0</v>
      </c>
      <c r="E2344">
        <v>0</v>
      </c>
      <c r="F2344">
        <v>-0.37671644330297338</v>
      </c>
      <c r="G2344">
        <v>-0.65802562524365305</v>
      </c>
      <c r="H2344">
        <v>-0.77895607144664414</v>
      </c>
    </row>
    <row r="2345" spans="2:8">
      <c r="B2345">
        <v>3</v>
      </c>
      <c r="C2345">
        <v>92.23681599999999</v>
      </c>
      <c r="D2345">
        <v>2</v>
      </c>
      <c r="E2345">
        <v>0</v>
      </c>
      <c r="F2345">
        <v>-8.6380437418958567E-2</v>
      </c>
      <c r="G2345">
        <v>-0.34006631765205347</v>
      </c>
      <c r="H2345">
        <v>-0.29466650013132817</v>
      </c>
    </row>
    <row r="2346" spans="2:8">
      <c r="B2346">
        <v>1</v>
      </c>
      <c r="C2346">
        <v>102</v>
      </c>
      <c r="D2346">
        <v>1</v>
      </c>
      <c r="E2346">
        <v>0</v>
      </c>
      <c r="F2346">
        <v>-0.1703840050133727</v>
      </c>
      <c r="G2346">
        <v>-0.31344899828729816</v>
      </c>
      <c r="H2346">
        <v>-0.4599289808078682</v>
      </c>
    </row>
    <row r="2347" spans="2:8">
      <c r="B2347">
        <v>3</v>
      </c>
      <c r="C2347">
        <v>92.23681599999999</v>
      </c>
      <c r="D2347">
        <v>1</v>
      </c>
      <c r="E2347">
        <v>0</v>
      </c>
      <c r="F2347">
        <v>-0.31063260354278066</v>
      </c>
      <c r="G2347">
        <v>-0.2597238968065903</v>
      </c>
      <c r="H2347">
        <v>-0.36681996450216381</v>
      </c>
    </row>
    <row r="2348" spans="2:8">
      <c r="B2348">
        <v>1</v>
      </c>
      <c r="C2348">
        <v>102</v>
      </c>
      <c r="D2348">
        <v>1</v>
      </c>
      <c r="E2348">
        <v>0</v>
      </c>
      <c r="F2348">
        <v>-0.12730563506062711</v>
      </c>
      <c r="G2348">
        <v>-0.12214459165517465</v>
      </c>
      <c r="H2348">
        <v>-0.12006240275762428</v>
      </c>
    </row>
    <row r="2349" spans="2:8">
      <c r="B2349">
        <v>1</v>
      </c>
      <c r="C2349">
        <v>102</v>
      </c>
      <c r="D2349">
        <v>1</v>
      </c>
      <c r="E2349">
        <v>0</v>
      </c>
      <c r="F2349">
        <v>-4.4914011088370905E-2</v>
      </c>
      <c r="G2349">
        <v>-0.22814783926164864</v>
      </c>
      <c r="H2349">
        <v>-0.1263562194448212</v>
      </c>
    </row>
    <row r="2350" spans="2:8">
      <c r="B2350">
        <v>3</v>
      </c>
      <c r="C2350">
        <v>44.62774012441259</v>
      </c>
      <c r="D2350">
        <v>1</v>
      </c>
      <c r="E2350">
        <v>0</v>
      </c>
      <c r="F2350">
        <v>-0.19417766415689794</v>
      </c>
      <c r="G2350">
        <v>-0.35815002020636377</v>
      </c>
      <c r="H2350">
        <v>-0.52583808484971617</v>
      </c>
    </row>
    <row r="2351" spans="2:8">
      <c r="B2351">
        <v>3</v>
      </c>
      <c r="C2351">
        <v>92.23681599999999</v>
      </c>
      <c r="D2351">
        <v>3</v>
      </c>
      <c r="E2351">
        <v>0</v>
      </c>
      <c r="F2351">
        <v>-0.19815618049154585</v>
      </c>
      <c r="G2351">
        <v>-7.0981558804181361E-2</v>
      </c>
      <c r="H2351">
        <v>-0.12564139326497484</v>
      </c>
    </row>
    <row r="2352" spans="2:8">
      <c r="B2352">
        <v>1</v>
      </c>
      <c r="C2352">
        <v>102</v>
      </c>
      <c r="D2352">
        <v>1</v>
      </c>
      <c r="E2352">
        <v>0</v>
      </c>
      <c r="F2352">
        <v>0.19079739417973771</v>
      </c>
    </row>
    <row r="2353" spans="2:8">
      <c r="B2353">
        <v>1</v>
      </c>
      <c r="C2353">
        <v>97.960799999999992</v>
      </c>
      <c r="D2353">
        <v>1</v>
      </c>
      <c r="E2353">
        <v>0</v>
      </c>
      <c r="F2353">
        <v>1.9009356341582097E-2</v>
      </c>
    </row>
    <row r="2354" spans="2:8">
      <c r="B2354">
        <v>3</v>
      </c>
      <c r="C2354">
        <v>92.23681599999999</v>
      </c>
      <c r="D2354">
        <v>3</v>
      </c>
      <c r="E2354">
        <v>0</v>
      </c>
      <c r="F2354">
        <v>-0.18944263375564557</v>
      </c>
      <c r="G2354">
        <v>-0.23530028029208294</v>
      </c>
      <c r="H2354">
        <v>-0.2840534637603061</v>
      </c>
    </row>
    <row r="2355" spans="2:8">
      <c r="B2355">
        <v>3</v>
      </c>
      <c r="C2355">
        <v>97.771024959999991</v>
      </c>
      <c r="D2355">
        <v>3</v>
      </c>
      <c r="E2355">
        <v>0</v>
      </c>
      <c r="F2355">
        <v>-1.2030200246069874E-3</v>
      </c>
      <c r="G2355">
        <v>-0.13138034504278429</v>
      </c>
      <c r="H2355">
        <v>6.426023068140102E-2</v>
      </c>
    </row>
    <row r="2356" spans="2:8">
      <c r="B2356">
        <v>1</v>
      </c>
      <c r="C2356">
        <v>102</v>
      </c>
      <c r="D2356">
        <v>1</v>
      </c>
      <c r="E2356">
        <v>0</v>
      </c>
      <c r="F2356">
        <v>0.12590165257912472</v>
      </c>
    </row>
    <row r="2357" spans="2:8">
      <c r="B2357">
        <v>1</v>
      </c>
      <c r="C2357">
        <v>102</v>
      </c>
      <c r="D2357">
        <v>1</v>
      </c>
      <c r="E2357">
        <v>0</v>
      </c>
      <c r="F2357">
        <v>-0.22343257204054223</v>
      </c>
      <c r="G2357">
        <v>-0.12292200594535042</v>
      </c>
      <c r="H2357">
        <v>-0.19312976654023042</v>
      </c>
    </row>
    <row r="2358" spans="2:8">
      <c r="B2358">
        <v>1</v>
      </c>
      <c r="C2358">
        <v>97.960799999999992</v>
      </c>
      <c r="D2358">
        <v>1</v>
      </c>
      <c r="E2358">
        <v>0</v>
      </c>
      <c r="F2358">
        <v>7.4360249153554589E-2</v>
      </c>
    </row>
    <row r="2359" spans="2:8">
      <c r="B2359">
        <v>1</v>
      </c>
      <c r="C2359">
        <v>102</v>
      </c>
      <c r="D2359">
        <v>1</v>
      </c>
      <c r="E2359">
        <v>0</v>
      </c>
      <c r="F2359">
        <v>-0.23941973794908739</v>
      </c>
      <c r="G2359">
        <v>-0.15195294569895806</v>
      </c>
      <c r="H2359">
        <v>-0.23080959352553643</v>
      </c>
    </row>
    <row r="2360" spans="2:8">
      <c r="B2360">
        <v>1</v>
      </c>
      <c r="C2360">
        <v>97.960799999999992</v>
      </c>
      <c r="D2360">
        <v>1</v>
      </c>
      <c r="E2360">
        <v>0</v>
      </c>
      <c r="F2360">
        <v>0.11349148295053101</v>
      </c>
    </row>
    <row r="2361" spans="2:8">
      <c r="B2361">
        <v>1</v>
      </c>
      <c r="C2361">
        <v>97.960799999999992</v>
      </c>
      <c r="D2361">
        <v>1</v>
      </c>
      <c r="E2361">
        <v>0</v>
      </c>
      <c r="F2361">
        <v>0.18264475242482919</v>
      </c>
    </row>
    <row r="2362" spans="2:8">
      <c r="B2362">
        <v>3</v>
      </c>
      <c r="C2362">
        <v>97.771024959999991</v>
      </c>
      <c r="D2362">
        <v>3</v>
      </c>
      <c r="E2362">
        <v>0</v>
      </c>
      <c r="F2362">
        <v>-8.2012634999681741E-2</v>
      </c>
      <c r="G2362">
        <v>-2.7799343325363695E-2</v>
      </c>
      <c r="H2362">
        <v>2.2823001148648749E-2</v>
      </c>
    </row>
    <row r="2363" spans="2:8">
      <c r="B2363">
        <v>3</v>
      </c>
      <c r="C2363">
        <v>92.23681599999999</v>
      </c>
      <c r="D2363">
        <v>3</v>
      </c>
      <c r="E2363">
        <v>0</v>
      </c>
      <c r="F2363">
        <v>-0.18795130983830294</v>
      </c>
      <c r="G2363">
        <v>-4.7054345338954418E-2</v>
      </c>
      <c r="H2363">
        <v>-0.2092631640505225</v>
      </c>
    </row>
    <row r="2364" spans="2:8">
      <c r="B2364">
        <v>3</v>
      </c>
      <c r="C2364">
        <v>49.786949491201668</v>
      </c>
      <c r="D2364">
        <v>1</v>
      </c>
      <c r="E2364">
        <v>0</v>
      </c>
      <c r="F2364">
        <v>-0.21880106674314168</v>
      </c>
      <c r="G2364">
        <v>-0.4034898057578305</v>
      </c>
      <c r="H2364">
        <v>-0.47102238978655075</v>
      </c>
    </row>
    <row r="2365" spans="2:8">
      <c r="B2365">
        <v>3</v>
      </c>
      <c r="C2365">
        <v>54.16402309333607</v>
      </c>
      <c r="D2365">
        <v>0</v>
      </c>
      <c r="E2365">
        <v>0</v>
      </c>
      <c r="F2365">
        <v>-0.34880449656678242</v>
      </c>
      <c r="G2365">
        <v>-0.30824950183720423</v>
      </c>
      <c r="H2365">
        <v>-0.42451675010692747</v>
      </c>
    </row>
    <row r="2366" spans="2:8">
      <c r="B2366">
        <v>3</v>
      </c>
      <c r="C2366">
        <v>92.23681599999999</v>
      </c>
      <c r="D2366">
        <v>3</v>
      </c>
      <c r="E2366">
        <v>0</v>
      </c>
      <c r="F2366">
        <v>-9.96500909120034E-2</v>
      </c>
      <c r="G2366">
        <v>-6.600910742888362E-2</v>
      </c>
      <c r="H2366">
        <v>-3.5697027001321012E-2</v>
      </c>
    </row>
    <row r="2367" spans="2:8">
      <c r="B2367">
        <v>3</v>
      </c>
      <c r="C2367">
        <v>45.251229533804704</v>
      </c>
      <c r="D2367">
        <v>1</v>
      </c>
      <c r="E2367">
        <v>0</v>
      </c>
      <c r="F2367">
        <v>-0.12435105506008598</v>
      </c>
      <c r="G2367">
        <v>-0.52412669893774111</v>
      </c>
      <c r="H2367">
        <v>-0.51921361917860853</v>
      </c>
    </row>
    <row r="2368" spans="2:8">
      <c r="B2368">
        <v>1</v>
      </c>
      <c r="C2368">
        <v>97.960799999999992</v>
      </c>
      <c r="D2368">
        <v>1</v>
      </c>
      <c r="E2368">
        <v>0</v>
      </c>
      <c r="F2368">
        <v>6.2936460869486455E-2</v>
      </c>
    </row>
    <row r="2369" spans="2:8">
      <c r="B2369">
        <v>1</v>
      </c>
      <c r="C2369">
        <v>102</v>
      </c>
      <c r="D2369">
        <v>1</v>
      </c>
      <c r="E2369">
        <v>0</v>
      </c>
      <c r="F2369">
        <v>-0.19572052934647219</v>
      </c>
      <c r="G2369">
        <v>-6.5460501388355144E-2</v>
      </c>
      <c r="H2369">
        <v>-0.1184979456075215</v>
      </c>
    </row>
    <row r="2370" spans="2:8">
      <c r="B2370">
        <v>1</v>
      </c>
      <c r="C2370">
        <v>97.960799999999992</v>
      </c>
      <c r="D2370">
        <v>1</v>
      </c>
      <c r="E2370">
        <v>0</v>
      </c>
      <c r="F2370">
        <v>1.2536408577792181E-2</v>
      </c>
    </row>
    <row r="2371" spans="2:8">
      <c r="B2371">
        <v>1</v>
      </c>
      <c r="C2371">
        <v>97.960799999999992</v>
      </c>
      <c r="D2371">
        <v>1</v>
      </c>
      <c r="E2371">
        <v>0</v>
      </c>
      <c r="F2371">
        <v>6.6419831414419525E-2</v>
      </c>
    </row>
    <row r="2372" spans="2:8">
      <c r="B2372">
        <v>1</v>
      </c>
      <c r="C2372">
        <v>97.960799999999992</v>
      </c>
      <c r="D2372">
        <v>1</v>
      </c>
      <c r="E2372">
        <v>0</v>
      </c>
      <c r="F2372">
        <v>2.9800694321447784E-2</v>
      </c>
    </row>
    <row r="2373" spans="2:8">
      <c r="B2373">
        <v>1</v>
      </c>
      <c r="C2373">
        <v>97.960799999999992</v>
      </c>
      <c r="D2373">
        <v>1</v>
      </c>
      <c r="E2373">
        <v>0</v>
      </c>
      <c r="F2373">
        <v>0.17346618371472586</v>
      </c>
    </row>
    <row r="2374" spans="2:8">
      <c r="B2374">
        <v>1</v>
      </c>
      <c r="C2374">
        <v>102</v>
      </c>
      <c r="D2374">
        <v>1</v>
      </c>
      <c r="E2374">
        <v>0</v>
      </c>
      <c r="F2374">
        <v>0.28556189877286436</v>
      </c>
    </row>
    <row r="2375" spans="2:8">
      <c r="B2375">
        <v>3</v>
      </c>
      <c r="C2375">
        <v>97.771024959999991</v>
      </c>
      <c r="D2375">
        <v>3</v>
      </c>
      <c r="E2375">
        <v>0</v>
      </c>
      <c r="F2375">
        <v>-0.1521576725346892</v>
      </c>
      <c r="G2375">
        <v>6.6389132137512075E-2</v>
      </c>
      <c r="H2375">
        <v>4.6223035815938507E-2</v>
      </c>
    </row>
    <row r="2376" spans="2:8">
      <c r="B2376">
        <v>1</v>
      </c>
      <c r="C2376">
        <v>97.960799999999992</v>
      </c>
      <c r="D2376">
        <v>1</v>
      </c>
      <c r="E2376">
        <v>0</v>
      </c>
      <c r="F2376">
        <v>2.1964430726436366E-2</v>
      </c>
    </row>
    <row r="2377" spans="2:8">
      <c r="B2377">
        <v>1</v>
      </c>
      <c r="C2377">
        <v>97.960799999999992</v>
      </c>
      <c r="D2377">
        <v>1</v>
      </c>
      <c r="E2377">
        <v>0</v>
      </c>
      <c r="F2377">
        <v>3.4733396027591998E-2</v>
      </c>
    </row>
    <row r="2378" spans="2:8">
      <c r="B2378">
        <v>1</v>
      </c>
      <c r="C2378">
        <v>102</v>
      </c>
      <c r="D2378">
        <v>1</v>
      </c>
      <c r="E2378">
        <v>0</v>
      </c>
      <c r="F2378">
        <v>0.14287172736563208</v>
      </c>
    </row>
    <row r="2379" spans="2:8">
      <c r="B2379">
        <v>3</v>
      </c>
      <c r="C2379">
        <v>92.23681599999999</v>
      </c>
      <c r="D2379">
        <v>2</v>
      </c>
      <c r="E2379">
        <v>0</v>
      </c>
      <c r="F2379">
        <v>-0.27872306347569226</v>
      </c>
      <c r="G2379">
        <v>-0.2149022901364607</v>
      </c>
      <c r="H2379">
        <v>-0.31131613469989594</v>
      </c>
    </row>
    <row r="2380" spans="2:8">
      <c r="B2380">
        <v>1</v>
      </c>
      <c r="C2380">
        <v>97.960799999999992</v>
      </c>
      <c r="D2380">
        <v>1</v>
      </c>
      <c r="E2380">
        <v>0</v>
      </c>
      <c r="F2380">
        <v>0.27172736083811005</v>
      </c>
    </row>
    <row r="2381" spans="2:8">
      <c r="B2381">
        <v>1</v>
      </c>
      <c r="C2381">
        <v>102</v>
      </c>
      <c r="D2381">
        <v>1</v>
      </c>
      <c r="E2381">
        <v>0</v>
      </c>
      <c r="F2381">
        <v>-3.4689055021789303E-2</v>
      </c>
      <c r="G2381">
        <v>-0.20418405702762918</v>
      </c>
      <c r="H2381">
        <v>-8.5265159931039627E-2</v>
      </c>
    </row>
    <row r="2382" spans="2:8">
      <c r="B2382">
        <v>1</v>
      </c>
      <c r="C2382">
        <v>102</v>
      </c>
      <c r="D2382">
        <v>1</v>
      </c>
      <c r="E2382">
        <v>0</v>
      </c>
      <c r="F2382">
        <v>0.11073377190799732</v>
      </c>
    </row>
    <row r="2383" spans="2:8">
      <c r="B2383">
        <v>1</v>
      </c>
      <c r="C2383">
        <v>102</v>
      </c>
      <c r="D2383">
        <v>1</v>
      </c>
      <c r="E2383">
        <v>0</v>
      </c>
      <c r="F2383">
        <v>-0.18336851848012536</v>
      </c>
      <c r="G2383">
        <v>-3.5544524715227205E-2</v>
      </c>
      <c r="H2383">
        <v>-8.0010615234037658E-2</v>
      </c>
    </row>
    <row r="2384" spans="2:8">
      <c r="B2384">
        <v>3</v>
      </c>
      <c r="C2384">
        <v>97.771024959999991</v>
      </c>
      <c r="D2384">
        <v>3</v>
      </c>
      <c r="E2384">
        <v>0</v>
      </c>
      <c r="F2384">
        <v>-1.4572259695250262E-2</v>
      </c>
      <c r="G2384">
        <v>-5.9333719929586283E-3</v>
      </c>
      <c r="H2384">
        <v>0.15358472973074228</v>
      </c>
    </row>
    <row r="2385" spans="2:8">
      <c r="B2385">
        <v>1</v>
      </c>
      <c r="C2385">
        <v>97.960799999999992</v>
      </c>
      <c r="D2385">
        <v>1</v>
      </c>
      <c r="E2385">
        <v>0</v>
      </c>
      <c r="F2385">
        <v>0.23511160630687472</v>
      </c>
    </row>
    <row r="2386" spans="2:8">
      <c r="B2386">
        <v>1</v>
      </c>
      <c r="C2386">
        <v>97.960799999999992</v>
      </c>
      <c r="D2386">
        <v>1</v>
      </c>
      <c r="E2386">
        <v>0</v>
      </c>
      <c r="F2386">
        <v>0.11629946959140557</v>
      </c>
    </row>
    <row r="2387" spans="2:8">
      <c r="B2387">
        <v>1</v>
      </c>
      <c r="C2387">
        <v>97.960799999999992</v>
      </c>
      <c r="D2387">
        <v>1</v>
      </c>
      <c r="E2387">
        <v>0</v>
      </c>
      <c r="F2387">
        <v>9.6546579994948051E-3</v>
      </c>
    </row>
    <row r="2388" spans="2:8">
      <c r="B2388">
        <v>3</v>
      </c>
      <c r="C2388">
        <v>92.23681599999999</v>
      </c>
      <c r="D2388">
        <v>3</v>
      </c>
      <c r="E2388">
        <v>0</v>
      </c>
      <c r="F2388">
        <v>-0.15540707349376834</v>
      </c>
      <c r="G2388">
        <v>-0.17533594759208698</v>
      </c>
      <c r="H2388">
        <v>-0.19821460622419632</v>
      </c>
    </row>
    <row r="2389" spans="2:8">
      <c r="B2389">
        <v>3</v>
      </c>
      <c r="C2389">
        <v>92.23681599999999</v>
      </c>
      <c r="D2389">
        <v>2</v>
      </c>
      <c r="E2389">
        <v>0</v>
      </c>
      <c r="F2389">
        <v>-7.9310131007300222E-2</v>
      </c>
      <c r="G2389">
        <v>-0.31853928595430353</v>
      </c>
      <c r="H2389">
        <v>-0.2646162663558122</v>
      </c>
    </row>
    <row r="2390" spans="2:8">
      <c r="B2390">
        <v>3</v>
      </c>
      <c r="C2390">
        <v>92.23681599999999</v>
      </c>
      <c r="D2390">
        <v>3</v>
      </c>
      <c r="E2390">
        <v>0</v>
      </c>
      <c r="F2390">
        <v>-7.4975859537019116E-2</v>
      </c>
      <c r="G2390">
        <v>-0.12778097013764619</v>
      </c>
      <c r="H2390">
        <v>-6.8447510634306957E-2</v>
      </c>
    </row>
    <row r="2391" spans="2:8">
      <c r="B2391">
        <v>3</v>
      </c>
      <c r="C2391">
        <v>92.23681599999999</v>
      </c>
      <c r="D2391">
        <v>1</v>
      </c>
      <c r="E2391">
        <v>0</v>
      </c>
      <c r="F2391">
        <v>-8.8040966443234975E-2</v>
      </c>
      <c r="G2391">
        <v>-0.34534915744648753</v>
      </c>
      <c r="H2391">
        <v>-0.30189989911191556</v>
      </c>
    </row>
    <row r="2392" spans="2:8">
      <c r="B2392">
        <v>3</v>
      </c>
      <c r="C2392">
        <v>97.771024959999991</v>
      </c>
      <c r="D2392">
        <v>3</v>
      </c>
      <c r="E2392">
        <v>0</v>
      </c>
      <c r="F2392">
        <v>-4.9200664224469809E-2</v>
      </c>
      <c r="G2392">
        <v>-7.619242222351294E-2</v>
      </c>
      <c r="H2392">
        <v>1.8906272393432077E-2</v>
      </c>
    </row>
    <row r="2393" spans="2:8">
      <c r="B2393">
        <v>3</v>
      </c>
      <c r="C2393">
        <v>92.23681599999999</v>
      </c>
      <c r="D2393">
        <v>3</v>
      </c>
      <c r="E2393">
        <v>0</v>
      </c>
      <c r="F2393">
        <v>-0.1760734413066046</v>
      </c>
      <c r="G2393">
        <v>-1.599411550875901E-2</v>
      </c>
      <c r="H2393">
        <v>-0.1676096553047817</v>
      </c>
    </row>
    <row r="2394" spans="2:8">
      <c r="B2394">
        <v>3</v>
      </c>
      <c r="C2394">
        <v>38.542943450192915</v>
      </c>
      <c r="D2394">
        <v>1</v>
      </c>
      <c r="E2394">
        <v>0</v>
      </c>
      <c r="F2394">
        <v>-0.2717228481769759</v>
      </c>
      <c r="G2394">
        <v>-0.49683050782018512</v>
      </c>
      <c r="H2394">
        <v>-0.59048798278998416</v>
      </c>
    </row>
    <row r="2395" spans="2:8">
      <c r="B2395">
        <v>3</v>
      </c>
      <c r="C2395">
        <v>92.23681599999999</v>
      </c>
      <c r="D2395">
        <v>3</v>
      </c>
      <c r="E2395">
        <v>0</v>
      </c>
      <c r="F2395">
        <v>-0.17390079332793765</v>
      </c>
      <c r="G2395">
        <v>-9.8274232266812398E-3</v>
      </c>
      <c r="H2395">
        <v>-4.7328942020745009E-2</v>
      </c>
    </row>
    <row r="2396" spans="2:8">
      <c r="B2396">
        <v>1</v>
      </c>
      <c r="C2396">
        <v>97.960799999999992</v>
      </c>
      <c r="D2396">
        <v>1</v>
      </c>
      <c r="E2396">
        <v>0</v>
      </c>
      <c r="F2396">
        <v>8.6471886773047388E-2</v>
      </c>
    </row>
    <row r="2397" spans="2:8">
      <c r="B2397">
        <v>3</v>
      </c>
      <c r="C2397">
        <v>92.23681599999999</v>
      </c>
      <c r="D2397">
        <v>1</v>
      </c>
      <c r="E2397">
        <v>0</v>
      </c>
      <c r="F2397">
        <v>-0.30485357557888559</v>
      </c>
      <c r="G2397">
        <v>-0.25193589781421227</v>
      </c>
      <c r="H2397">
        <v>-0.35731620252002455</v>
      </c>
    </row>
    <row r="2398" spans="2:8">
      <c r="B2398">
        <v>3</v>
      </c>
      <c r="C2398">
        <v>28.31948608497953</v>
      </c>
      <c r="D2398">
        <v>0</v>
      </c>
      <c r="E2398">
        <v>0</v>
      </c>
      <c r="F2398">
        <v>-0.32776832910542575</v>
      </c>
      <c r="G2398">
        <v>-0.58745298515309385</v>
      </c>
      <c r="H2398">
        <v>-0.69911042502507958</v>
      </c>
    </row>
    <row r="2399" spans="2:8">
      <c r="B2399">
        <v>3</v>
      </c>
      <c r="C2399">
        <v>53.712234784567698</v>
      </c>
      <c r="D2399">
        <v>1</v>
      </c>
      <c r="E2399">
        <v>0</v>
      </c>
      <c r="F2399">
        <v>-0.11325135081328484</v>
      </c>
      <c r="G2399">
        <v>-0.44524654575851214</v>
      </c>
      <c r="H2399">
        <v>-0.42931692168476032</v>
      </c>
    </row>
    <row r="2400" spans="2:8">
      <c r="B2400">
        <v>3</v>
      </c>
      <c r="C2400">
        <v>92.23681599999999</v>
      </c>
      <c r="D2400">
        <v>3</v>
      </c>
      <c r="E2400">
        <v>0</v>
      </c>
      <c r="F2400">
        <v>-8.3664021684692821E-2</v>
      </c>
      <c r="G2400">
        <v>-0.14504110428178743</v>
      </c>
      <c r="H2400">
        <v>-9.6409253653884128E-2</v>
      </c>
    </row>
    <row r="2401" spans="2:8">
      <c r="B2401">
        <v>1</v>
      </c>
      <c r="C2401">
        <v>102</v>
      </c>
      <c r="D2401">
        <v>1</v>
      </c>
      <c r="E2401">
        <v>0</v>
      </c>
      <c r="F2401">
        <v>-6.2057856297530099E-2</v>
      </c>
      <c r="G2401">
        <v>-0.27089248608141436</v>
      </c>
      <c r="H2401">
        <v>-0.1944842179146016</v>
      </c>
    </row>
    <row r="2402" spans="2:8">
      <c r="B2402">
        <v>1</v>
      </c>
      <c r="C2402">
        <v>102</v>
      </c>
      <c r="D2402">
        <v>1</v>
      </c>
      <c r="E2402">
        <v>0</v>
      </c>
      <c r="F2402">
        <v>-0.12911910866637039</v>
      </c>
      <c r="G2402">
        <v>-0.23425420096755112</v>
      </c>
      <c r="H2402">
        <v>-0.23388916360075307</v>
      </c>
    </row>
    <row r="2403" spans="2:8">
      <c r="B2403">
        <v>1</v>
      </c>
      <c r="C2403">
        <v>97.960799999999992</v>
      </c>
      <c r="D2403">
        <v>1</v>
      </c>
      <c r="E2403">
        <v>0</v>
      </c>
      <c r="F2403">
        <v>8.0320771005061048E-2</v>
      </c>
    </row>
    <row r="2404" spans="2:8">
      <c r="B2404">
        <v>3</v>
      </c>
      <c r="C2404">
        <v>51.893141534125064</v>
      </c>
      <c r="D2404">
        <v>1</v>
      </c>
      <c r="E2404">
        <v>0</v>
      </c>
      <c r="F2404">
        <v>-0.26765361277760913</v>
      </c>
      <c r="G2404">
        <v>-0.35666115626333417</v>
      </c>
      <c r="H2404">
        <v>-0.44864446856618984</v>
      </c>
    </row>
    <row r="2405" spans="2:8">
      <c r="B2405">
        <v>1</v>
      </c>
      <c r="C2405">
        <v>97.960799999999992</v>
      </c>
      <c r="D2405">
        <v>1</v>
      </c>
      <c r="E2405">
        <v>0</v>
      </c>
      <c r="F2405">
        <v>0.20542617480518108</v>
      </c>
    </row>
    <row r="2406" spans="2:8">
      <c r="B2406">
        <v>1</v>
      </c>
      <c r="C2406">
        <v>97.960799999999992</v>
      </c>
      <c r="D2406">
        <v>1</v>
      </c>
      <c r="E2406">
        <v>0</v>
      </c>
      <c r="F2406">
        <v>5.0580039071348171E-3</v>
      </c>
    </row>
    <row r="2407" spans="2:8">
      <c r="B2407">
        <v>3</v>
      </c>
      <c r="C2407">
        <v>97.771024959999991</v>
      </c>
      <c r="D2407">
        <v>3</v>
      </c>
      <c r="E2407">
        <v>0</v>
      </c>
      <c r="F2407">
        <v>-0.14007217592918292</v>
      </c>
      <c r="G2407">
        <v>0.13715349942216729</v>
      </c>
      <c r="H2407">
        <v>0.12746720820005691</v>
      </c>
    </row>
    <row r="2408" spans="2:8">
      <c r="B2408">
        <v>3</v>
      </c>
      <c r="C2408">
        <v>92.23681599999999</v>
      </c>
      <c r="D2408">
        <v>3</v>
      </c>
      <c r="E2408">
        <v>0</v>
      </c>
      <c r="F2408">
        <v>-0.11964580839820853</v>
      </c>
      <c r="G2408">
        <v>-0.21581853408337548</v>
      </c>
      <c r="H2408">
        <v>-0.206310369295618</v>
      </c>
    </row>
    <row r="2409" spans="2:8">
      <c r="B2409">
        <v>1</v>
      </c>
      <c r="C2409">
        <v>102</v>
      </c>
      <c r="D2409">
        <v>1</v>
      </c>
      <c r="E2409">
        <v>0</v>
      </c>
      <c r="F2409">
        <v>4.6821654137251742E-2</v>
      </c>
    </row>
    <row r="2410" spans="2:8">
      <c r="B2410">
        <v>3</v>
      </c>
      <c r="C2410">
        <v>92.23681599999999</v>
      </c>
      <c r="D2410">
        <v>3</v>
      </c>
      <c r="E2410">
        <v>0</v>
      </c>
      <c r="F2410">
        <v>-0.14508833741885413</v>
      </c>
      <c r="G2410">
        <v>-0.15621406246873668</v>
      </c>
      <c r="H2410">
        <v>-0.17032592028805671</v>
      </c>
    </row>
    <row r="2411" spans="2:8">
      <c r="B2411">
        <v>3</v>
      </c>
      <c r="C2411">
        <v>92.23681599999999</v>
      </c>
      <c r="D2411">
        <v>1</v>
      </c>
      <c r="E2411">
        <v>0</v>
      </c>
      <c r="F2411">
        <v>-0.10585281213527756</v>
      </c>
      <c r="G2411">
        <v>-0.41037276124214711</v>
      </c>
      <c r="H2411">
        <v>-0.38674674625752614</v>
      </c>
    </row>
    <row r="2412" spans="2:8">
      <c r="B2412">
        <v>1</v>
      </c>
      <c r="C2412">
        <v>97.960799999999992</v>
      </c>
      <c r="D2412">
        <v>1</v>
      </c>
      <c r="E2412">
        <v>0</v>
      </c>
      <c r="F2412">
        <v>3.3297774636286059E-3</v>
      </c>
    </row>
    <row r="2413" spans="2:8">
      <c r="B2413">
        <v>1</v>
      </c>
      <c r="C2413">
        <v>97.960799999999992</v>
      </c>
      <c r="D2413">
        <v>1</v>
      </c>
      <c r="E2413">
        <v>0</v>
      </c>
      <c r="F2413">
        <v>0.10367509571441212</v>
      </c>
    </row>
    <row r="2414" spans="2:8">
      <c r="B2414">
        <v>3</v>
      </c>
      <c r="C2414">
        <v>92.23681599999999</v>
      </c>
      <c r="D2414">
        <v>3</v>
      </c>
      <c r="E2414">
        <v>0</v>
      </c>
      <c r="F2414">
        <v>-0.166172014716961</v>
      </c>
      <c r="G2414">
        <v>-0.19480586607832484</v>
      </c>
      <c r="H2414">
        <v>-0.22636263444583463</v>
      </c>
    </row>
    <row r="2415" spans="2:8">
      <c r="B2415">
        <v>1</v>
      </c>
      <c r="C2415">
        <v>102</v>
      </c>
      <c r="D2415">
        <v>1</v>
      </c>
      <c r="E2415">
        <v>0</v>
      </c>
      <c r="F2415">
        <v>-5.3484806597154551E-2</v>
      </c>
      <c r="G2415">
        <v>-0.24906146056211617</v>
      </c>
      <c r="H2415">
        <v>-0.16040656264051964</v>
      </c>
    </row>
    <row r="2416" spans="2:8">
      <c r="B2416">
        <v>1</v>
      </c>
      <c r="C2416">
        <v>102</v>
      </c>
      <c r="D2416">
        <v>1</v>
      </c>
      <c r="E2416">
        <v>0</v>
      </c>
      <c r="F2416">
        <v>-0.15942676517883417</v>
      </c>
      <c r="G2416">
        <v>-0.29261048762547809</v>
      </c>
      <c r="H2416">
        <v>-0.42909565665948551</v>
      </c>
    </row>
    <row r="2417" spans="2:8">
      <c r="B2417">
        <v>1</v>
      </c>
      <c r="C2417">
        <v>97.960799999999992</v>
      </c>
      <c r="D2417">
        <v>1</v>
      </c>
      <c r="E2417">
        <v>0</v>
      </c>
      <c r="F2417">
        <v>0.31591568883789584</v>
      </c>
    </row>
    <row r="2418" spans="2:8">
      <c r="B2418">
        <v>1</v>
      </c>
      <c r="C2418">
        <v>102</v>
      </c>
      <c r="D2418">
        <v>1</v>
      </c>
      <c r="E2418">
        <v>0</v>
      </c>
      <c r="F2418">
        <v>-4.7577726851584769E-2</v>
      </c>
      <c r="G2418">
        <v>5.4584616970691682E-2</v>
      </c>
      <c r="H2418">
        <v>0.15218703603765354</v>
      </c>
    </row>
    <row r="2419" spans="2:8">
      <c r="B2419">
        <v>1</v>
      </c>
      <c r="C2419">
        <v>97.960799999999992</v>
      </c>
      <c r="D2419">
        <v>1</v>
      </c>
      <c r="E2419">
        <v>0</v>
      </c>
      <c r="F2419">
        <v>0.19963630312174377</v>
      </c>
    </row>
    <row r="2420" spans="2:8">
      <c r="B2420">
        <v>1</v>
      </c>
      <c r="C2420">
        <v>102</v>
      </c>
      <c r="D2420">
        <v>1</v>
      </c>
      <c r="E2420">
        <v>0</v>
      </c>
      <c r="F2420">
        <v>0.17067856711121504</v>
      </c>
    </row>
    <row r="2421" spans="2:8">
      <c r="B2421">
        <v>3</v>
      </c>
      <c r="C2421">
        <v>92.23681599999999</v>
      </c>
      <c r="D2421">
        <v>3</v>
      </c>
      <c r="E2421">
        <v>0</v>
      </c>
      <c r="F2421">
        <v>-6.9026189947287625E-2</v>
      </c>
      <c r="G2421">
        <v>-0.28945156002742412</v>
      </c>
      <c r="H2421">
        <v>-0.22244069147138273</v>
      </c>
    </row>
    <row r="2422" spans="2:8">
      <c r="B2422">
        <v>3</v>
      </c>
      <c r="C2422">
        <v>29.515425700897445</v>
      </c>
      <c r="D2422">
        <v>1</v>
      </c>
      <c r="E2422">
        <v>0</v>
      </c>
      <c r="F2422">
        <v>-0.25519085113834827</v>
      </c>
      <c r="G2422">
        <v>-0.46836760752424034</v>
      </c>
      <c r="H2422">
        <v>-0.6864037762656563</v>
      </c>
    </row>
    <row r="2423" spans="2:8">
      <c r="B2423">
        <v>3</v>
      </c>
      <c r="C2423">
        <v>92.23681599999999</v>
      </c>
      <c r="D2423">
        <v>2</v>
      </c>
      <c r="E2423">
        <v>0</v>
      </c>
      <c r="F2423">
        <v>-7.7666572366796513E-2</v>
      </c>
      <c r="G2423">
        <v>-0.31373140466078897</v>
      </c>
      <c r="H2423">
        <v>-0.25777404549028493</v>
      </c>
    </row>
    <row r="2424" spans="2:8">
      <c r="B2424">
        <v>3</v>
      </c>
      <c r="C2424">
        <v>41.265579199978141</v>
      </c>
      <c r="D2424">
        <v>1</v>
      </c>
      <c r="E2424">
        <v>0</v>
      </c>
      <c r="F2424">
        <v>-0.20732407575658493</v>
      </c>
      <c r="G2424">
        <v>-0.38248452158564122</v>
      </c>
      <c r="H2424">
        <v>-0.56156045525272058</v>
      </c>
    </row>
    <row r="2425" spans="2:8">
      <c r="B2425">
        <v>3</v>
      </c>
      <c r="C2425">
        <v>92.23681599999999</v>
      </c>
      <c r="D2425">
        <v>3</v>
      </c>
      <c r="E2425">
        <v>0</v>
      </c>
      <c r="F2425">
        <v>-0.16277493382898212</v>
      </c>
      <c r="G2425">
        <v>2.5063268094243453E-2</v>
      </c>
      <c r="H2425">
        <v>-3.8055338781024612E-3</v>
      </c>
    </row>
    <row r="2426" spans="2:8">
      <c r="B2426">
        <v>1</v>
      </c>
      <c r="C2426">
        <v>97.960799999999992</v>
      </c>
      <c r="D2426">
        <v>1</v>
      </c>
      <c r="E2426">
        <v>0</v>
      </c>
      <c r="F2426">
        <v>5.2073994043318139E-2</v>
      </c>
    </row>
    <row r="2427" spans="2:8">
      <c r="B2427">
        <v>3</v>
      </c>
      <c r="C2427">
        <v>97.771024959999991</v>
      </c>
      <c r="D2427">
        <v>3</v>
      </c>
      <c r="E2427">
        <v>0</v>
      </c>
      <c r="F2427">
        <v>-0.16072840531551638</v>
      </c>
      <c r="G2427">
        <v>3.2255537768410197E-2</v>
      </c>
      <c r="H2427">
        <v>5.0284556077032508E-3</v>
      </c>
    </row>
    <row r="2428" spans="2:8">
      <c r="B2428">
        <v>1</v>
      </c>
      <c r="C2428">
        <v>102</v>
      </c>
      <c r="D2428">
        <v>1</v>
      </c>
      <c r="E2428">
        <v>0</v>
      </c>
      <c r="F2428">
        <v>-6.6352934819965098E-2</v>
      </c>
      <c r="G2428">
        <v>-0.11058637532502277</v>
      </c>
      <c r="H2428">
        <v>-4.0024732837787652E-2</v>
      </c>
    </row>
    <row r="2429" spans="2:8">
      <c r="B2429">
        <v>3</v>
      </c>
      <c r="C2429">
        <v>52.649834110795268</v>
      </c>
      <c r="D2429">
        <v>1</v>
      </c>
      <c r="E2429">
        <v>0</v>
      </c>
      <c r="F2429">
        <v>-0.11499776673831542</v>
      </c>
      <c r="G2429">
        <v>-0.45475989241362569</v>
      </c>
      <c r="H2429">
        <v>-0.44060474259454746</v>
      </c>
    </row>
    <row r="2430" spans="2:8">
      <c r="B2430">
        <v>1</v>
      </c>
      <c r="C2430">
        <v>102</v>
      </c>
      <c r="D2430">
        <v>1</v>
      </c>
      <c r="E2430">
        <v>0</v>
      </c>
      <c r="F2430">
        <v>3.1659293499281808E-2</v>
      </c>
    </row>
    <row r="2431" spans="2:8">
      <c r="B2431">
        <v>1</v>
      </c>
      <c r="C2431">
        <v>102</v>
      </c>
      <c r="D2431">
        <v>1</v>
      </c>
      <c r="E2431">
        <v>0</v>
      </c>
      <c r="F2431">
        <v>6.1685433547930893E-3</v>
      </c>
    </row>
    <row r="2432" spans="2:8">
      <c r="B2432">
        <v>1</v>
      </c>
      <c r="C2432">
        <v>102</v>
      </c>
      <c r="D2432">
        <v>1</v>
      </c>
      <c r="E2432">
        <v>0</v>
      </c>
      <c r="F2432">
        <v>-0.27593890413141031</v>
      </c>
      <c r="G2432">
        <v>-0.50397457702304205</v>
      </c>
      <c r="H2432">
        <v>-0.7373841986076819</v>
      </c>
    </row>
    <row r="2433" spans="2:8">
      <c r="B2433">
        <v>3</v>
      </c>
      <c r="C2433">
        <v>92.23681599999999</v>
      </c>
      <c r="D2433">
        <v>3</v>
      </c>
      <c r="E2433">
        <v>0</v>
      </c>
      <c r="F2433">
        <v>-5.1862458140318042E-2</v>
      </c>
      <c r="G2433">
        <v>-0.24503806197937764</v>
      </c>
      <c r="H2433">
        <v>-0.15397028572028859</v>
      </c>
    </row>
    <row r="2434" spans="2:8">
      <c r="B2434">
        <v>1</v>
      </c>
      <c r="C2434">
        <v>97.960799999999992</v>
      </c>
      <c r="D2434">
        <v>1</v>
      </c>
      <c r="E2434">
        <v>0</v>
      </c>
      <c r="F2434">
        <v>0.25996316906334932</v>
      </c>
    </row>
    <row r="2435" spans="2:8">
      <c r="B2435">
        <v>1</v>
      </c>
      <c r="C2435">
        <v>97.960799999999992</v>
      </c>
      <c r="D2435">
        <v>1</v>
      </c>
      <c r="E2435">
        <v>0</v>
      </c>
      <c r="F2435">
        <v>9.5306888245736729E-2</v>
      </c>
    </row>
    <row r="2436" spans="2:8">
      <c r="B2436">
        <v>1</v>
      </c>
      <c r="C2436">
        <v>102</v>
      </c>
      <c r="D2436">
        <v>1</v>
      </c>
      <c r="E2436">
        <v>0</v>
      </c>
      <c r="F2436">
        <v>5.4092648252245336E-2</v>
      </c>
    </row>
    <row r="2437" spans="2:8">
      <c r="B2437">
        <v>1</v>
      </c>
      <c r="C2437">
        <v>102</v>
      </c>
      <c r="D2437">
        <v>1</v>
      </c>
      <c r="E2437">
        <v>0</v>
      </c>
      <c r="F2437">
        <v>0.25323241604636132</v>
      </c>
    </row>
    <row r="2438" spans="2:8">
      <c r="B2438">
        <v>1</v>
      </c>
      <c r="C2438">
        <v>102</v>
      </c>
      <c r="D2438">
        <v>1</v>
      </c>
      <c r="E2438">
        <v>0</v>
      </c>
      <c r="F2438">
        <v>-0.13699870133181932</v>
      </c>
      <c r="G2438">
        <v>-0.24952052815246936</v>
      </c>
      <c r="H2438">
        <v>-0.25644080936724128</v>
      </c>
    </row>
    <row r="2439" spans="2:8">
      <c r="B2439">
        <v>3</v>
      </c>
      <c r="C2439">
        <v>92.23681599999999</v>
      </c>
      <c r="D2439">
        <v>3</v>
      </c>
      <c r="E2439">
        <v>0</v>
      </c>
      <c r="F2439">
        <v>-1.8965644672302991E-2</v>
      </c>
      <c r="G2439">
        <v>-0.1690464553719615</v>
      </c>
      <c r="H2439">
        <v>-1.9440498642570071E-2</v>
      </c>
    </row>
    <row r="2440" spans="2:8">
      <c r="B2440">
        <v>1</v>
      </c>
      <c r="C2440">
        <v>97.960799999999992</v>
      </c>
      <c r="D2440">
        <v>1</v>
      </c>
      <c r="E2440">
        <v>0</v>
      </c>
      <c r="F2440">
        <v>0.37191023028088194</v>
      </c>
    </row>
    <row r="2441" spans="2:8">
      <c r="B2441">
        <v>1</v>
      </c>
      <c r="C2441">
        <v>102</v>
      </c>
      <c r="D2441">
        <v>1</v>
      </c>
      <c r="E2441">
        <v>0</v>
      </c>
      <c r="F2441">
        <v>5.9507057851274768E-2</v>
      </c>
    </row>
    <row r="2442" spans="2:8">
      <c r="B2442">
        <v>1</v>
      </c>
      <c r="C2442">
        <v>102</v>
      </c>
      <c r="D2442">
        <v>1</v>
      </c>
      <c r="E2442">
        <v>0</v>
      </c>
      <c r="F2442">
        <v>0.1960945187869248</v>
      </c>
    </row>
    <row r="2443" spans="2:8">
      <c r="B2443">
        <v>3</v>
      </c>
      <c r="C2443">
        <v>92.23681599999999</v>
      </c>
      <c r="D2443">
        <v>1</v>
      </c>
      <c r="E2443">
        <v>0</v>
      </c>
      <c r="F2443">
        <v>-9.5195437485632736E-2</v>
      </c>
      <c r="G2443">
        <v>-0.36934925848267119</v>
      </c>
      <c r="H2443">
        <v>-0.33409600199297618</v>
      </c>
    </row>
    <row r="2444" spans="2:8">
      <c r="B2444">
        <v>1</v>
      </c>
      <c r="C2444">
        <v>102</v>
      </c>
      <c r="D2444">
        <v>1</v>
      </c>
      <c r="E2444">
        <v>0</v>
      </c>
      <c r="F2444">
        <v>-0.13886837575261762</v>
      </c>
      <c r="G2444">
        <v>-0.253133576053513</v>
      </c>
      <c r="H2444">
        <v>-0.26174146662739012</v>
      </c>
    </row>
    <row r="2445" spans="2:8">
      <c r="B2445">
        <v>1</v>
      </c>
      <c r="C2445">
        <v>97.960799999999992</v>
      </c>
      <c r="D2445">
        <v>1</v>
      </c>
      <c r="E2445">
        <v>0</v>
      </c>
      <c r="F2445">
        <v>0.1210223467111107</v>
      </c>
    </row>
    <row r="2446" spans="2:8">
      <c r="B2446">
        <v>1</v>
      </c>
      <c r="C2446">
        <v>97.960799999999992</v>
      </c>
      <c r="D2446">
        <v>1</v>
      </c>
      <c r="E2446">
        <v>0</v>
      </c>
      <c r="F2446">
        <v>0.14990836628833193</v>
      </c>
    </row>
    <row r="2447" spans="2:8">
      <c r="B2447">
        <v>3</v>
      </c>
      <c r="C2447">
        <v>92.23681599999999</v>
      </c>
      <c r="D2447">
        <v>3</v>
      </c>
      <c r="E2447">
        <v>0</v>
      </c>
      <c r="F2447">
        <v>-4.32893183356165E-2</v>
      </c>
      <c r="G2447">
        <v>-0.22427308832390982</v>
      </c>
      <c r="H2447">
        <v>-0.11987516285732984</v>
      </c>
    </row>
    <row r="2448" spans="2:8">
      <c r="B2448">
        <v>1</v>
      </c>
      <c r="C2448">
        <v>102</v>
      </c>
      <c r="D2448">
        <v>1</v>
      </c>
      <c r="E2448">
        <v>0</v>
      </c>
      <c r="F2448">
        <v>0.16238370716244729</v>
      </c>
    </row>
    <row r="2449" spans="2:8">
      <c r="B2449">
        <v>3</v>
      </c>
      <c r="C2449">
        <v>47.79249101768162</v>
      </c>
      <c r="D2449">
        <v>0</v>
      </c>
      <c r="E2449">
        <v>0</v>
      </c>
      <c r="F2449">
        <v>-0.40079765805553103</v>
      </c>
      <c r="G2449">
        <v>-0.36835630787459106</v>
      </c>
      <c r="H2449">
        <v>-0.49221316141996929</v>
      </c>
    </row>
    <row r="2450" spans="2:8">
      <c r="B2450">
        <v>3</v>
      </c>
      <c r="C2450">
        <v>53.017485353914545</v>
      </c>
      <c r="D2450">
        <v>1</v>
      </c>
      <c r="E2450">
        <v>0</v>
      </c>
      <c r="F2450">
        <v>-0.20475611212201042</v>
      </c>
      <c r="G2450">
        <v>-0.37775328140550812</v>
      </c>
      <c r="H2450">
        <v>-0.43669851258920023</v>
      </c>
    </row>
    <row r="2451" spans="2:8">
      <c r="B2451">
        <v>1</v>
      </c>
      <c r="C2451">
        <v>97.960799999999992</v>
      </c>
      <c r="D2451">
        <v>1</v>
      </c>
      <c r="E2451">
        <v>0</v>
      </c>
      <c r="F2451">
        <v>0.2436972770907406</v>
      </c>
    </row>
    <row r="2452" spans="2:8">
      <c r="B2452">
        <v>3</v>
      </c>
      <c r="C2452">
        <v>97.771024959999991</v>
      </c>
      <c r="D2452">
        <v>3</v>
      </c>
      <c r="E2452">
        <v>0</v>
      </c>
      <c r="F2452">
        <v>-2.1682245172402567E-2</v>
      </c>
      <c r="G2452">
        <v>0.12844151176683286</v>
      </c>
      <c r="H2452">
        <v>0.27226092509624189</v>
      </c>
    </row>
    <row r="2453" spans="2:8">
      <c r="B2453">
        <v>1</v>
      </c>
      <c r="C2453">
        <v>97.960799999999992</v>
      </c>
      <c r="D2453">
        <v>1</v>
      </c>
      <c r="E2453">
        <v>0</v>
      </c>
      <c r="F2453">
        <v>5.5394649232385171E-2</v>
      </c>
    </row>
    <row r="2454" spans="2:8">
      <c r="B2454">
        <v>1</v>
      </c>
      <c r="C2454">
        <v>97.960799999999992</v>
      </c>
      <c r="D2454">
        <v>1</v>
      </c>
      <c r="E2454">
        <v>0</v>
      </c>
      <c r="F2454">
        <v>6.0839837910115928E-2</v>
      </c>
    </row>
    <row r="2455" spans="2:8">
      <c r="B2455">
        <v>1</v>
      </c>
      <c r="C2455">
        <v>97.960799999999992</v>
      </c>
      <c r="D2455">
        <v>1</v>
      </c>
      <c r="E2455">
        <v>0</v>
      </c>
      <c r="F2455">
        <v>4.4860507110851121E-2</v>
      </c>
    </row>
    <row r="2456" spans="2:8">
      <c r="B2456">
        <v>1</v>
      </c>
      <c r="C2456">
        <v>102</v>
      </c>
      <c r="D2456">
        <v>1</v>
      </c>
      <c r="E2456">
        <v>0</v>
      </c>
      <c r="F2456">
        <v>9.6908361882757491E-2</v>
      </c>
    </row>
    <row r="2457" spans="2:8">
      <c r="B2457">
        <v>3</v>
      </c>
      <c r="C2457">
        <v>97.771024959999991</v>
      </c>
      <c r="D2457">
        <v>3</v>
      </c>
      <c r="E2457">
        <v>0</v>
      </c>
      <c r="F2457">
        <v>-0.15019700647099532</v>
      </c>
      <c r="G2457">
        <v>7.5438625273055185E-2</v>
      </c>
      <c r="H2457">
        <v>5.693053326490579E-2</v>
      </c>
    </row>
    <row r="2458" spans="2:8">
      <c r="B2458">
        <v>3</v>
      </c>
      <c r="C2458">
        <v>92.23681599999999</v>
      </c>
      <c r="D2458">
        <v>3</v>
      </c>
      <c r="E2458">
        <v>0</v>
      </c>
      <c r="F2458">
        <v>-9.2444524353554186E-2</v>
      </c>
      <c r="G2458">
        <v>-0.16241857507361901</v>
      </c>
      <c r="H2458">
        <v>-0.1240529283193261</v>
      </c>
    </row>
    <row r="2459" spans="2:8">
      <c r="B2459">
        <v>3</v>
      </c>
      <c r="C2459">
        <v>92.23681599999999</v>
      </c>
      <c r="D2459">
        <v>3</v>
      </c>
      <c r="E2459">
        <v>0</v>
      </c>
      <c r="F2459">
        <v>-3.6320799321834012E-2</v>
      </c>
      <c r="G2459">
        <v>-0.20794379035109309</v>
      </c>
      <c r="H2459">
        <v>-9.188136912606619E-2</v>
      </c>
    </row>
    <row r="2460" spans="2:8">
      <c r="B2460">
        <v>3</v>
      </c>
      <c r="C2460">
        <v>33.786569646479172</v>
      </c>
      <c r="D2460">
        <v>1</v>
      </c>
      <c r="E2460">
        <v>0</v>
      </c>
      <c r="F2460">
        <v>-0.23738176099037128</v>
      </c>
      <c r="G2460">
        <v>-0.43696875928356854</v>
      </c>
      <c r="H2460">
        <v>-0.6410236206164186</v>
      </c>
    </row>
    <row r="2461" spans="2:8">
      <c r="B2461">
        <v>3</v>
      </c>
      <c r="C2461">
        <v>92.23681599999999</v>
      </c>
      <c r="D2461">
        <v>1</v>
      </c>
      <c r="E2461">
        <v>0</v>
      </c>
      <c r="F2461">
        <v>-0.10414144509277833</v>
      </c>
      <c r="G2461">
        <v>-0.40321103973815398</v>
      </c>
      <c r="H2461">
        <v>-0.37776219401644229</v>
      </c>
    </row>
    <row r="2462" spans="2:8">
      <c r="B2462">
        <v>3</v>
      </c>
      <c r="C2462">
        <v>92.23681599999999</v>
      </c>
      <c r="D2462">
        <v>3</v>
      </c>
      <c r="E2462">
        <v>0</v>
      </c>
      <c r="F2462">
        <v>-0.11040172251206937</v>
      </c>
      <c r="G2462">
        <v>-0.19774654405175274</v>
      </c>
      <c r="H2462">
        <v>-0.17888730875661421</v>
      </c>
    </row>
    <row r="2463" spans="2:8">
      <c r="B2463">
        <v>1</v>
      </c>
      <c r="C2463">
        <v>102</v>
      </c>
      <c r="D2463">
        <v>1</v>
      </c>
      <c r="E2463">
        <v>0</v>
      </c>
      <c r="F2463">
        <v>1.7220067092953782E-2</v>
      </c>
    </row>
    <row r="2464" spans="2:8">
      <c r="B2464">
        <v>1</v>
      </c>
      <c r="C2464">
        <v>97.960799999999992</v>
      </c>
      <c r="D2464">
        <v>1</v>
      </c>
      <c r="E2464">
        <v>0</v>
      </c>
      <c r="F2464">
        <v>5.0071881662689187E-2</v>
      </c>
    </row>
    <row r="2465" spans="2:8">
      <c r="B2465">
        <v>1</v>
      </c>
      <c r="C2465">
        <v>97.960799999999992</v>
      </c>
      <c r="D2465">
        <v>1</v>
      </c>
      <c r="E2465">
        <v>0</v>
      </c>
      <c r="F2465">
        <v>7.804214027361242E-2</v>
      </c>
    </row>
    <row r="2466" spans="2:8">
      <c r="B2466">
        <v>1</v>
      </c>
      <c r="C2466">
        <v>102</v>
      </c>
      <c r="D2466">
        <v>1</v>
      </c>
      <c r="E2466">
        <v>0</v>
      </c>
      <c r="F2466">
        <v>1.6080636093709643E-3</v>
      </c>
    </row>
    <row r="2467" spans="2:8">
      <c r="B2467">
        <v>1</v>
      </c>
      <c r="C2467">
        <v>102</v>
      </c>
      <c r="D2467">
        <v>1</v>
      </c>
      <c r="E2467">
        <v>0</v>
      </c>
      <c r="F2467">
        <v>-0.24598696618679156</v>
      </c>
      <c r="G2467">
        <v>-0.16322217290226468</v>
      </c>
      <c r="H2467">
        <v>-0.37411666983891628</v>
      </c>
    </row>
    <row r="2468" spans="2:8">
      <c r="B2468">
        <v>3</v>
      </c>
      <c r="C2468">
        <v>92.23681599999999</v>
      </c>
      <c r="D2468">
        <v>3</v>
      </c>
      <c r="E2468">
        <v>0</v>
      </c>
      <c r="F2468">
        <v>-9.0773489155798151E-2</v>
      </c>
      <c r="G2468">
        <v>-4.7045775719004819E-2</v>
      </c>
      <c r="H2468">
        <v>-6.7659886374782418E-3</v>
      </c>
    </row>
    <row r="2469" spans="2:8">
      <c r="B2469">
        <v>1</v>
      </c>
      <c r="C2469">
        <v>102</v>
      </c>
      <c r="D2469">
        <v>1</v>
      </c>
      <c r="E2469">
        <v>0</v>
      </c>
      <c r="F2469">
        <v>-0.15413338889641931</v>
      </c>
      <c r="G2469">
        <v>5.7820246079749192E-2</v>
      </c>
      <c r="H2469">
        <v>-7.3789874326418717E-2</v>
      </c>
    </row>
    <row r="2470" spans="2:8">
      <c r="B2470">
        <v>1</v>
      </c>
      <c r="C2470">
        <v>102</v>
      </c>
      <c r="D2470">
        <v>1</v>
      </c>
      <c r="E2470">
        <v>0</v>
      </c>
      <c r="F2470">
        <v>0.22259976428443515</v>
      </c>
    </row>
    <row r="2471" spans="2:8">
      <c r="B2471">
        <v>3</v>
      </c>
      <c r="C2471">
        <v>97.771024959999991</v>
      </c>
      <c r="D2471">
        <v>3</v>
      </c>
      <c r="E2471">
        <v>0</v>
      </c>
      <c r="F2471">
        <v>-8.466812924325438E-3</v>
      </c>
      <c r="G2471">
        <v>-0.14655045580775322</v>
      </c>
      <c r="H2471">
        <v>2.8137195879454738E-2</v>
      </c>
    </row>
    <row r="2472" spans="2:8">
      <c r="B2472">
        <v>1</v>
      </c>
      <c r="C2472">
        <v>102</v>
      </c>
      <c r="D2472">
        <v>1</v>
      </c>
      <c r="E2472">
        <v>0</v>
      </c>
      <c r="F2472">
        <v>1.0777366486394163E-2</v>
      </c>
    </row>
    <row r="2473" spans="2:8">
      <c r="B2473">
        <v>1</v>
      </c>
      <c r="C2473">
        <v>102</v>
      </c>
      <c r="D2473">
        <v>1</v>
      </c>
      <c r="E2473">
        <v>0</v>
      </c>
      <c r="F2473">
        <v>-0.31676917392168424</v>
      </c>
      <c r="G2473">
        <v>-0.26785323482062423</v>
      </c>
      <c r="H2473">
        <v>-0.52807549270717535</v>
      </c>
    </row>
    <row r="2474" spans="2:8">
      <c r="B2474">
        <v>3</v>
      </c>
      <c r="C2474">
        <v>97.771024959999991</v>
      </c>
      <c r="D2474">
        <v>3</v>
      </c>
      <c r="E2474">
        <v>0</v>
      </c>
      <c r="F2474">
        <v>-1.2901086434356999E-2</v>
      </c>
      <c r="G2474">
        <v>0.15803357033244306</v>
      </c>
      <c r="H2474">
        <v>0.32152666395355012</v>
      </c>
    </row>
    <row r="2475" spans="2:8">
      <c r="B2475">
        <v>1</v>
      </c>
      <c r="C2475">
        <v>97.960799999999992</v>
      </c>
      <c r="D2475">
        <v>1</v>
      </c>
      <c r="E2475">
        <v>0</v>
      </c>
      <c r="F2475">
        <v>2.4945197845702281E-2</v>
      </c>
    </row>
    <row r="2476" spans="2:8">
      <c r="B2476">
        <v>1</v>
      </c>
      <c r="C2476">
        <v>97.960799999999992</v>
      </c>
      <c r="D2476">
        <v>1</v>
      </c>
      <c r="E2476">
        <v>0</v>
      </c>
      <c r="F2476">
        <v>0.21572893663764772</v>
      </c>
    </row>
    <row r="2477" spans="2:8">
      <c r="B2477">
        <v>1</v>
      </c>
      <c r="C2477">
        <v>97.960799999999992</v>
      </c>
      <c r="D2477">
        <v>1</v>
      </c>
      <c r="E2477">
        <v>0</v>
      </c>
      <c r="F2477">
        <v>0.14069640540243994</v>
      </c>
    </row>
    <row r="2478" spans="2:8">
      <c r="B2478">
        <v>3</v>
      </c>
      <c r="C2478">
        <v>97.771024959999991</v>
      </c>
      <c r="D2478">
        <v>3</v>
      </c>
      <c r="E2478">
        <v>0</v>
      </c>
      <c r="F2478">
        <v>-3.0370891072521441E-2</v>
      </c>
      <c r="G2478">
        <v>0.10190175271038544</v>
      </c>
      <c r="H2478">
        <v>0.22863996873699483</v>
      </c>
    </row>
    <row r="2479" spans="2:8">
      <c r="B2479">
        <v>1</v>
      </c>
      <c r="C2479">
        <v>97.960799999999992</v>
      </c>
      <c r="D2479">
        <v>1</v>
      </c>
      <c r="E2479">
        <v>0</v>
      </c>
      <c r="F2479">
        <v>9.0399178780870018E-2</v>
      </c>
    </row>
    <row r="2480" spans="2:8">
      <c r="B2480">
        <v>3</v>
      </c>
      <c r="C2480">
        <v>92.23681599999999</v>
      </c>
      <c r="D2480">
        <v>3</v>
      </c>
      <c r="E2480">
        <v>0</v>
      </c>
      <c r="F2480">
        <v>-0.13514046789229953</v>
      </c>
      <c r="G2480">
        <v>-0.1373352646320605</v>
      </c>
      <c r="H2480">
        <v>-0.14256282788501912</v>
      </c>
    </row>
    <row r="2481" spans="2:8">
      <c r="B2481">
        <v>3</v>
      </c>
      <c r="C2481">
        <v>97.771024959999991</v>
      </c>
      <c r="D2481">
        <v>3</v>
      </c>
      <c r="E2481">
        <v>0</v>
      </c>
      <c r="F2481">
        <v>-0.13395602383296626</v>
      </c>
      <c r="G2481">
        <v>0.21225688154653743</v>
      </c>
      <c r="H2481">
        <v>0.20811636113478338</v>
      </c>
    </row>
    <row r="2482" spans="2:8">
      <c r="B2482">
        <v>1</v>
      </c>
      <c r="C2482">
        <v>97.960799999999992</v>
      </c>
      <c r="D2482">
        <v>1</v>
      </c>
      <c r="E2482">
        <v>0</v>
      </c>
      <c r="F2482">
        <v>9.9438967845525278E-2</v>
      </c>
    </row>
    <row r="2483" spans="2:8">
      <c r="B2483">
        <v>1</v>
      </c>
      <c r="C2483">
        <v>97.960799999999992</v>
      </c>
      <c r="D2483">
        <v>1</v>
      </c>
      <c r="E2483">
        <v>0</v>
      </c>
      <c r="F2483">
        <v>0.34408836989993191</v>
      </c>
    </row>
    <row r="2484" spans="2:8">
      <c r="B2484">
        <v>3</v>
      </c>
      <c r="C2484">
        <v>92.23681599999999</v>
      </c>
      <c r="D2484">
        <v>1</v>
      </c>
      <c r="E2484">
        <v>0</v>
      </c>
      <c r="F2484">
        <v>-0.16826799846938834</v>
      </c>
      <c r="G2484">
        <v>-0.30943644700482953</v>
      </c>
      <c r="H2484">
        <v>-0.34262870725524924</v>
      </c>
    </row>
    <row r="2485" spans="2:8">
      <c r="B2485">
        <v>1</v>
      </c>
      <c r="C2485">
        <v>97.960799999999992</v>
      </c>
      <c r="D2485">
        <v>1</v>
      </c>
      <c r="E2485">
        <v>0</v>
      </c>
      <c r="F2485">
        <v>6.8571063312504191E-2</v>
      </c>
    </row>
    <row r="2486" spans="2:8">
      <c r="B2486">
        <v>1</v>
      </c>
      <c r="C2486">
        <v>102</v>
      </c>
      <c r="D2486">
        <v>1</v>
      </c>
      <c r="E2486">
        <v>0</v>
      </c>
      <c r="F2486">
        <v>-0.21604494591184498</v>
      </c>
      <c r="G2486">
        <v>-0.27904723295380801</v>
      </c>
      <c r="H2486">
        <v>-0.34495122979212278</v>
      </c>
    </row>
    <row r="2487" spans="2:8">
      <c r="B2487">
        <v>1</v>
      </c>
      <c r="C2487">
        <v>97.960799999999992</v>
      </c>
      <c r="D2487">
        <v>1</v>
      </c>
      <c r="E2487">
        <v>0</v>
      </c>
      <c r="F2487">
        <v>5.7441758036362131E-2</v>
      </c>
    </row>
    <row r="2488" spans="2:8">
      <c r="B2488">
        <v>3</v>
      </c>
      <c r="C2488">
        <v>92.23681599999999</v>
      </c>
      <c r="D2488">
        <v>3</v>
      </c>
      <c r="E2488">
        <v>0</v>
      </c>
      <c r="F2488">
        <v>-0.17747713611908347</v>
      </c>
      <c r="G2488">
        <v>-0.21474525472140926</v>
      </c>
      <c r="H2488">
        <v>-0.25491833164044819</v>
      </c>
    </row>
    <row r="2489" spans="2:8">
      <c r="B2489">
        <v>3</v>
      </c>
      <c r="C2489">
        <v>92.23681599999999</v>
      </c>
      <c r="D2489">
        <v>3</v>
      </c>
      <c r="E2489">
        <v>0</v>
      </c>
      <c r="F2489">
        <v>-2.7680045721754667E-2</v>
      </c>
      <c r="G2489">
        <v>-0.18828724198183022</v>
      </c>
      <c r="H2489">
        <v>-5.6467103176255813E-2</v>
      </c>
    </row>
    <row r="2490" spans="2:8">
      <c r="B2490">
        <v>1</v>
      </c>
      <c r="C2490">
        <v>102</v>
      </c>
      <c r="D2490">
        <v>1</v>
      </c>
      <c r="E2490">
        <v>0</v>
      </c>
      <c r="F2490">
        <v>-0.30131800956946581</v>
      </c>
      <c r="G2490">
        <v>-0.54590243737130528</v>
      </c>
      <c r="H2490">
        <v>-0.79656471816328089</v>
      </c>
    </row>
    <row r="2491" spans="2:8">
      <c r="B2491">
        <v>1</v>
      </c>
      <c r="C2491">
        <v>102</v>
      </c>
      <c r="D2491">
        <v>1</v>
      </c>
      <c r="E2491">
        <v>0</v>
      </c>
      <c r="F2491">
        <v>-2.6036398532135061E-2</v>
      </c>
      <c r="G2491">
        <v>-0.18461561259361858</v>
      </c>
      <c r="H2491">
        <v>-4.9604235385582361E-2</v>
      </c>
    </row>
    <row r="2492" spans="2:8">
      <c r="B2492">
        <v>1</v>
      </c>
      <c r="C2492">
        <v>97.960799999999992</v>
      </c>
      <c r="D2492">
        <v>1</v>
      </c>
      <c r="E2492">
        <v>0</v>
      </c>
      <c r="F2492">
        <v>7.214862445423717E-2</v>
      </c>
    </row>
    <row r="2493" spans="2:8">
      <c r="B2493">
        <v>1</v>
      </c>
      <c r="C2493">
        <v>97.960799999999992</v>
      </c>
      <c r="D2493">
        <v>1</v>
      </c>
      <c r="E2493">
        <v>0</v>
      </c>
      <c r="F2493">
        <v>1.5439479863785192E-2</v>
      </c>
    </row>
    <row r="2494" spans="2:8">
      <c r="B2494">
        <v>3</v>
      </c>
      <c r="C2494">
        <v>2.7301007492613909</v>
      </c>
      <c r="D2494">
        <v>0</v>
      </c>
      <c r="E2494">
        <v>0</v>
      </c>
      <c r="F2494">
        <v>-0.39047071733762212</v>
      </c>
      <c r="G2494">
        <v>-0.6763759769280685</v>
      </c>
      <c r="H2494">
        <v>-0.97099315815198817</v>
      </c>
    </row>
    <row r="2495" spans="2:8">
      <c r="B2495">
        <v>1</v>
      </c>
      <c r="C2495">
        <v>97.960799999999992</v>
      </c>
      <c r="D2495">
        <v>1</v>
      </c>
      <c r="E2495">
        <v>0</v>
      </c>
      <c r="F2495">
        <v>2.8616022516593197E-2</v>
      </c>
    </row>
    <row r="2496" spans="2:8">
      <c r="B2496">
        <v>3</v>
      </c>
      <c r="C2496">
        <v>92.23681599999999</v>
      </c>
      <c r="D2496">
        <v>1</v>
      </c>
      <c r="E2496">
        <v>0</v>
      </c>
      <c r="F2496">
        <v>-0.23120336012869763</v>
      </c>
      <c r="G2496">
        <v>-0.30281016232850227</v>
      </c>
      <c r="H2496">
        <v>-0.37733439379545719</v>
      </c>
    </row>
    <row r="2497" spans="2:8">
      <c r="B2497">
        <v>1</v>
      </c>
      <c r="C2497">
        <v>97.960799999999992</v>
      </c>
      <c r="D2497">
        <v>1</v>
      </c>
      <c r="E2497">
        <v>0</v>
      </c>
      <c r="F2497">
        <v>9.2835917233642457E-2</v>
      </c>
    </row>
    <row r="2498" spans="2:8">
      <c r="B2498">
        <v>3</v>
      </c>
      <c r="C2498">
        <v>37.630568862616371</v>
      </c>
      <c r="D2498">
        <v>0</v>
      </c>
      <c r="E2498">
        <v>0</v>
      </c>
      <c r="F2498">
        <v>-0.3650080532723663</v>
      </c>
      <c r="G2498">
        <v>-0.48102396736522768</v>
      </c>
      <c r="H2498">
        <v>-0.60018180283495426</v>
      </c>
    </row>
    <row r="2499" spans="2:8">
      <c r="B2499">
        <v>1</v>
      </c>
      <c r="C2499">
        <v>102</v>
      </c>
      <c r="D2499">
        <v>1</v>
      </c>
      <c r="E2499">
        <v>0</v>
      </c>
      <c r="F2499">
        <v>-0.22632729781177899</v>
      </c>
      <c r="G2499">
        <v>-0.12836330634552862</v>
      </c>
      <c r="H2499">
        <v>-0.20020408999667638</v>
      </c>
    </row>
    <row r="2500" spans="2:8">
      <c r="B2500">
        <v>3</v>
      </c>
      <c r="C2500">
        <v>33.892031766926394</v>
      </c>
      <c r="D2500">
        <v>1</v>
      </c>
      <c r="E2500">
        <v>0</v>
      </c>
      <c r="F2500">
        <v>-0.2960296398249449</v>
      </c>
      <c r="G2500">
        <v>-0.53732461406884924</v>
      </c>
      <c r="H2500">
        <v>-0.6399031040751898</v>
      </c>
    </row>
    <row r="2501" spans="2:8">
      <c r="B2501">
        <v>3</v>
      </c>
      <c r="C2501">
        <v>97.771024959999991</v>
      </c>
      <c r="D2501">
        <v>3</v>
      </c>
      <c r="E2501">
        <v>0</v>
      </c>
      <c r="F2501">
        <v>-0.14196149330310062</v>
      </c>
      <c r="G2501">
        <v>0.12272287159972238</v>
      </c>
      <c r="H2501">
        <v>0.11135688291685393</v>
      </c>
    </row>
    <row r="2502" spans="2:8">
      <c r="B2502">
        <v>3</v>
      </c>
      <c r="C2502">
        <v>97.771024959999991</v>
      </c>
      <c r="D2502">
        <v>3</v>
      </c>
      <c r="E2502">
        <v>0</v>
      </c>
      <c r="F2502">
        <v>-5.6948517610637467E-3</v>
      </c>
      <c r="G2502">
        <v>1.2273775379045535E-2</v>
      </c>
      <c r="H2502">
        <v>0.1945186493740324</v>
      </c>
    </row>
    <row r="2503" spans="2:8">
      <c r="B2503">
        <v>1</v>
      </c>
      <c r="C2503">
        <v>97.960799999999992</v>
      </c>
      <c r="D2503">
        <v>1</v>
      </c>
      <c r="E2503">
        <v>0</v>
      </c>
      <c r="F2503">
        <v>0.15224676114186689</v>
      </c>
    </row>
    <row r="2504" spans="2:8">
      <c r="B2504">
        <v>3</v>
      </c>
      <c r="C2504">
        <v>43.512407450865588</v>
      </c>
      <c r="D2504">
        <v>0</v>
      </c>
      <c r="E2504">
        <v>0</v>
      </c>
      <c r="F2504">
        <v>-0.32091376199285182</v>
      </c>
      <c r="G2504">
        <v>-0.42776373807494178</v>
      </c>
      <c r="H2504">
        <v>-0.53768829897761994</v>
      </c>
    </row>
    <row r="2505" spans="2:8">
      <c r="B2505">
        <v>1</v>
      </c>
      <c r="C2505">
        <v>102</v>
      </c>
      <c r="D2505">
        <v>1</v>
      </c>
      <c r="E2505">
        <v>0</v>
      </c>
      <c r="F2505">
        <v>-0.2832116211995751</v>
      </c>
      <c r="G2505">
        <v>-0.22149577891521605</v>
      </c>
      <c r="H2505">
        <v>-0.31959611575907476</v>
      </c>
    </row>
    <row r="2506" spans="2:8">
      <c r="B2506">
        <v>3</v>
      </c>
      <c r="C2506">
        <v>92.23681599999999</v>
      </c>
      <c r="D2506">
        <v>2</v>
      </c>
      <c r="E2506">
        <v>0</v>
      </c>
      <c r="F2506">
        <v>-0.1574086579987363</v>
      </c>
      <c r="G2506">
        <v>-0.28875650517216261</v>
      </c>
      <c r="H2506">
        <v>-0.31328437454121649</v>
      </c>
    </row>
    <row r="2507" spans="2:8">
      <c r="B2507">
        <v>1</v>
      </c>
      <c r="C2507">
        <v>102</v>
      </c>
      <c r="D2507">
        <v>1</v>
      </c>
      <c r="E2507">
        <v>0</v>
      </c>
      <c r="F2507">
        <v>3.6623113914169093E-2</v>
      </c>
    </row>
    <row r="2508" spans="2:8">
      <c r="B2508">
        <v>3</v>
      </c>
      <c r="C2508">
        <v>97.771024959999991</v>
      </c>
      <c r="D2508">
        <v>3</v>
      </c>
      <c r="E2508">
        <v>0</v>
      </c>
      <c r="F2508">
        <v>-7.3861390808314872E-3</v>
      </c>
      <c r="G2508">
        <v>8.7982923863418674E-3</v>
      </c>
      <c r="H2508">
        <v>2.1821136616347846E-2</v>
      </c>
    </row>
    <row r="2509" spans="2:8">
      <c r="B2509">
        <v>3</v>
      </c>
      <c r="C2509">
        <v>92.23681599999999</v>
      </c>
      <c r="D2509">
        <v>3</v>
      </c>
      <c r="E2509">
        <v>0</v>
      </c>
      <c r="F2509">
        <v>-0.20062601443367617</v>
      </c>
      <c r="G2509">
        <v>-7.6471321064654874E-2</v>
      </c>
      <c r="H2509">
        <v>-0.24977693525731093</v>
      </c>
    </row>
    <row r="2510" spans="2:8">
      <c r="B2510">
        <v>3</v>
      </c>
      <c r="C2510">
        <v>92.23681599999999</v>
      </c>
      <c r="D2510">
        <v>1</v>
      </c>
      <c r="E2510">
        <v>0</v>
      </c>
      <c r="F2510">
        <v>-0.17968797904061218</v>
      </c>
      <c r="G2510">
        <v>-0.3310224133523062</v>
      </c>
      <c r="H2510">
        <v>-0.37282219216982898</v>
      </c>
    </row>
    <row r="2511" spans="2:8">
      <c r="B2511">
        <v>1</v>
      </c>
      <c r="C2511">
        <v>97.960799999999992</v>
      </c>
      <c r="D2511">
        <v>1</v>
      </c>
      <c r="E2511">
        <v>0</v>
      </c>
      <c r="F2511">
        <v>0.10631187706250048</v>
      </c>
    </row>
    <row r="2512" spans="2:8">
      <c r="B2512">
        <v>1</v>
      </c>
      <c r="C2512">
        <v>102</v>
      </c>
      <c r="D2512">
        <v>1</v>
      </c>
      <c r="E2512">
        <v>0</v>
      </c>
      <c r="F2512">
        <v>0.23001935467251722</v>
      </c>
    </row>
    <row r="2513" spans="2:8">
      <c r="B2513">
        <v>1</v>
      </c>
      <c r="C2513">
        <v>102</v>
      </c>
      <c r="D2513">
        <v>1</v>
      </c>
      <c r="E2513">
        <v>0</v>
      </c>
      <c r="F2513">
        <v>-0.12256205352154111</v>
      </c>
      <c r="G2513">
        <v>-0.50696999085341587</v>
      </c>
      <c r="H2513">
        <v>-0.50032249555679664</v>
      </c>
    </row>
    <row r="2514" spans="2:8">
      <c r="B2514">
        <v>1</v>
      </c>
      <c r="C2514">
        <v>102</v>
      </c>
      <c r="D2514">
        <v>1</v>
      </c>
      <c r="E2514">
        <v>0</v>
      </c>
      <c r="F2514">
        <v>-5.7769511810387822E-2</v>
      </c>
      <c r="G2514">
        <v>-9.3406895997608777E-2</v>
      </c>
      <c r="H2514">
        <v>-1.0974292780410448E-2</v>
      </c>
    </row>
    <row r="2515" spans="2:8">
      <c r="B2515">
        <v>1</v>
      </c>
      <c r="C2515">
        <v>102</v>
      </c>
      <c r="D2515">
        <v>1</v>
      </c>
      <c r="E2515">
        <v>0</v>
      </c>
      <c r="F2515">
        <v>-0.14386333982062974</v>
      </c>
      <c r="G2515">
        <v>0.109971801863987</v>
      </c>
      <c r="H2515">
        <v>9.6930658960048877E-2</v>
      </c>
    </row>
    <row r="2516" spans="2:8">
      <c r="B2516">
        <v>1</v>
      </c>
      <c r="C2516">
        <v>102</v>
      </c>
      <c r="D2516">
        <v>1</v>
      </c>
      <c r="E2516">
        <v>0</v>
      </c>
      <c r="F2516">
        <v>0.14634192484980285</v>
      </c>
    </row>
    <row r="2517" spans="2:8">
      <c r="B2517">
        <v>1</v>
      </c>
      <c r="C2517">
        <v>102</v>
      </c>
      <c r="D2517">
        <v>1</v>
      </c>
      <c r="E2517">
        <v>0</v>
      </c>
      <c r="F2517">
        <v>8.2626705838348635E-2</v>
      </c>
    </row>
    <row r="2518" spans="2:8">
      <c r="B2518">
        <v>1</v>
      </c>
      <c r="C2518">
        <v>97.960799999999992</v>
      </c>
      <c r="D2518">
        <v>1</v>
      </c>
      <c r="E2518">
        <v>0</v>
      </c>
      <c r="F2518">
        <v>8.885564187485169E-2</v>
      </c>
    </row>
    <row r="2519" spans="2:8">
      <c r="B2519">
        <v>1</v>
      </c>
      <c r="C2519">
        <v>102</v>
      </c>
      <c r="D2519">
        <v>1</v>
      </c>
      <c r="E2519">
        <v>0</v>
      </c>
      <c r="F2519">
        <v>7.0744444715467369E-2</v>
      </c>
    </row>
    <row r="2520" spans="2:8">
      <c r="B2520">
        <v>1</v>
      </c>
      <c r="C2520">
        <v>97.960799999999992</v>
      </c>
      <c r="D2520">
        <v>1</v>
      </c>
      <c r="E2520">
        <v>0</v>
      </c>
      <c r="F2520">
        <v>0.13208445987089124</v>
      </c>
    </row>
    <row r="2521" spans="2:8">
      <c r="B2521">
        <v>3</v>
      </c>
      <c r="C2521">
        <v>92.23681599999999</v>
      </c>
      <c r="D2521">
        <v>3</v>
      </c>
      <c r="E2521">
        <v>0</v>
      </c>
      <c r="F2521">
        <v>-1.7304994717696934E-2</v>
      </c>
      <c r="G2521">
        <v>-0.165440520846767</v>
      </c>
      <c r="H2521">
        <v>-1.2173487245824101E-2</v>
      </c>
    </row>
    <row r="2522" spans="2:8">
      <c r="B2522">
        <v>1</v>
      </c>
      <c r="C2522">
        <v>97.960799999999992</v>
      </c>
      <c r="D2522">
        <v>1</v>
      </c>
      <c r="E2522">
        <v>0</v>
      </c>
      <c r="F2522">
        <v>3.9750645740014266E-2</v>
      </c>
    </row>
    <row r="2523" spans="2:8">
      <c r="B2523">
        <v>1</v>
      </c>
      <c r="C2523">
        <v>102</v>
      </c>
      <c r="D2523">
        <v>1</v>
      </c>
      <c r="E2523">
        <v>0</v>
      </c>
      <c r="F2523">
        <v>0.1181257872327036</v>
      </c>
    </row>
    <row r="2524" spans="2:8">
      <c r="B2524">
        <v>1</v>
      </c>
      <c r="C2524">
        <v>102</v>
      </c>
      <c r="D2524">
        <v>1</v>
      </c>
      <c r="E2524">
        <v>0</v>
      </c>
      <c r="F2524">
        <v>-0.20222673208463188</v>
      </c>
      <c r="G2524">
        <v>-0.25665421772433411</v>
      </c>
      <c r="H2524">
        <v>-0.31397616469490924</v>
      </c>
    </row>
    <row r="2525" spans="2:8">
      <c r="B2525">
        <v>1</v>
      </c>
      <c r="C2525">
        <v>102</v>
      </c>
      <c r="D2525">
        <v>1</v>
      </c>
      <c r="E2525">
        <v>0</v>
      </c>
      <c r="F2525">
        <v>2.6775380901269553E-2</v>
      </c>
    </row>
    <row r="2526" spans="2:8">
      <c r="B2526">
        <v>1</v>
      </c>
      <c r="C2526">
        <v>102</v>
      </c>
      <c r="D2526">
        <v>1</v>
      </c>
      <c r="E2526">
        <v>0</v>
      </c>
      <c r="F2526">
        <v>2.0160186503921162E-2</v>
      </c>
    </row>
    <row r="2527" spans="2:8">
      <c r="B2527">
        <v>1</v>
      </c>
      <c r="C2527">
        <v>97.960799999999992</v>
      </c>
      <c r="D2527">
        <v>1</v>
      </c>
      <c r="E2527">
        <v>0</v>
      </c>
      <c r="F2527">
        <v>0.29596204975409662</v>
      </c>
    </row>
    <row r="2528" spans="2:8">
      <c r="B2528">
        <v>1</v>
      </c>
      <c r="C2528">
        <v>97.960799999999992</v>
      </c>
      <c r="D2528">
        <v>1</v>
      </c>
      <c r="E2528">
        <v>0</v>
      </c>
      <c r="F2528">
        <v>7.6596421611685839E-2</v>
      </c>
    </row>
    <row r="2529" spans="2:8">
      <c r="B2529">
        <v>1</v>
      </c>
      <c r="C2529">
        <v>97.960799999999992</v>
      </c>
      <c r="D2529">
        <v>1</v>
      </c>
      <c r="E2529">
        <v>0</v>
      </c>
      <c r="F2529">
        <v>0.10899256706834888</v>
      </c>
    </row>
    <row r="2530" spans="2:8">
      <c r="B2530">
        <v>1</v>
      </c>
      <c r="C2530">
        <v>97.960799999999992</v>
      </c>
      <c r="D2530">
        <v>1</v>
      </c>
      <c r="E2530">
        <v>0</v>
      </c>
      <c r="F2530">
        <v>2.3778219835990197E-2</v>
      </c>
    </row>
    <row r="2531" spans="2:8">
      <c r="B2531">
        <v>1</v>
      </c>
      <c r="C2531">
        <v>102</v>
      </c>
      <c r="D2531">
        <v>1</v>
      </c>
      <c r="E2531">
        <v>0</v>
      </c>
      <c r="F2531">
        <v>-0.20899009897295465</v>
      </c>
      <c r="G2531">
        <v>-9.4328461330895827E-2</v>
      </c>
      <c r="H2531">
        <v>-0.15593822846877131</v>
      </c>
    </row>
    <row r="2532" spans="2:8">
      <c r="B2532">
        <v>1</v>
      </c>
      <c r="C2532">
        <v>102</v>
      </c>
      <c r="D2532">
        <v>1</v>
      </c>
      <c r="E2532">
        <v>0</v>
      </c>
      <c r="F2532">
        <v>4.1674445445074024E-2</v>
      </c>
    </row>
    <row r="2533" spans="2:8">
      <c r="B2533">
        <v>3</v>
      </c>
      <c r="C2533">
        <v>32.882976894316627</v>
      </c>
      <c r="D2533">
        <v>1</v>
      </c>
      <c r="E2533">
        <v>0</v>
      </c>
      <c r="F2533">
        <v>-0.1302858787600478</v>
      </c>
      <c r="G2533">
        <v>-0.64989248061332461</v>
      </c>
      <c r="H2533">
        <v>-0.65062413519965501</v>
      </c>
    </row>
    <row r="2534" spans="2:8">
      <c r="B2534">
        <v>1</v>
      </c>
      <c r="C2534">
        <v>102</v>
      </c>
      <c r="D2534">
        <v>1</v>
      </c>
      <c r="E2534">
        <v>0</v>
      </c>
      <c r="F2534">
        <v>-0.14894878565348127</v>
      </c>
      <c r="G2534">
        <v>-0.27254924658494567</v>
      </c>
      <c r="H2534">
        <v>-0.39935650866061756</v>
      </c>
    </row>
    <row r="2535" spans="2:8">
      <c r="B2535">
        <v>1</v>
      </c>
      <c r="C2535">
        <v>102</v>
      </c>
      <c r="D2535">
        <v>1</v>
      </c>
      <c r="E2535">
        <v>0</v>
      </c>
      <c r="F2535">
        <v>0.17796059151914795</v>
      </c>
    </row>
    <row r="2536" spans="2:8">
      <c r="B2536">
        <v>1</v>
      </c>
      <c r="C2536">
        <v>97.960799999999992</v>
      </c>
      <c r="D2536">
        <v>1</v>
      </c>
      <c r="E2536">
        <v>0</v>
      </c>
      <c r="F2536">
        <v>3.3529346454055114E-2</v>
      </c>
    </row>
    <row r="2537" spans="2:8">
      <c r="B2537">
        <v>3</v>
      </c>
      <c r="C2537">
        <v>92.23681599999999</v>
      </c>
      <c r="D2537">
        <v>3</v>
      </c>
      <c r="E2537">
        <v>0</v>
      </c>
      <c r="F2537">
        <v>-0.2575270398073195</v>
      </c>
      <c r="G2537">
        <v>-0.18223297253005702</v>
      </c>
      <c r="H2537">
        <v>-0.26981567667196232</v>
      </c>
    </row>
    <row r="2538" spans="2:8">
      <c r="B2538">
        <v>1</v>
      </c>
      <c r="C2538">
        <v>102</v>
      </c>
      <c r="D2538">
        <v>1</v>
      </c>
      <c r="E2538">
        <v>0</v>
      </c>
      <c r="F2538">
        <v>0.1664575119862047</v>
      </c>
    </row>
    <row r="2539" spans="2:8">
      <c r="B2539">
        <v>1</v>
      </c>
      <c r="C2539">
        <v>102</v>
      </c>
      <c r="D2539">
        <v>1</v>
      </c>
      <c r="E2539">
        <v>0</v>
      </c>
      <c r="F2539">
        <v>4.8797868636337192E-2</v>
      </c>
    </row>
    <row r="2540" spans="2:8">
      <c r="B2540">
        <v>1</v>
      </c>
      <c r="C2540">
        <v>102</v>
      </c>
      <c r="D2540">
        <v>1</v>
      </c>
      <c r="E2540">
        <v>0</v>
      </c>
      <c r="F2540">
        <v>-0.47555204127181083</v>
      </c>
      <c r="G2540">
        <v>-0.60094669654015886</v>
      </c>
      <c r="H2540">
        <v>-0.72956477000774356</v>
      </c>
    </row>
    <row r="2541" spans="2:8">
      <c r="B2541">
        <v>3</v>
      </c>
      <c r="C2541">
        <v>92.23681599999999</v>
      </c>
      <c r="D2541">
        <v>3</v>
      </c>
      <c r="E2541">
        <v>0</v>
      </c>
      <c r="F2541">
        <v>-0.18564628031188402</v>
      </c>
      <c r="G2541">
        <v>-4.1331960703795863E-2</v>
      </c>
      <c r="H2541">
        <v>-8.7422146016586183E-2</v>
      </c>
    </row>
    <row r="2542" spans="2:8">
      <c r="B2542">
        <v>1</v>
      </c>
      <c r="C2542">
        <v>102</v>
      </c>
      <c r="D2542">
        <v>1</v>
      </c>
      <c r="E2542">
        <v>0</v>
      </c>
      <c r="F2542">
        <v>0.12895914804865674</v>
      </c>
    </row>
    <row r="2543" spans="2:8">
      <c r="B2543">
        <v>1</v>
      </c>
      <c r="C2543">
        <v>97.960799999999992</v>
      </c>
      <c r="D2543">
        <v>1</v>
      </c>
      <c r="E2543">
        <v>0</v>
      </c>
      <c r="F2543">
        <v>0.12397698982162034</v>
      </c>
    </row>
    <row r="2544" spans="2:8">
      <c r="B2544">
        <v>3</v>
      </c>
      <c r="C2544">
        <v>97.771024959999991</v>
      </c>
      <c r="D2544">
        <v>3</v>
      </c>
      <c r="E2544">
        <v>0</v>
      </c>
      <c r="F2544">
        <v>-3.99829573998506E-3</v>
      </c>
      <c r="G2544">
        <v>0.1924201031557278</v>
      </c>
      <c r="H2544">
        <v>0.37954146102069375</v>
      </c>
    </row>
    <row r="2545" spans="2:8">
      <c r="B2545">
        <v>1</v>
      </c>
      <c r="C2545">
        <v>102</v>
      </c>
      <c r="D2545">
        <v>1</v>
      </c>
      <c r="E2545">
        <v>0</v>
      </c>
      <c r="F2545">
        <v>-2.9087088522486799E-3</v>
      </c>
      <c r="G2545">
        <v>-0.32774431932526815</v>
      </c>
      <c r="H2545">
        <v>-0.31003173903573206</v>
      </c>
    </row>
    <row r="2546" spans="2:8">
      <c r="B2546">
        <v>3</v>
      </c>
      <c r="C2546">
        <v>37.672821267288192</v>
      </c>
      <c r="D2546">
        <v>1</v>
      </c>
      <c r="E2546">
        <v>0</v>
      </c>
      <c r="F2546">
        <v>-0.22160737685384335</v>
      </c>
      <c r="G2546">
        <v>-0.40858958498107839</v>
      </c>
      <c r="H2546">
        <v>-0.59973287844256862</v>
      </c>
    </row>
    <row r="2547" spans="2:8">
      <c r="B2547">
        <v>1</v>
      </c>
      <c r="C2547">
        <v>102</v>
      </c>
      <c r="D2547">
        <v>1</v>
      </c>
      <c r="E2547">
        <v>0</v>
      </c>
      <c r="F2547">
        <v>-0.13211572787627082</v>
      </c>
      <c r="G2547">
        <v>0.26893255643106773</v>
      </c>
      <c r="H2547">
        <v>0.26649361704037317</v>
      </c>
    </row>
    <row r="2548" spans="2:8">
      <c r="B2548">
        <v>3</v>
      </c>
      <c r="C2548">
        <v>97.771024959999991</v>
      </c>
      <c r="D2548">
        <v>3</v>
      </c>
      <c r="E2548">
        <v>0</v>
      </c>
      <c r="F2548">
        <v>-3.20079674432978E-2</v>
      </c>
      <c r="G2548">
        <v>-4.1453327228901993E-2</v>
      </c>
      <c r="H2548">
        <v>8.2274022576047462E-2</v>
      </c>
    </row>
    <row r="2549" spans="2:8">
      <c r="B2549">
        <v>1</v>
      </c>
      <c r="C2549">
        <v>102</v>
      </c>
      <c r="D2549">
        <v>1</v>
      </c>
      <c r="E2549">
        <v>0</v>
      </c>
      <c r="F2549">
        <v>-0.26511846563458474</v>
      </c>
      <c r="G2549">
        <v>-0.19424398883065672</v>
      </c>
      <c r="H2549">
        <v>-0.41976741706971094</v>
      </c>
    </row>
    <row r="2550" spans="2:8">
      <c r="B2550">
        <v>3</v>
      </c>
      <c r="C2550">
        <v>97.771024959999991</v>
      </c>
      <c r="D2550">
        <v>3</v>
      </c>
      <c r="E2550">
        <v>0</v>
      </c>
      <c r="F2550">
        <v>-6.4725354651026135E-2</v>
      </c>
      <c r="G2550">
        <v>1.2004913394948866E-2</v>
      </c>
      <c r="H2550">
        <v>8.4760995742037784E-2</v>
      </c>
    </row>
    <row r="2551" spans="2:8">
      <c r="B2551">
        <v>1</v>
      </c>
      <c r="C2551">
        <v>102</v>
      </c>
      <c r="D2551">
        <v>1</v>
      </c>
      <c r="E2551">
        <v>0</v>
      </c>
      <c r="F2551">
        <v>-0.28788930037219734</v>
      </c>
      <c r="G2551">
        <v>-0.22825877014052887</v>
      </c>
      <c r="H2551">
        <v>-0.4700199282744551</v>
      </c>
    </row>
    <row r="2552" spans="2:8">
      <c r="B2552">
        <v>1</v>
      </c>
      <c r="C2552">
        <v>102</v>
      </c>
      <c r="D2552">
        <v>1</v>
      </c>
      <c r="E2552">
        <v>0</v>
      </c>
      <c r="F2552">
        <v>-3.8994137508050745E-2</v>
      </c>
      <c r="G2552">
        <v>7.7474049572444095E-2</v>
      </c>
      <c r="H2552">
        <v>0.18896338843853003</v>
      </c>
    </row>
    <row r="2553" spans="2:8">
      <c r="B2553">
        <v>1</v>
      </c>
      <c r="C2553">
        <v>102</v>
      </c>
      <c r="D2553">
        <v>1</v>
      </c>
      <c r="E2553">
        <v>0</v>
      </c>
      <c r="F2553">
        <v>0.13412396734918372</v>
      </c>
    </row>
    <row r="2554" spans="2:8">
      <c r="B2554">
        <v>3</v>
      </c>
      <c r="C2554">
        <v>55.376425722897224</v>
      </c>
      <c r="D2554">
        <v>1</v>
      </c>
      <c r="E2554">
        <v>0</v>
      </c>
      <c r="F2554">
        <v>-0.24816046582275159</v>
      </c>
      <c r="G2554">
        <v>-0.32842685369806085</v>
      </c>
      <c r="H2554">
        <v>-0.41163518471366922</v>
      </c>
    </row>
    <row r="2555" spans="2:8">
      <c r="B2555">
        <v>1</v>
      </c>
      <c r="C2555">
        <v>97.960799999999992</v>
      </c>
      <c r="D2555">
        <v>1</v>
      </c>
      <c r="E2555">
        <v>0</v>
      </c>
      <c r="F2555">
        <v>0.13737009605374281</v>
      </c>
    </row>
    <row r="2556" spans="2:8">
      <c r="B2556">
        <v>1</v>
      </c>
      <c r="C2556">
        <v>97.960799999999992</v>
      </c>
      <c r="D2556">
        <v>1</v>
      </c>
      <c r="E2556">
        <v>0</v>
      </c>
      <c r="F2556">
        <v>0.10200821647124035</v>
      </c>
    </row>
    <row r="2557" spans="2:8">
      <c r="B2557">
        <v>1</v>
      </c>
      <c r="C2557">
        <v>102</v>
      </c>
      <c r="D2557">
        <v>1</v>
      </c>
      <c r="E2557">
        <v>0</v>
      </c>
      <c r="F2557">
        <v>3.8525374985332955E-2</v>
      </c>
    </row>
    <row r="2558" spans="2:8">
      <c r="B2558">
        <v>3</v>
      </c>
      <c r="C2558">
        <v>48.026095520070953</v>
      </c>
      <c r="D2558">
        <v>1</v>
      </c>
      <c r="E2558">
        <v>0</v>
      </c>
      <c r="F2558">
        <v>-0.29099448524271099</v>
      </c>
      <c r="G2558">
        <v>-0.38885299646985616</v>
      </c>
      <c r="H2558">
        <v>-0.48973115453519622</v>
      </c>
    </row>
    <row r="2559" spans="2:8">
      <c r="B2559">
        <v>3</v>
      </c>
      <c r="C2559">
        <v>45.587128575278001</v>
      </c>
      <c r="D2559">
        <v>0</v>
      </c>
      <c r="E2559">
        <v>0</v>
      </c>
      <c r="F2559">
        <v>-0.42057040690809111</v>
      </c>
      <c r="G2559">
        <v>-0.38999240666190671</v>
      </c>
      <c r="H2559">
        <v>-0.51564475074928384</v>
      </c>
    </row>
    <row r="2560" spans="2:8">
      <c r="B2560">
        <v>3</v>
      </c>
      <c r="C2560">
        <v>97.771024959999991</v>
      </c>
      <c r="D2560">
        <v>3</v>
      </c>
      <c r="E2560">
        <v>0</v>
      </c>
      <c r="F2560">
        <v>-7.3338856271742678E-2</v>
      </c>
      <c r="G2560">
        <v>-8.1591361288112611E-3</v>
      </c>
      <c r="H2560">
        <v>5.3256884711814778E-2</v>
      </c>
    </row>
    <row r="2561" spans="2:8">
      <c r="B2561">
        <v>3</v>
      </c>
      <c r="C2561">
        <v>92.23681599999999</v>
      </c>
      <c r="D2561">
        <v>2</v>
      </c>
      <c r="E2561">
        <v>0</v>
      </c>
      <c r="F2561">
        <v>-0.22928000057527848</v>
      </c>
      <c r="G2561">
        <v>-0.1338249778139681</v>
      </c>
      <c r="H2561">
        <v>-0.33130618057767292</v>
      </c>
    </row>
    <row r="2562" spans="2:8">
      <c r="B2562">
        <v>1</v>
      </c>
      <c r="C2562">
        <v>102</v>
      </c>
      <c r="D2562">
        <v>1</v>
      </c>
      <c r="E2562">
        <v>0</v>
      </c>
      <c r="F2562">
        <v>-0.1178791075028648</v>
      </c>
      <c r="G2562">
        <v>-0.10347034659344491</v>
      </c>
      <c r="H2562">
        <v>-9.2208700178756223E-2</v>
      </c>
    </row>
    <row r="2563" spans="2:8">
      <c r="B2563">
        <v>3</v>
      </c>
      <c r="C2563">
        <v>92.23681599999999</v>
      </c>
      <c r="D2563">
        <v>3</v>
      </c>
      <c r="E2563">
        <v>0</v>
      </c>
      <c r="F2563">
        <v>-7.0657876205709486E-2</v>
      </c>
      <c r="G2563">
        <v>-0.29391997129655362</v>
      </c>
      <c r="H2563">
        <v>-0.2290448122212761</v>
      </c>
    </row>
    <row r="2564" spans="2:8">
      <c r="B2564">
        <v>3</v>
      </c>
      <c r="C2564">
        <v>92.23681599999999</v>
      </c>
      <c r="D2564">
        <v>3</v>
      </c>
      <c r="E2564">
        <v>0</v>
      </c>
      <c r="F2564">
        <v>-0.10134647216097635</v>
      </c>
      <c r="G2564">
        <v>-0.17996768940853397</v>
      </c>
      <c r="H2564">
        <v>-0.151506155294582</v>
      </c>
    </row>
    <row r="2565" spans="2:8">
      <c r="B2565">
        <v>3</v>
      </c>
      <c r="C2565">
        <v>97.771024959999991</v>
      </c>
      <c r="D2565">
        <v>3</v>
      </c>
      <c r="E2565">
        <v>0</v>
      </c>
      <c r="F2565">
        <v>-1.0149932272945384E-2</v>
      </c>
      <c r="G2565">
        <v>-0.15011008023491637</v>
      </c>
      <c r="H2565">
        <v>2.02091642707087E-2</v>
      </c>
    </row>
    <row r="2566" spans="2:8">
      <c r="B2566">
        <v>1</v>
      </c>
      <c r="C2566">
        <v>97.960799999999992</v>
      </c>
      <c r="D2566">
        <v>1</v>
      </c>
      <c r="E2566">
        <v>0</v>
      </c>
      <c r="F2566">
        <v>0.18575447083811589</v>
      </c>
    </row>
    <row r="2567" spans="2:8">
      <c r="B2567">
        <v>1</v>
      </c>
      <c r="C2567">
        <v>102</v>
      </c>
      <c r="D2567">
        <v>1</v>
      </c>
      <c r="E2567">
        <v>0</v>
      </c>
      <c r="F2567">
        <v>0.21157526082599606</v>
      </c>
    </row>
    <row r="2568" spans="2:8">
      <c r="B2568">
        <v>1</v>
      </c>
      <c r="C2568">
        <v>102</v>
      </c>
      <c r="D2568">
        <v>1</v>
      </c>
      <c r="E2568">
        <v>0</v>
      </c>
      <c r="F2568">
        <v>-0.1086737117021091</v>
      </c>
      <c r="G2568">
        <v>-8.4787264039808075E-2</v>
      </c>
      <c r="H2568">
        <v>-6.413049267209342E-2</v>
      </c>
    </row>
    <row r="2569" spans="2:8">
      <c r="B2569">
        <v>3</v>
      </c>
      <c r="C2569">
        <v>92.23681599999999</v>
      </c>
      <c r="D2569">
        <v>1</v>
      </c>
      <c r="E2569">
        <v>0</v>
      </c>
      <c r="F2569">
        <v>-9.6878400864912284E-2</v>
      </c>
      <c r="G2569">
        <v>-0.37533995562159905</v>
      </c>
      <c r="H2569">
        <v>-0.34196759855576442</v>
      </c>
    </row>
    <row r="2570" spans="2:8">
      <c r="B2570">
        <v>3</v>
      </c>
      <c r="C2570">
        <v>97.771024959999991</v>
      </c>
      <c r="D2570">
        <v>3</v>
      </c>
      <c r="E2570">
        <v>0</v>
      </c>
      <c r="F2570">
        <v>-2.3333736316943299E-2</v>
      </c>
      <c r="G2570">
        <v>-2.3820412376250353E-2</v>
      </c>
      <c r="H2570">
        <v>0.11659434295145309</v>
      </c>
    </row>
    <row r="2571" spans="2:8">
      <c r="B2571">
        <v>1</v>
      </c>
      <c r="C2571">
        <v>102</v>
      </c>
      <c r="D2571">
        <v>1</v>
      </c>
      <c r="E2571">
        <v>0</v>
      </c>
      <c r="F2571">
        <v>-0.35830496605797985</v>
      </c>
      <c r="G2571">
        <v>-0.31966600249334359</v>
      </c>
      <c r="H2571">
        <v>-0.60162183574830763</v>
      </c>
    </row>
    <row r="2572" spans="2:8">
      <c r="B2572">
        <v>1</v>
      </c>
      <c r="C2572">
        <v>97.960799999999992</v>
      </c>
      <c r="D2572">
        <v>1</v>
      </c>
      <c r="E2572">
        <v>0</v>
      </c>
      <c r="F2572">
        <v>1.430337144362435E-2</v>
      </c>
    </row>
    <row r="2573" spans="2:8">
      <c r="B2573">
        <v>3</v>
      </c>
      <c r="C2573">
        <v>92.23681599999999</v>
      </c>
      <c r="D2573">
        <v>3</v>
      </c>
      <c r="E2573">
        <v>0</v>
      </c>
      <c r="F2573">
        <v>-0.17175026728751508</v>
      </c>
      <c r="G2573">
        <v>-3.5430066743962585E-3</v>
      </c>
      <c r="H2573">
        <v>-3.9414030982593558E-2</v>
      </c>
    </row>
    <row r="2574" spans="2:8">
      <c r="B2574">
        <v>3</v>
      </c>
      <c r="C2574">
        <v>97.771024959999991</v>
      </c>
      <c r="D2574">
        <v>3</v>
      </c>
      <c r="E2574">
        <v>0</v>
      </c>
      <c r="F2574">
        <v>-4.062176095261491E-2</v>
      </c>
      <c r="G2574">
        <v>-5.889211569112849E-2</v>
      </c>
      <c r="H2574">
        <v>4.9874314958540326E-2</v>
      </c>
    </row>
    <row r="2575" spans="2:8">
      <c r="B2575">
        <v>3</v>
      </c>
      <c r="C2575">
        <v>92.23681599999999</v>
      </c>
      <c r="D2575">
        <v>3</v>
      </c>
      <c r="E2575">
        <v>0</v>
      </c>
      <c r="F2575">
        <v>-0.21430471726348232</v>
      </c>
      <c r="G2575">
        <v>-0.10515121802890015</v>
      </c>
      <c r="H2575">
        <v>-0.29016673166891666</v>
      </c>
    </row>
    <row r="2576" spans="2:8">
      <c r="B2576">
        <v>3</v>
      </c>
      <c r="C2576">
        <v>92.23681599999999</v>
      </c>
      <c r="D2576">
        <v>3</v>
      </c>
      <c r="E2576">
        <v>0</v>
      </c>
      <c r="F2576">
        <v>-0.14701169839043007</v>
      </c>
      <c r="G2576">
        <v>-0.26882683674423502</v>
      </c>
      <c r="H2576">
        <v>-0.28460684250686452</v>
      </c>
    </row>
    <row r="2577" spans="2:8">
      <c r="B2577">
        <v>1</v>
      </c>
      <c r="C2577">
        <v>97.960799999999992</v>
      </c>
      <c r="D2577">
        <v>1</v>
      </c>
      <c r="E2577">
        <v>0</v>
      </c>
      <c r="F2577">
        <v>7.9080040533488546E-3</v>
      </c>
    </row>
    <row r="2578" spans="2:8">
      <c r="B2578">
        <v>1</v>
      </c>
      <c r="C2578">
        <v>97.960799999999992</v>
      </c>
      <c r="D2578">
        <v>1</v>
      </c>
      <c r="E2578">
        <v>0</v>
      </c>
      <c r="F2578">
        <v>8.4118629740236303E-2</v>
      </c>
    </row>
    <row r="2579" spans="2:8">
      <c r="B2579">
        <v>3</v>
      </c>
      <c r="C2579">
        <v>92.23681599999999</v>
      </c>
      <c r="D2579">
        <v>1</v>
      </c>
      <c r="E2579">
        <v>0</v>
      </c>
      <c r="F2579">
        <v>-1.1828356043252188E-2</v>
      </c>
      <c r="G2579">
        <v>-0.38343050580226073</v>
      </c>
      <c r="H2579">
        <v>-0.3750415928096818</v>
      </c>
    </row>
    <row r="2580" spans="2:8">
      <c r="B2580">
        <v>3</v>
      </c>
      <c r="C2580">
        <v>47.804815435985624</v>
      </c>
      <c r="D2580">
        <v>1</v>
      </c>
      <c r="E2580">
        <v>0</v>
      </c>
      <c r="F2580">
        <v>-0.18192333816466619</v>
      </c>
      <c r="G2580">
        <v>-0.33522711906091479</v>
      </c>
      <c r="H2580">
        <v>-0.49208221663607821</v>
      </c>
    </row>
    <row r="2581" spans="2:8">
      <c r="B2581">
        <v>1</v>
      </c>
      <c r="C2581">
        <v>102</v>
      </c>
      <c r="D2581">
        <v>1</v>
      </c>
      <c r="E2581">
        <v>0</v>
      </c>
      <c r="F2581">
        <v>-0.24266334775399878</v>
      </c>
      <c r="G2581">
        <v>-0.15756243142819648</v>
      </c>
      <c r="H2581">
        <v>-0.2380646566953992</v>
      </c>
    </row>
    <row r="2582" spans="2:8">
      <c r="B2582">
        <v>1</v>
      </c>
      <c r="C2582">
        <v>102</v>
      </c>
      <c r="D2582">
        <v>1</v>
      </c>
      <c r="E2582">
        <v>0</v>
      </c>
      <c r="F2582">
        <v>-0.23425871941480922</v>
      </c>
      <c r="G2582">
        <v>-0.43139039136059093</v>
      </c>
      <c r="H2582">
        <v>-0.5075532995376858</v>
      </c>
    </row>
    <row r="2583" spans="2:8">
      <c r="B2583">
        <v>1</v>
      </c>
      <c r="C2583">
        <v>102</v>
      </c>
      <c r="D2583">
        <v>1</v>
      </c>
      <c r="E2583">
        <v>0</v>
      </c>
      <c r="F2583">
        <v>-0.26126406488434734</v>
      </c>
      <c r="G2583">
        <v>-0.18819178869864306</v>
      </c>
      <c r="H2583">
        <v>-0.27743776547843668</v>
      </c>
    </row>
    <row r="2584" spans="2:8">
      <c r="B2584">
        <v>3</v>
      </c>
      <c r="C2584">
        <v>56.086938094612123</v>
      </c>
      <c r="D2584">
        <v>1</v>
      </c>
      <c r="E2584">
        <v>0</v>
      </c>
      <c r="F2584">
        <v>-0.19179492110393961</v>
      </c>
      <c r="G2584">
        <v>-0.35371027187225201</v>
      </c>
      <c r="H2584">
        <v>-0.40408611532384331</v>
      </c>
    </row>
    <row r="2585" spans="2:8">
      <c r="B2585">
        <v>1</v>
      </c>
      <c r="C2585">
        <v>102</v>
      </c>
      <c r="D2585">
        <v>1</v>
      </c>
      <c r="E2585">
        <v>0</v>
      </c>
      <c r="F2585">
        <v>0.15598745653275836</v>
      </c>
    </row>
    <row r="2586" spans="2:8">
      <c r="B2586">
        <v>1</v>
      </c>
      <c r="C2586">
        <v>102</v>
      </c>
      <c r="D2586">
        <v>1</v>
      </c>
      <c r="E2586">
        <v>0</v>
      </c>
      <c r="F2586">
        <v>6.50531308763065E-2</v>
      </c>
    </row>
    <row r="2587" spans="2:8">
      <c r="B2587">
        <v>1</v>
      </c>
      <c r="C2587">
        <v>97.960799999999992</v>
      </c>
      <c r="D2587">
        <v>1</v>
      </c>
      <c r="E2587">
        <v>0</v>
      </c>
      <c r="F2587">
        <v>0.15984583373417527</v>
      </c>
    </row>
    <row r="2588" spans="2:8">
      <c r="B2588">
        <v>3</v>
      </c>
      <c r="C2588">
        <v>97.771024959999991</v>
      </c>
      <c r="D2588">
        <v>3</v>
      </c>
      <c r="E2588">
        <v>0</v>
      </c>
      <c r="F2588">
        <v>-5.6146588766291652E-2</v>
      </c>
      <c r="G2588">
        <v>3.285187555875433E-2</v>
      </c>
      <c r="H2588">
        <v>0.11761644286767148</v>
      </c>
    </row>
    <row r="2589" spans="2:8">
      <c r="B2589">
        <v>3</v>
      </c>
      <c r="C2589">
        <v>25.540541417759698</v>
      </c>
      <c r="D2589">
        <v>0</v>
      </c>
      <c r="E2589">
        <v>0</v>
      </c>
      <c r="F2589">
        <v>-0.44835662484470518</v>
      </c>
      <c r="G2589">
        <v>-0.41963074735878086</v>
      </c>
      <c r="H2589">
        <v>-0.7286362249385917</v>
      </c>
    </row>
    <row r="2590" spans="2:8">
      <c r="B2590">
        <v>1</v>
      </c>
      <c r="C2590">
        <v>97.960799999999992</v>
      </c>
      <c r="D2590">
        <v>1</v>
      </c>
      <c r="E2590">
        <v>0</v>
      </c>
      <c r="F2590">
        <v>4.3611986928924332E-2</v>
      </c>
    </row>
    <row r="2591" spans="2:8">
      <c r="B2591">
        <v>3</v>
      </c>
      <c r="C2591">
        <v>55.316012784220987</v>
      </c>
      <c r="D2591">
        <v>1</v>
      </c>
      <c r="E2591">
        <v>0</v>
      </c>
      <c r="F2591">
        <v>-0.34024609423249491</v>
      </c>
      <c r="G2591">
        <v>-0.29776160053635076</v>
      </c>
      <c r="H2591">
        <v>-0.41227706159613564</v>
      </c>
    </row>
    <row r="2592" spans="2:8">
      <c r="B2592">
        <v>1</v>
      </c>
      <c r="C2592">
        <v>102</v>
      </c>
      <c r="D2592">
        <v>1</v>
      </c>
      <c r="E2592">
        <v>0</v>
      </c>
      <c r="F2592">
        <v>-0.2516276495711931</v>
      </c>
      <c r="G2592">
        <v>-0.4621438098893576</v>
      </c>
      <c r="H2592">
        <v>-0.5470059024107522</v>
      </c>
    </row>
    <row r="2593" spans="2:8">
      <c r="B2593">
        <v>1</v>
      </c>
      <c r="C2593">
        <v>102</v>
      </c>
      <c r="D2593">
        <v>1</v>
      </c>
      <c r="E2593">
        <v>0</v>
      </c>
      <c r="F2593">
        <v>-0.21162548925599717</v>
      </c>
      <c r="G2593">
        <v>-9.9742303117905329E-2</v>
      </c>
      <c r="H2593">
        <v>-0.16297741664966323</v>
      </c>
    </row>
    <row r="2594" spans="2:8">
      <c r="B2594">
        <v>3</v>
      </c>
      <c r="C2594">
        <v>0</v>
      </c>
      <c r="D2594">
        <v>0</v>
      </c>
      <c r="E2594">
        <v>0</v>
      </c>
      <c r="F2594">
        <v>-0.66448480624003148</v>
      </c>
      <c r="G2594">
        <v>-0.97265559987872274</v>
      </c>
      <c r="H2594">
        <v>-1.1030942617295509</v>
      </c>
    </row>
    <row r="2595" spans="2:8">
      <c r="B2595">
        <v>3</v>
      </c>
      <c r="C2595">
        <v>92.23681599999999</v>
      </c>
      <c r="D2595">
        <v>3</v>
      </c>
      <c r="E2595">
        <v>0</v>
      </c>
      <c r="F2595">
        <v>-6.0433192274432605E-2</v>
      </c>
      <c r="G2595">
        <v>-0.26667658546020856</v>
      </c>
      <c r="H2595">
        <v>-0.18800877720886877</v>
      </c>
    </row>
    <row r="2596" spans="2:8">
      <c r="B2596">
        <v>3</v>
      </c>
      <c r="C2596">
        <v>12.306664281555541</v>
      </c>
      <c r="D2596">
        <v>0</v>
      </c>
      <c r="E2596">
        <v>0</v>
      </c>
      <c r="F2596">
        <v>-0.33516846242236648</v>
      </c>
      <c r="G2596">
        <v>-0.59865719639265802</v>
      </c>
      <c r="H2596">
        <v>-0.86924384948495592</v>
      </c>
    </row>
    <row r="2597" spans="2:8">
      <c r="B2597">
        <v>1</v>
      </c>
      <c r="C2597">
        <v>97.960799999999992</v>
      </c>
      <c r="D2597">
        <v>1</v>
      </c>
      <c r="E2597">
        <v>0</v>
      </c>
      <c r="F2597">
        <v>5.0854162664031434E-4</v>
      </c>
    </row>
    <row r="2598" spans="2:8">
      <c r="B2598">
        <v>3</v>
      </c>
      <c r="C2598">
        <v>92.23681599999999</v>
      </c>
      <c r="D2598">
        <v>3</v>
      </c>
      <c r="E2598">
        <v>0</v>
      </c>
      <c r="F2598">
        <v>-0.12550169555602436</v>
      </c>
      <c r="G2598">
        <v>-0.11860524983723061</v>
      </c>
      <c r="H2598">
        <v>-0.11479957613111463</v>
      </c>
    </row>
    <row r="2599" spans="2:8">
      <c r="B2599">
        <v>3</v>
      </c>
      <c r="C2599">
        <v>92.23681599999999</v>
      </c>
      <c r="D2599">
        <v>3</v>
      </c>
      <c r="E2599">
        <v>0</v>
      </c>
      <c r="F2599">
        <v>-0.16483963186691819</v>
      </c>
      <c r="G2599">
        <v>1.8090246578891973E-2</v>
      </c>
      <c r="H2599">
        <v>-0.12334903601375123</v>
      </c>
    </row>
    <row r="2600" spans="2:8">
      <c r="B2600">
        <v>3</v>
      </c>
      <c r="C2600">
        <v>20.804477720299012</v>
      </c>
      <c r="D2600">
        <v>0</v>
      </c>
      <c r="E2600">
        <v>0</v>
      </c>
      <c r="F2600">
        <v>-0.37671644330297338</v>
      </c>
      <c r="G2600">
        <v>-0.65802562524365305</v>
      </c>
      <c r="H2600">
        <v>-0.77895607144664414</v>
      </c>
    </row>
    <row r="2601" spans="2:8">
      <c r="B2601">
        <v>3</v>
      </c>
      <c r="C2601">
        <v>92.23681599999999</v>
      </c>
      <c r="D2601">
        <v>2</v>
      </c>
      <c r="E2601">
        <v>0</v>
      </c>
      <c r="F2601">
        <v>-8.6380437418958567E-2</v>
      </c>
      <c r="G2601">
        <v>-0.34006631765205347</v>
      </c>
      <c r="H2601">
        <v>-0.29466650013132817</v>
      </c>
    </row>
    <row r="2602" spans="2:8">
      <c r="B2602">
        <v>1</v>
      </c>
      <c r="C2602">
        <v>102</v>
      </c>
      <c r="D2602">
        <v>1</v>
      </c>
      <c r="E2602">
        <v>0</v>
      </c>
      <c r="F2602">
        <v>-0.1703840050133727</v>
      </c>
      <c r="G2602">
        <v>-0.31344899828729816</v>
      </c>
      <c r="H2602">
        <v>-0.4599289808078682</v>
      </c>
    </row>
    <row r="2603" spans="2:8">
      <c r="B2603">
        <v>3</v>
      </c>
      <c r="C2603">
        <v>92.23681599999999</v>
      </c>
      <c r="D2603">
        <v>1</v>
      </c>
      <c r="E2603">
        <v>0</v>
      </c>
      <c r="F2603">
        <v>-0.31063260354278066</v>
      </c>
      <c r="G2603">
        <v>-0.2597238968065903</v>
      </c>
      <c r="H2603">
        <v>-0.36681996450216381</v>
      </c>
    </row>
    <row r="2604" spans="2:8">
      <c r="B2604">
        <v>1</v>
      </c>
      <c r="C2604">
        <v>102</v>
      </c>
      <c r="D2604">
        <v>1</v>
      </c>
      <c r="E2604">
        <v>0</v>
      </c>
      <c r="F2604">
        <v>-0.12730563506062711</v>
      </c>
      <c r="G2604">
        <v>-0.12214459165517465</v>
      </c>
      <c r="H2604">
        <v>-0.12006240275762428</v>
      </c>
    </row>
    <row r="2605" spans="2:8">
      <c r="B2605">
        <v>1</v>
      </c>
      <c r="C2605">
        <v>102</v>
      </c>
      <c r="D2605">
        <v>1</v>
      </c>
      <c r="E2605">
        <v>0</v>
      </c>
      <c r="F2605">
        <v>-4.4914011088370905E-2</v>
      </c>
      <c r="G2605">
        <v>-0.22814783926164864</v>
      </c>
      <c r="H2605">
        <v>-0.1263562194448212</v>
      </c>
    </row>
    <row r="2606" spans="2:8">
      <c r="B2606">
        <v>3</v>
      </c>
      <c r="C2606">
        <v>44.62774012441259</v>
      </c>
      <c r="D2606">
        <v>1</v>
      </c>
      <c r="E2606">
        <v>0</v>
      </c>
      <c r="F2606">
        <v>-0.19417766415689794</v>
      </c>
      <c r="G2606">
        <v>-0.35815002020636377</v>
      </c>
      <c r="H2606">
        <v>-0.52583808484971617</v>
      </c>
    </row>
    <row r="2607" spans="2:8">
      <c r="B2607">
        <v>3</v>
      </c>
      <c r="C2607">
        <v>92.23681599999999</v>
      </c>
      <c r="D2607">
        <v>3</v>
      </c>
      <c r="E2607">
        <v>0</v>
      </c>
      <c r="F2607">
        <v>-0.19815618049154585</v>
      </c>
      <c r="G2607">
        <v>-7.0981558804181361E-2</v>
      </c>
      <c r="H2607">
        <v>-0.12564139326497484</v>
      </c>
    </row>
    <row r="2608" spans="2:8">
      <c r="B2608">
        <v>1</v>
      </c>
      <c r="C2608">
        <v>102</v>
      </c>
      <c r="D2608">
        <v>1</v>
      </c>
      <c r="E2608">
        <v>0</v>
      </c>
      <c r="F2608">
        <v>0.19079739417973771</v>
      </c>
    </row>
    <row r="2609" spans="2:8">
      <c r="B2609">
        <v>1</v>
      </c>
      <c r="C2609">
        <v>97.960799999999992</v>
      </c>
      <c r="D2609">
        <v>1</v>
      </c>
      <c r="E2609">
        <v>0</v>
      </c>
      <c r="F2609">
        <v>1.9009356341582097E-2</v>
      </c>
    </row>
    <row r="2610" spans="2:8">
      <c r="B2610">
        <v>3</v>
      </c>
      <c r="C2610">
        <v>92.23681599999999</v>
      </c>
      <c r="D2610">
        <v>3</v>
      </c>
      <c r="E2610">
        <v>0</v>
      </c>
      <c r="F2610">
        <v>-0.18944263375564557</v>
      </c>
      <c r="G2610">
        <v>-0.23530028029208294</v>
      </c>
      <c r="H2610">
        <v>-0.2840534637603061</v>
      </c>
    </row>
    <row r="2611" spans="2:8">
      <c r="B2611">
        <v>3</v>
      </c>
      <c r="C2611">
        <v>97.771024959999991</v>
      </c>
      <c r="D2611">
        <v>3</v>
      </c>
      <c r="E2611">
        <v>0</v>
      </c>
      <c r="F2611">
        <v>-1.2030200246069874E-3</v>
      </c>
      <c r="G2611">
        <v>-0.13138034504278429</v>
      </c>
      <c r="H2611">
        <v>6.426023068140102E-2</v>
      </c>
    </row>
    <row r="2612" spans="2:8">
      <c r="B2612">
        <v>1</v>
      </c>
      <c r="C2612">
        <v>102</v>
      </c>
      <c r="D2612">
        <v>1</v>
      </c>
      <c r="E2612">
        <v>0</v>
      </c>
      <c r="F2612">
        <v>0.12590165257912472</v>
      </c>
    </row>
    <row r="2613" spans="2:8">
      <c r="B2613">
        <v>1</v>
      </c>
      <c r="C2613">
        <v>102</v>
      </c>
      <c r="D2613">
        <v>1</v>
      </c>
      <c r="E2613">
        <v>0</v>
      </c>
      <c r="F2613">
        <v>-0.22343257204054223</v>
      </c>
      <c r="G2613">
        <v>-0.12292200594535042</v>
      </c>
      <c r="H2613">
        <v>-0.19312976654023042</v>
      </c>
    </row>
    <row r="2614" spans="2:8">
      <c r="B2614">
        <v>1</v>
      </c>
      <c r="C2614">
        <v>97.960799999999992</v>
      </c>
      <c r="D2614">
        <v>1</v>
      </c>
      <c r="E2614">
        <v>0</v>
      </c>
      <c r="F2614">
        <v>7.4360249153554589E-2</v>
      </c>
    </row>
    <row r="2615" spans="2:8">
      <c r="B2615">
        <v>1</v>
      </c>
      <c r="C2615">
        <v>102</v>
      </c>
      <c r="D2615">
        <v>1</v>
      </c>
      <c r="E2615">
        <v>0</v>
      </c>
      <c r="F2615">
        <v>-0.23941973794908739</v>
      </c>
      <c r="G2615">
        <v>-0.15195294569895806</v>
      </c>
      <c r="H2615">
        <v>-0.23080959352553643</v>
      </c>
    </row>
    <row r="2616" spans="2:8">
      <c r="B2616">
        <v>1</v>
      </c>
      <c r="C2616">
        <v>97.960799999999992</v>
      </c>
      <c r="D2616">
        <v>1</v>
      </c>
      <c r="E2616">
        <v>0</v>
      </c>
      <c r="F2616">
        <v>0.11349148295053101</v>
      </c>
    </row>
    <row r="2617" spans="2:8">
      <c r="B2617">
        <v>1</v>
      </c>
      <c r="C2617">
        <v>97.960799999999992</v>
      </c>
      <c r="D2617">
        <v>1</v>
      </c>
      <c r="E2617">
        <v>0</v>
      </c>
      <c r="F2617">
        <v>0.18264475242482919</v>
      </c>
    </row>
    <row r="2618" spans="2:8">
      <c r="B2618">
        <v>3</v>
      </c>
      <c r="C2618">
        <v>97.771024959999991</v>
      </c>
      <c r="D2618">
        <v>3</v>
      </c>
      <c r="E2618">
        <v>0</v>
      </c>
      <c r="F2618">
        <v>-8.2012634999681741E-2</v>
      </c>
      <c r="G2618">
        <v>-2.7799343325363695E-2</v>
      </c>
      <c r="H2618">
        <v>2.2823001148648749E-2</v>
      </c>
    </row>
    <row r="2619" spans="2:8">
      <c r="B2619">
        <v>3</v>
      </c>
      <c r="C2619">
        <v>92.23681599999999</v>
      </c>
      <c r="D2619">
        <v>3</v>
      </c>
      <c r="E2619">
        <v>0</v>
      </c>
      <c r="F2619">
        <v>-0.18795130983830294</v>
      </c>
      <c r="G2619">
        <v>-4.7054345338954418E-2</v>
      </c>
      <c r="H2619">
        <v>-0.2092631640505225</v>
      </c>
    </row>
    <row r="2620" spans="2:8">
      <c r="B2620">
        <v>3</v>
      </c>
      <c r="C2620">
        <v>49.786949491201668</v>
      </c>
      <c r="D2620">
        <v>1</v>
      </c>
      <c r="E2620">
        <v>0</v>
      </c>
      <c r="F2620">
        <v>-0.21880106674314168</v>
      </c>
      <c r="G2620">
        <v>-0.4034898057578305</v>
      </c>
      <c r="H2620">
        <v>-0.47102238978655075</v>
      </c>
    </row>
    <row r="2621" spans="2:8">
      <c r="B2621">
        <v>3</v>
      </c>
      <c r="C2621">
        <v>54.16402309333607</v>
      </c>
      <c r="D2621">
        <v>0</v>
      </c>
      <c r="E2621">
        <v>0</v>
      </c>
      <c r="F2621">
        <v>-0.34880449656678242</v>
      </c>
      <c r="G2621">
        <v>-0.30824950183720423</v>
      </c>
      <c r="H2621">
        <v>-0.42451675010692747</v>
      </c>
    </row>
    <row r="2622" spans="2:8">
      <c r="B2622">
        <v>3</v>
      </c>
      <c r="C2622">
        <v>92.23681599999999</v>
      </c>
      <c r="D2622">
        <v>3</v>
      </c>
      <c r="E2622">
        <v>0</v>
      </c>
      <c r="F2622">
        <v>-9.96500909120034E-2</v>
      </c>
      <c r="G2622">
        <v>-6.600910742888362E-2</v>
      </c>
      <c r="H2622">
        <v>-3.5697027001321012E-2</v>
      </c>
    </row>
    <row r="2623" spans="2:8">
      <c r="B2623">
        <v>3</v>
      </c>
      <c r="C2623">
        <v>45.251229533804704</v>
      </c>
      <c r="D2623">
        <v>1</v>
      </c>
      <c r="E2623">
        <v>0</v>
      </c>
      <c r="F2623">
        <v>-0.12435105506008598</v>
      </c>
      <c r="G2623">
        <v>-0.52412669893774111</v>
      </c>
      <c r="H2623">
        <v>-0.51921361917860853</v>
      </c>
    </row>
    <row r="2624" spans="2:8">
      <c r="B2624">
        <v>1</v>
      </c>
      <c r="C2624">
        <v>97.960799999999992</v>
      </c>
      <c r="D2624">
        <v>1</v>
      </c>
      <c r="E2624">
        <v>0</v>
      </c>
      <c r="F2624">
        <v>6.2936460869486455E-2</v>
      </c>
    </row>
    <row r="2625" spans="2:8">
      <c r="B2625">
        <v>1</v>
      </c>
      <c r="C2625">
        <v>102</v>
      </c>
      <c r="D2625">
        <v>1</v>
      </c>
      <c r="E2625">
        <v>0</v>
      </c>
      <c r="F2625">
        <v>-0.19572052934647219</v>
      </c>
      <c r="G2625">
        <v>-6.5460501388355144E-2</v>
      </c>
      <c r="H2625">
        <v>-0.1184979456075215</v>
      </c>
    </row>
    <row r="2626" spans="2:8">
      <c r="B2626">
        <v>1</v>
      </c>
      <c r="C2626">
        <v>97.960799999999992</v>
      </c>
      <c r="D2626">
        <v>1</v>
      </c>
      <c r="E2626">
        <v>0</v>
      </c>
      <c r="F2626">
        <v>1.2536408577792181E-2</v>
      </c>
    </row>
    <row r="2627" spans="2:8">
      <c r="B2627">
        <v>1</v>
      </c>
      <c r="C2627">
        <v>97.960799999999992</v>
      </c>
      <c r="D2627">
        <v>1</v>
      </c>
      <c r="E2627">
        <v>0</v>
      </c>
      <c r="F2627">
        <v>6.6419831414419525E-2</v>
      </c>
    </row>
    <row r="2628" spans="2:8">
      <c r="B2628">
        <v>1</v>
      </c>
      <c r="C2628">
        <v>97.960799999999992</v>
      </c>
      <c r="D2628">
        <v>1</v>
      </c>
      <c r="E2628">
        <v>0</v>
      </c>
      <c r="F2628">
        <v>2.9800694321447784E-2</v>
      </c>
    </row>
    <row r="2629" spans="2:8">
      <c r="B2629">
        <v>1</v>
      </c>
      <c r="C2629">
        <v>97.960799999999992</v>
      </c>
      <c r="D2629">
        <v>1</v>
      </c>
      <c r="E2629">
        <v>0</v>
      </c>
      <c r="F2629">
        <v>0.17346618371472586</v>
      </c>
    </row>
    <row r="2630" spans="2:8">
      <c r="B2630">
        <v>1</v>
      </c>
      <c r="C2630">
        <v>102</v>
      </c>
      <c r="D2630">
        <v>1</v>
      </c>
      <c r="E2630">
        <v>0</v>
      </c>
      <c r="F2630">
        <v>0.28556189877286436</v>
      </c>
    </row>
    <row r="2631" spans="2:8">
      <c r="B2631">
        <v>3</v>
      </c>
      <c r="C2631">
        <v>97.771024959999991</v>
      </c>
      <c r="D2631">
        <v>3</v>
      </c>
      <c r="E2631">
        <v>0</v>
      </c>
      <c r="F2631">
        <v>-0.1521576725346892</v>
      </c>
      <c r="G2631">
        <v>6.6389132137512075E-2</v>
      </c>
      <c r="H2631">
        <v>4.6223035815938507E-2</v>
      </c>
    </row>
    <row r="2632" spans="2:8">
      <c r="B2632">
        <v>1</v>
      </c>
      <c r="C2632">
        <v>97.960799999999992</v>
      </c>
      <c r="D2632">
        <v>1</v>
      </c>
      <c r="E2632">
        <v>0</v>
      </c>
      <c r="F2632">
        <v>2.1964430726436366E-2</v>
      </c>
    </row>
    <row r="2633" spans="2:8">
      <c r="B2633">
        <v>1</v>
      </c>
      <c r="C2633">
        <v>97.960799999999992</v>
      </c>
      <c r="D2633">
        <v>1</v>
      </c>
      <c r="E2633">
        <v>0</v>
      </c>
      <c r="F2633">
        <v>3.4733396027591998E-2</v>
      </c>
    </row>
    <row r="2634" spans="2:8">
      <c r="B2634">
        <v>1</v>
      </c>
      <c r="C2634">
        <v>102</v>
      </c>
      <c r="D2634">
        <v>1</v>
      </c>
      <c r="E2634">
        <v>0</v>
      </c>
      <c r="F2634">
        <v>0.14287172736563208</v>
      </c>
    </row>
    <row r="2635" spans="2:8">
      <c r="B2635">
        <v>3</v>
      </c>
      <c r="C2635">
        <v>92.23681599999999</v>
      </c>
      <c r="D2635">
        <v>2</v>
      </c>
      <c r="E2635">
        <v>0</v>
      </c>
      <c r="F2635">
        <v>-0.27872306347569226</v>
      </c>
      <c r="G2635">
        <v>-0.2149022901364607</v>
      </c>
      <c r="H2635">
        <v>-0.31131613469989594</v>
      </c>
    </row>
    <row r="2636" spans="2:8">
      <c r="B2636">
        <v>1</v>
      </c>
      <c r="C2636">
        <v>97.960799999999992</v>
      </c>
      <c r="D2636">
        <v>1</v>
      </c>
      <c r="E2636">
        <v>0</v>
      </c>
      <c r="F2636">
        <v>0.27172736083811005</v>
      </c>
    </row>
    <row r="2637" spans="2:8">
      <c r="B2637">
        <v>1</v>
      </c>
      <c r="C2637">
        <v>102</v>
      </c>
      <c r="D2637">
        <v>1</v>
      </c>
      <c r="E2637">
        <v>0</v>
      </c>
      <c r="F2637">
        <v>-3.4689055021789303E-2</v>
      </c>
      <c r="G2637">
        <v>-0.20418405702762918</v>
      </c>
      <c r="H2637">
        <v>-8.5265159931039627E-2</v>
      </c>
    </row>
    <row r="2638" spans="2:8">
      <c r="B2638">
        <v>1</v>
      </c>
      <c r="C2638">
        <v>102</v>
      </c>
      <c r="D2638">
        <v>1</v>
      </c>
      <c r="E2638">
        <v>0</v>
      </c>
      <c r="F2638">
        <v>0.11073377190799732</v>
      </c>
    </row>
    <row r="2639" spans="2:8">
      <c r="B2639">
        <v>1</v>
      </c>
      <c r="C2639">
        <v>102</v>
      </c>
      <c r="D2639">
        <v>1</v>
      </c>
      <c r="E2639">
        <v>0</v>
      </c>
      <c r="F2639">
        <v>-0.18336851848012536</v>
      </c>
      <c r="G2639">
        <v>-3.5544524715227205E-2</v>
      </c>
      <c r="H2639">
        <v>-8.0010615234037658E-2</v>
      </c>
    </row>
    <row r="2640" spans="2:8">
      <c r="B2640">
        <v>3</v>
      </c>
      <c r="C2640">
        <v>97.771024959999991</v>
      </c>
      <c r="D2640">
        <v>3</v>
      </c>
      <c r="E2640">
        <v>0</v>
      </c>
      <c r="F2640">
        <v>-1.4572259695250262E-2</v>
      </c>
      <c r="G2640">
        <v>-5.9333719929586283E-3</v>
      </c>
      <c r="H2640">
        <v>0.15358472973074228</v>
      </c>
    </row>
    <row r="2641" spans="2:8">
      <c r="B2641">
        <v>1</v>
      </c>
      <c r="C2641">
        <v>97.960799999999992</v>
      </c>
      <c r="D2641">
        <v>1</v>
      </c>
      <c r="E2641">
        <v>0</v>
      </c>
      <c r="F2641">
        <v>0.23511160630687472</v>
      </c>
    </row>
    <row r="2642" spans="2:8">
      <c r="B2642">
        <v>1</v>
      </c>
      <c r="C2642">
        <v>97.960799999999992</v>
      </c>
      <c r="D2642">
        <v>1</v>
      </c>
      <c r="E2642">
        <v>0</v>
      </c>
      <c r="F2642">
        <v>0.11629946959140557</v>
      </c>
    </row>
    <row r="2643" spans="2:8">
      <c r="B2643">
        <v>1</v>
      </c>
      <c r="C2643">
        <v>97.960799999999992</v>
      </c>
      <c r="D2643">
        <v>1</v>
      </c>
      <c r="E2643">
        <v>0</v>
      </c>
      <c r="F2643">
        <v>9.6546579994948051E-3</v>
      </c>
    </row>
    <row r="2644" spans="2:8">
      <c r="B2644">
        <v>3</v>
      </c>
      <c r="C2644">
        <v>92.23681599999999</v>
      </c>
      <c r="D2644">
        <v>3</v>
      </c>
      <c r="E2644">
        <v>0</v>
      </c>
      <c r="F2644">
        <v>-0.15540707349376834</v>
      </c>
      <c r="G2644">
        <v>-0.17533594759208698</v>
      </c>
      <c r="H2644">
        <v>-0.19821460622419632</v>
      </c>
    </row>
    <row r="2645" spans="2:8">
      <c r="B2645">
        <v>3</v>
      </c>
      <c r="C2645">
        <v>92.23681599999999</v>
      </c>
      <c r="D2645">
        <v>2</v>
      </c>
      <c r="E2645">
        <v>0</v>
      </c>
      <c r="F2645">
        <v>-7.9310131007300222E-2</v>
      </c>
      <c r="G2645">
        <v>-0.31853928595430353</v>
      </c>
      <c r="H2645">
        <v>-0.2646162663558122</v>
      </c>
    </row>
    <row r="2646" spans="2:8">
      <c r="B2646">
        <v>3</v>
      </c>
      <c r="C2646">
        <v>92.23681599999999</v>
      </c>
      <c r="D2646">
        <v>3</v>
      </c>
      <c r="E2646">
        <v>0</v>
      </c>
      <c r="F2646">
        <v>-7.4975859537019116E-2</v>
      </c>
      <c r="G2646">
        <v>-0.12778097013764619</v>
      </c>
      <c r="H2646">
        <v>-6.8447510634306957E-2</v>
      </c>
    </row>
    <row r="2647" spans="2:8">
      <c r="B2647">
        <v>3</v>
      </c>
      <c r="C2647">
        <v>92.23681599999999</v>
      </c>
      <c r="D2647">
        <v>1</v>
      </c>
      <c r="E2647">
        <v>0</v>
      </c>
      <c r="F2647">
        <v>-8.8040966443234975E-2</v>
      </c>
      <c r="G2647">
        <v>-0.34534915744648753</v>
      </c>
      <c r="H2647">
        <v>-0.30189989911191556</v>
      </c>
    </row>
    <row r="2648" spans="2:8">
      <c r="B2648">
        <v>3</v>
      </c>
      <c r="C2648">
        <v>97.771024959999991</v>
      </c>
      <c r="D2648">
        <v>3</v>
      </c>
      <c r="E2648">
        <v>0</v>
      </c>
      <c r="F2648">
        <v>-4.9200664224469809E-2</v>
      </c>
      <c r="G2648">
        <v>-7.619242222351294E-2</v>
      </c>
      <c r="H2648">
        <v>1.8906272393432077E-2</v>
      </c>
    </row>
    <row r="2649" spans="2:8">
      <c r="B2649">
        <v>3</v>
      </c>
      <c r="C2649">
        <v>92.23681599999999</v>
      </c>
      <c r="D2649">
        <v>3</v>
      </c>
      <c r="E2649">
        <v>0</v>
      </c>
      <c r="F2649">
        <v>-0.1760734413066046</v>
      </c>
      <c r="G2649">
        <v>-1.599411550875901E-2</v>
      </c>
      <c r="H2649">
        <v>-0.1676096553047817</v>
      </c>
    </row>
    <row r="2650" spans="2:8">
      <c r="B2650">
        <v>3</v>
      </c>
      <c r="C2650">
        <v>38.542943450192915</v>
      </c>
      <c r="D2650">
        <v>1</v>
      </c>
      <c r="E2650">
        <v>0</v>
      </c>
      <c r="F2650">
        <v>-0.2717228481769759</v>
      </c>
      <c r="G2650">
        <v>-0.49683050782018512</v>
      </c>
      <c r="H2650">
        <v>-0.59048798278998416</v>
      </c>
    </row>
    <row r="2651" spans="2:8">
      <c r="B2651">
        <v>3</v>
      </c>
      <c r="C2651">
        <v>92.23681599999999</v>
      </c>
      <c r="D2651">
        <v>3</v>
      </c>
      <c r="E2651">
        <v>0</v>
      </c>
      <c r="F2651">
        <v>-0.17390079332793765</v>
      </c>
      <c r="G2651">
        <v>-9.8274232266812398E-3</v>
      </c>
      <c r="H2651">
        <v>-4.7328942020745009E-2</v>
      </c>
    </row>
    <row r="2652" spans="2:8">
      <c r="B2652">
        <v>1</v>
      </c>
      <c r="C2652">
        <v>97.960799999999992</v>
      </c>
      <c r="D2652">
        <v>1</v>
      </c>
      <c r="E2652">
        <v>0</v>
      </c>
      <c r="F2652">
        <v>8.6471886773047388E-2</v>
      </c>
    </row>
    <row r="2653" spans="2:8">
      <c r="B2653">
        <v>3</v>
      </c>
      <c r="C2653">
        <v>92.23681599999999</v>
      </c>
      <c r="D2653">
        <v>1</v>
      </c>
      <c r="E2653">
        <v>0</v>
      </c>
      <c r="F2653">
        <v>-0.30485357557888559</v>
      </c>
      <c r="G2653">
        <v>-0.25193589781421227</v>
      </c>
      <c r="H2653">
        <v>-0.35731620252002455</v>
      </c>
    </row>
    <row r="2654" spans="2:8">
      <c r="B2654">
        <v>3</v>
      </c>
      <c r="C2654">
        <v>28.31948608497953</v>
      </c>
      <c r="D2654">
        <v>0</v>
      </c>
      <c r="E2654">
        <v>0</v>
      </c>
      <c r="F2654">
        <v>-0.32776832910542575</v>
      </c>
      <c r="G2654">
        <v>-0.58745298515309385</v>
      </c>
      <c r="H2654">
        <v>-0.69911042502507958</v>
      </c>
    </row>
    <row r="2655" spans="2:8">
      <c r="B2655">
        <v>3</v>
      </c>
      <c r="C2655">
        <v>53.712234784567698</v>
      </c>
      <c r="D2655">
        <v>1</v>
      </c>
      <c r="E2655">
        <v>0</v>
      </c>
      <c r="F2655">
        <v>-0.11325135081328484</v>
      </c>
      <c r="G2655">
        <v>-0.44524654575851214</v>
      </c>
      <c r="H2655">
        <v>-0.42931692168476032</v>
      </c>
    </row>
    <row r="2656" spans="2:8">
      <c r="B2656">
        <v>3</v>
      </c>
      <c r="C2656">
        <v>92.23681599999999</v>
      </c>
      <c r="D2656">
        <v>3</v>
      </c>
      <c r="E2656">
        <v>0</v>
      </c>
      <c r="F2656">
        <v>-8.3664021684692821E-2</v>
      </c>
      <c r="G2656">
        <v>-0.14504110428178743</v>
      </c>
      <c r="H2656">
        <v>-9.6409253653884128E-2</v>
      </c>
    </row>
    <row r="2657" spans="2:8">
      <c r="B2657">
        <v>1</v>
      </c>
      <c r="C2657">
        <v>102</v>
      </c>
      <c r="D2657">
        <v>1</v>
      </c>
      <c r="E2657">
        <v>0</v>
      </c>
      <c r="F2657">
        <v>-6.2057856297530099E-2</v>
      </c>
      <c r="G2657">
        <v>-0.27089248608141436</v>
      </c>
      <c r="H2657">
        <v>-0.1944842179146016</v>
      </c>
    </row>
    <row r="2658" spans="2:8">
      <c r="B2658">
        <v>1</v>
      </c>
      <c r="C2658">
        <v>102</v>
      </c>
      <c r="D2658">
        <v>1</v>
      </c>
      <c r="E2658">
        <v>0</v>
      </c>
      <c r="F2658">
        <v>-0.12911910866637039</v>
      </c>
      <c r="G2658">
        <v>-0.23425420096755112</v>
      </c>
      <c r="H2658">
        <v>-0.23388916360075307</v>
      </c>
    </row>
    <row r="2659" spans="2:8">
      <c r="B2659">
        <v>1</v>
      </c>
      <c r="C2659">
        <v>97.960799999999992</v>
      </c>
      <c r="D2659">
        <v>1</v>
      </c>
      <c r="E2659">
        <v>0</v>
      </c>
      <c r="F2659">
        <v>8.0320771005061048E-2</v>
      </c>
    </row>
    <row r="2660" spans="2:8">
      <c r="B2660">
        <v>3</v>
      </c>
      <c r="C2660">
        <v>51.893141534125064</v>
      </c>
      <c r="D2660">
        <v>1</v>
      </c>
      <c r="E2660">
        <v>0</v>
      </c>
      <c r="F2660">
        <v>-0.26765361277760913</v>
      </c>
      <c r="G2660">
        <v>-0.35666115626333417</v>
      </c>
      <c r="H2660">
        <v>-0.44864446856618984</v>
      </c>
    </row>
    <row r="2661" spans="2:8">
      <c r="B2661">
        <v>1</v>
      </c>
      <c r="C2661">
        <v>97.960799999999992</v>
      </c>
      <c r="D2661">
        <v>1</v>
      </c>
      <c r="E2661">
        <v>0</v>
      </c>
      <c r="F2661">
        <v>0.20542617480518108</v>
      </c>
    </row>
    <row r="2662" spans="2:8">
      <c r="B2662">
        <v>1</v>
      </c>
      <c r="C2662">
        <v>97.960799999999992</v>
      </c>
      <c r="D2662">
        <v>1</v>
      </c>
      <c r="E2662">
        <v>0</v>
      </c>
      <c r="F2662">
        <v>5.0580039071348171E-3</v>
      </c>
    </row>
    <row r="2663" spans="2:8">
      <c r="B2663">
        <v>3</v>
      </c>
      <c r="C2663">
        <v>97.771024959999991</v>
      </c>
      <c r="D2663">
        <v>3</v>
      </c>
      <c r="E2663">
        <v>0</v>
      </c>
      <c r="F2663">
        <v>-0.14007217592918292</v>
      </c>
      <c r="G2663">
        <v>0.13715349942216729</v>
      </c>
      <c r="H2663">
        <v>0.12746720820005691</v>
      </c>
    </row>
    <row r="2664" spans="2:8">
      <c r="B2664">
        <v>3</v>
      </c>
      <c r="C2664">
        <v>92.23681599999999</v>
      </c>
      <c r="D2664">
        <v>3</v>
      </c>
      <c r="E2664">
        <v>0</v>
      </c>
      <c r="F2664">
        <v>-0.11964580839820853</v>
      </c>
      <c r="G2664">
        <v>-0.21581853408337548</v>
      </c>
      <c r="H2664">
        <v>-0.206310369295618</v>
      </c>
    </row>
    <row r="2665" spans="2:8">
      <c r="B2665">
        <v>1</v>
      </c>
      <c r="C2665">
        <v>102</v>
      </c>
      <c r="D2665">
        <v>1</v>
      </c>
      <c r="E2665">
        <v>0</v>
      </c>
      <c r="F2665">
        <v>4.6821654137251742E-2</v>
      </c>
    </row>
    <row r="2666" spans="2:8">
      <c r="B2666">
        <v>3</v>
      </c>
      <c r="C2666">
        <v>92.23681599999999</v>
      </c>
      <c r="D2666">
        <v>3</v>
      </c>
      <c r="E2666">
        <v>0</v>
      </c>
      <c r="F2666">
        <v>-0.14508833741885413</v>
      </c>
      <c r="G2666">
        <v>-0.15621406246873668</v>
      </c>
      <c r="H2666">
        <v>-0.17032592028805671</v>
      </c>
    </row>
    <row r="2667" spans="2:8">
      <c r="B2667">
        <v>3</v>
      </c>
      <c r="C2667">
        <v>92.23681599999999</v>
      </c>
      <c r="D2667">
        <v>1</v>
      </c>
      <c r="E2667">
        <v>0</v>
      </c>
      <c r="F2667">
        <v>-0.10585281213527756</v>
      </c>
      <c r="G2667">
        <v>-0.41037276124214711</v>
      </c>
      <c r="H2667">
        <v>-0.38674674625752614</v>
      </c>
    </row>
    <row r="2668" spans="2:8">
      <c r="B2668">
        <v>1</v>
      </c>
      <c r="C2668">
        <v>97.960799999999992</v>
      </c>
      <c r="D2668">
        <v>1</v>
      </c>
      <c r="E2668">
        <v>0</v>
      </c>
      <c r="F2668">
        <v>3.3297774636286059E-3</v>
      </c>
    </row>
    <row r="2669" spans="2:8">
      <c r="B2669">
        <v>1</v>
      </c>
      <c r="C2669">
        <v>97.960799999999992</v>
      </c>
      <c r="D2669">
        <v>1</v>
      </c>
      <c r="E2669">
        <v>0</v>
      </c>
      <c r="F2669">
        <v>0.10367509571441212</v>
      </c>
    </row>
    <row r="2670" spans="2:8">
      <c r="B2670">
        <v>3</v>
      </c>
      <c r="C2670">
        <v>92.23681599999999</v>
      </c>
      <c r="D2670">
        <v>3</v>
      </c>
      <c r="E2670">
        <v>0</v>
      </c>
      <c r="F2670">
        <v>-0.166172014716961</v>
      </c>
      <c r="G2670">
        <v>-0.19480586607832484</v>
      </c>
      <c r="H2670">
        <v>-0.22636263444583463</v>
      </c>
    </row>
    <row r="2671" spans="2:8">
      <c r="B2671">
        <v>1</v>
      </c>
      <c r="C2671">
        <v>102</v>
      </c>
      <c r="D2671">
        <v>1</v>
      </c>
      <c r="E2671">
        <v>0</v>
      </c>
      <c r="F2671">
        <v>-5.3484806597154551E-2</v>
      </c>
      <c r="G2671">
        <v>-0.24906146056211617</v>
      </c>
      <c r="H2671">
        <v>-0.16040656264051964</v>
      </c>
    </row>
    <row r="2672" spans="2:8">
      <c r="B2672">
        <v>1</v>
      </c>
      <c r="C2672">
        <v>102</v>
      </c>
      <c r="D2672">
        <v>1</v>
      </c>
      <c r="E2672">
        <v>0</v>
      </c>
      <c r="F2672">
        <v>-0.15942676517883417</v>
      </c>
      <c r="G2672">
        <v>-0.29261048762547809</v>
      </c>
      <c r="H2672">
        <v>-0.42909565665948551</v>
      </c>
    </row>
    <row r="2673" spans="2:8">
      <c r="B2673">
        <v>1</v>
      </c>
      <c r="C2673">
        <v>97.960799999999992</v>
      </c>
      <c r="D2673">
        <v>1</v>
      </c>
      <c r="E2673">
        <v>0</v>
      </c>
      <c r="F2673">
        <v>0.31591568883789584</v>
      </c>
    </row>
    <row r="2674" spans="2:8">
      <c r="B2674">
        <v>1</v>
      </c>
      <c r="C2674">
        <v>102</v>
      </c>
      <c r="D2674">
        <v>1</v>
      </c>
      <c r="E2674">
        <v>0</v>
      </c>
      <c r="F2674">
        <v>-4.7577726851584769E-2</v>
      </c>
      <c r="G2674">
        <v>5.4584616970691682E-2</v>
      </c>
      <c r="H2674">
        <v>0.15218703603765354</v>
      </c>
    </row>
    <row r="2675" spans="2:8">
      <c r="B2675">
        <v>1</v>
      </c>
      <c r="C2675">
        <v>97.960799999999992</v>
      </c>
      <c r="D2675">
        <v>1</v>
      </c>
      <c r="E2675">
        <v>0</v>
      </c>
      <c r="F2675">
        <v>0.19963630312174377</v>
      </c>
    </row>
    <row r="2676" spans="2:8">
      <c r="B2676">
        <v>1</v>
      </c>
      <c r="C2676">
        <v>102</v>
      </c>
      <c r="D2676">
        <v>1</v>
      </c>
      <c r="E2676">
        <v>0</v>
      </c>
      <c r="F2676">
        <v>0.17067856711121504</v>
      </c>
    </row>
    <row r="2677" spans="2:8">
      <c r="B2677">
        <v>3</v>
      </c>
      <c r="C2677">
        <v>92.23681599999999</v>
      </c>
      <c r="D2677">
        <v>3</v>
      </c>
      <c r="E2677">
        <v>0</v>
      </c>
      <c r="F2677">
        <v>-6.9026189947287625E-2</v>
      </c>
      <c r="G2677">
        <v>-0.28945156002742412</v>
      </c>
      <c r="H2677">
        <v>-0.22244069147138273</v>
      </c>
    </row>
    <row r="2678" spans="2:8">
      <c r="B2678">
        <v>3</v>
      </c>
      <c r="C2678">
        <v>29.515425700897445</v>
      </c>
      <c r="D2678">
        <v>1</v>
      </c>
      <c r="E2678">
        <v>0</v>
      </c>
      <c r="F2678">
        <v>-0.25519085113834827</v>
      </c>
      <c r="G2678">
        <v>-0.46836760752424034</v>
      </c>
      <c r="H2678">
        <v>-0.6864037762656563</v>
      </c>
    </row>
    <row r="2679" spans="2:8">
      <c r="B2679">
        <v>3</v>
      </c>
      <c r="C2679">
        <v>92.23681599999999</v>
      </c>
      <c r="D2679">
        <v>2</v>
      </c>
      <c r="E2679">
        <v>0</v>
      </c>
      <c r="F2679">
        <v>-7.7666572366796513E-2</v>
      </c>
      <c r="G2679">
        <v>-0.31373140466078897</v>
      </c>
      <c r="H2679">
        <v>-0.25777404549028493</v>
      </c>
    </row>
    <row r="2680" spans="2:8">
      <c r="B2680">
        <v>3</v>
      </c>
      <c r="C2680">
        <v>41.265579199978141</v>
      </c>
      <c r="D2680">
        <v>1</v>
      </c>
      <c r="E2680">
        <v>0</v>
      </c>
      <c r="F2680">
        <v>-0.20732407575658493</v>
      </c>
      <c r="G2680">
        <v>-0.38248452158564122</v>
      </c>
      <c r="H2680">
        <v>-0.56156045525272058</v>
      </c>
    </row>
    <row r="2681" spans="2:8">
      <c r="B2681">
        <v>3</v>
      </c>
      <c r="C2681">
        <v>92.23681599999999</v>
      </c>
      <c r="D2681">
        <v>3</v>
      </c>
      <c r="E2681">
        <v>0</v>
      </c>
      <c r="F2681">
        <v>-0.16277493382898212</v>
      </c>
      <c r="G2681">
        <v>2.5063268094243453E-2</v>
      </c>
      <c r="H2681">
        <v>-3.8055338781024612E-3</v>
      </c>
    </row>
    <row r="2682" spans="2:8">
      <c r="B2682">
        <v>1</v>
      </c>
      <c r="C2682">
        <v>97.960799999999992</v>
      </c>
      <c r="D2682">
        <v>1</v>
      </c>
      <c r="E2682">
        <v>0</v>
      </c>
      <c r="F2682">
        <v>5.2073994043318139E-2</v>
      </c>
    </row>
    <row r="2683" spans="2:8">
      <c r="B2683">
        <v>3</v>
      </c>
      <c r="C2683">
        <v>97.771024959999991</v>
      </c>
      <c r="D2683">
        <v>3</v>
      </c>
      <c r="E2683">
        <v>0</v>
      </c>
      <c r="F2683">
        <v>-0.16072840531551638</v>
      </c>
      <c r="G2683">
        <v>3.2255537768410197E-2</v>
      </c>
      <c r="H2683">
        <v>5.0284556077032508E-3</v>
      </c>
    </row>
    <row r="2684" spans="2:8">
      <c r="B2684">
        <v>1</v>
      </c>
      <c r="C2684">
        <v>102</v>
      </c>
      <c r="D2684">
        <v>1</v>
      </c>
      <c r="E2684">
        <v>0</v>
      </c>
      <c r="F2684">
        <v>-6.6352934819965098E-2</v>
      </c>
      <c r="G2684">
        <v>-0.11058637532502277</v>
      </c>
      <c r="H2684">
        <v>-4.0024732837787652E-2</v>
      </c>
    </row>
    <row r="2685" spans="2:8">
      <c r="B2685">
        <v>3</v>
      </c>
      <c r="C2685">
        <v>52.649834110795268</v>
      </c>
      <c r="D2685">
        <v>1</v>
      </c>
      <c r="E2685">
        <v>0</v>
      </c>
      <c r="F2685">
        <v>-0.11499776673831542</v>
      </c>
      <c r="G2685">
        <v>-0.45475989241362569</v>
      </c>
      <c r="H2685">
        <v>-0.44060474259454746</v>
      </c>
    </row>
    <row r="2686" spans="2:8">
      <c r="B2686">
        <v>1</v>
      </c>
      <c r="C2686">
        <v>102</v>
      </c>
      <c r="D2686">
        <v>1</v>
      </c>
      <c r="E2686">
        <v>0</v>
      </c>
      <c r="F2686">
        <v>3.1659293499281808E-2</v>
      </c>
    </row>
    <row r="2687" spans="2:8">
      <c r="B2687">
        <v>1</v>
      </c>
      <c r="C2687">
        <v>102</v>
      </c>
      <c r="D2687">
        <v>1</v>
      </c>
      <c r="E2687">
        <v>0</v>
      </c>
      <c r="F2687">
        <v>6.1685433547930893E-3</v>
      </c>
    </row>
    <row r="2688" spans="2:8">
      <c r="B2688">
        <v>1</v>
      </c>
      <c r="C2688">
        <v>102</v>
      </c>
      <c r="D2688">
        <v>1</v>
      </c>
      <c r="E2688">
        <v>0</v>
      </c>
      <c r="F2688">
        <v>-0.27593890413141031</v>
      </c>
      <c r="G2688">
        <v>-0.50397457702304205</v>
      </c>
      <c r="H2688">
        <v>-0.7373841986076819</v>
      </c>
    </row>
    <row r="2689" spans="2:8">
      <c r="B2689">
        <v>3</v>
      </c>
      <c r="C2689">
        <v>92.23681599999999</v>
      </c>
      <c r="D2689">
        <v>3</v>
      </c>
      <c r="E2689">
        <v>0</v>
      </c>
      <c r="F2689">
        <v>-5.1862458140318042E-2</v>
      </c>
      <c r="G2689">
        <v>-0.24503806197937764</v>
      </c>
      <c r="H2689">
        <v>-0.15397028572028859</v>
      </c>
    </row>
    <row r="2690" spans="2:8">
      <c r="B2690">
        <v>1</v>
      </c>
      <c r="C2690">
        <v>97.960799999999992</v>
      </c>
      <c r="D2690">
        <v>1</v>
      </c>
      <c r="E2690">
        <v>0</v>
      </c>
      <c r="F2690">
        <v>0.25996316906334932</v>
      </c>
    </row>
    <row r="2691" spans="2:8">
      <c r="B2691">
        <v>1</v>
      </c>
      <c r="C2691">
        <v>97.960799999999992</v>
      </c>
      <c r="D2691">
        <v>1</v>
      </c>
      <c r="E2691">
        <v>0</v>
      </c>
      <c r="F2691">
        <v>9.5306888245736729E-2</v>
      </c>
    </row>
    <row r="2692" spans="2:8">
      <c r="B2692">
        <v>1</v>
      </c>
      <c r="C2692">
        <v>102</v>
      </c>
      <c r="D2692">
        <v>1</v>
      </c>
      <c r="E2692">
        <v>0</v>
      </c>
      <c r="F2692">
        <v>5.4092648252245336E-2</v>
      </c>
    </row>
    <row r="2693" spans="2:8">
      <c r="B2693">
        <v>1</v>
      </c>
      <c r="C2693">
        <v>102</v>
      </c>
      <c r="D2693">
        <v>1</v>
      </c>
      <c r="E2693">
        <v>0</v>
      </c>
      <c r="F2693">
        <v>0.25323241604636132</v>
      </c>
    </row>
    <row r="2694" spans="2:8">
      <c r="B2694">
        <v>1</v>
      </c>
      <c r="C2694">
        <v>102</v>
      </c>
      <c r="D2694">
        <v>1</v>
      </c>
      <c r="E2694">
        <v>0</v>
      </c>
      <c r="F2694">
        <v>-0.13699870133181932</v>
      </c>
      <c r="G2694">
        <v>-0.24952052815246936</v>
      </c>
      <c r="H2694">
        <v>-0.25644080936724128</v>
      </c>
    </row>
    <row r="2695" spans="2:8">
      <c r="B2695">
        <v>3</v>
      </c>
      <c r="C2695">
        <v>92.23681599999999</v>
      </c>
      <c r="D2695">
        <v>3</v>
      </c>
      <c r="E2695">
        <v>0</v>
      </c>
      <c r="F2695">
        <v>-1.8965644672302991E-2</v>
      </c>
      <c r="G2695">
        <v>-0.1690464553719615</v>
      </c>
      <c r="H2695">
        <v>-1.9440498642570071E-2</v>
      </c>
    </row>
    <row r="2696" spans="2:8">
      <c r="B2696">
        <v>1</v>
      </c>
      <c r="C2696">
        <v>97.960799999999992</v>
      </c>
      <c r="D2696">
        <v>1</v>
      </c>
      <c r="E2696">
        <v>0</v>
      </c>
      <c r="F2696">
        <v>0.37191023028088194</v>
      </c>
    </row>
    <row r="2697" spans="2:8">
      <c r="B2697">
        <v>1</v>
      </c>
      <c r="C2697">
        <v>102</v>
      </c>
      <c r="D2697">
        <v>1</v>
      </c>
      <c r="E2697">
        <v>0</v>
      </c>
      <c r="F2697">
        <v>5.9507057851274768E-2</v>
      </c>
    </row>
    <row r="2698" spans="2:8">
      <c r="B2698">
        <v>1</v>
      </c>
      <c r="C2698">
        <v>102</v>
      </c>
      <c r="D2698">
        <v>1</v>
      </c>
      <c r="E2698">
        <v>0</v>
      </c>
      <c r="F2698">
        <v>0.1960945187869248</v>
      </c>
    </row>
    <row r="2699" spans="2:8">
      <c r="B2699">
        <v>3</v>
      </c>
      <c r="C2699">
        <v>92.23681599999999</v>
      </c>
      <c r="D2699">
        <v>1</v>
      </c>
      <c r="E2699">
        <v>0</v>
      </c>
      <c r="F2699">
        <v>-9.5195437485632736E-2</v>
      </c>
      <c r="G2699">
        <v>-0.36934925848267119</v>
      </c>
      <c r="H2699">
        <v>-0.33409600199297618</v>
      </c>
    </row>
    <row r="2700" spans="2:8">
      <c r="B2700">
        <v>1</v>
      </c>
      <c r="C2700">
        <v>102</v>
      </c>
      <c r="D2700">
        <v>1</v>
      </c>
      <c r="E2700">
        <v>0</v>
      </c>
      <c r="F2700">
        <v>-0.13886837575261762</v>
      </c>
      <c r="G2700">
        <v>-0.253133576053513</v>
      </c>
      <c r="H2700">
        <v>-0.26174146662739012</v>
      </c>
    </row>
    <row r="2701" spans="2:8">
      <c r="B2701">
        <v>1</v>
      </c>
      <c r="C2701">
        <v>97.960799999999992</v>
      </c>
      <c r="D2701">
        <v>1</v>
      </c>
      <c r="E2701">
        <v>0</v>
      </c>
      <c r="F2701">
        <v>0.1210223467111107</v>
      </c>
    </row>
    <row r="2702" spans="2:8">
      <c r="B2702">
        <v>1</v>
      </c>
      <c r="C2702">
        <v>97.960799999999992</v>
      </c>
      <c r="D2702">
        <v>1</v>
      </c>
      <c r="E2702">
        <v>0</v>
      </c>
      <c r="F2702">
        <v>0.14990836628833193</v>
      </c>
    </row>
    <row r="2703" spans="2:8">
      <c r="B2703">
        <v>3</v>
      </c>
      <c r="C2703">
        <v>92.23681599999999</v>
      </c>
      <c r="D2703">
        <v>3</v>
      </c>
      <c r="E2703">
        <v>0</v>
      </c>
      <c r="F2703">
        <v>-4.32893183356165E-2</v>
      </c>
      <c r="G2703">
        <v>-0.22427308832390982</v>
      </c>
      <c r="H2703">
        <v>-0.11987516285732984</v>
      </c>
    </row>
    <row r="2704" spans="2:8">
      <c r="B2704">
        <v>1</v>
      </c>
      <c r="C2704">
        <v>102</v>
      </c>
      <c r="D2704">
        <v>1</v>
      </c>
      <c r="E2704">
        <v>0</v>
      </c>
      <c r="F2704">
        <v>0.16238370716244729</v>
      </c>
    </row>
    <row r="2705" spans="2:8">
      <c r="B2705">
        <v>3</v>
      </c>
      <c r="C2705">
        <v>47.79249101768162</v>
      </c>
      <c r="D2705">
        <v>0</v>
      </c>
      <c r="E2705">
        <v>0</v>
      </c>
      <c r="F2705">
        <v>-0.40079765805553103</v>
      </c>
      <c r="G2705">
        <v>-0.36835630787459106</v>
      </c>
      <c r="H2705">
        <v>-0.49221316141996929</v>
      </c>
    </row>
    <row r="2706" spans="2:8">
      <c r="B2706">
        <v>3</v>
      </c>
      <c r="C2706">
        <v>53.017485353914545</v>
      </c>
      <c r="D2706">
        <v>1</v>
      </c>
      <c r="E2706">
        <v>0</v>
      </c>
      <c r="F2706">
        <v>-0.20475611212201042</v>
      </c>
      <c r="G2706">
        <v>-0.37775328140550812</v>
      </c>
      <c r="H2706">
        <v>-0.43669851258920023</v>
      </c>
    </row>
    <row r="2707" spans="2:8">
      <c r="B2707">
        <v>1</v>
      </c>
      <c r="C2707">
        <v>97.960799999999992</v>
      </c>
      <c r="D2707">
        <v>1</v>
      </c>
      <c r="E2707">
        <v>0</v>
      </c>
      <c r="F2707">
        <v>0.2436972770907406</v>
      </c>
    </row>
    <row r="2708" spans="2:8">
      <c r="B2708">
        <v>3</v>
      </c>
      <c r="C2708">
        <v>97.771024959999991</v>
      </c>
      <c r="D2708">
        <v>3</v>
      </c>
      <c r="E2708">
        <v>0</v>
      </c>
      <c r="F2708">
        <v>-2.1682245172402567E-2</v>
      </c>
      <c r="G2708">
        <v>0.12844151176683286</v>
      </c>
      <c r="H2708">
        <v>0.27226092509624189</v>
      </c>
    </row>
    <row r="2709" spans="2:8">
      <c r="B2709">
        <v>1</v>
      </c>
      <c r="C2709">
        <v>97.960799999999992</v>
      </c>
      <c r="D2709">
        <v>1</v>
      </c>
      <c r="E2709">
        <v>0</v>
      </c>
      <c r="F2709">
        <v>5.5394649232385171E-2</v>
      </c>
    </row>
    <row r="2710" spans="2:8">
      <c r="B2710">
        <v>1</v>
      </c>
      <c r="C2710">
        <v>97.960799999999992</v>
      </c>
      <c r="D2710">
        <v>1</v>
      </c>
      <c r="E2710">
        <v>0</v>
      </c>
      <c r="F2710">
        <v>6.0839837910115928E-2</v>
      </c>
    </row>
    <row r="2711" spans="2:8">
      <c r="B2711">
        <v>1</v>
      </c>
      <c r="C2711">
        <v>97.960799999999992</v>
      </c>
      <c r="D2711">
        <v>1</v>
      </c>
      <c r="E2711">
        <v>0</v>
      </c>
      <c r="F2711">
        <v>4.4860507110851121E-2</v>
      </c>
    </row>
    <row r="2712" spans="2:8">
      <c r="B2712">
        <v>1</v>
      </c>
      <c r="C2712">
        <v>102</v>
      </c>
      <c r="D2712">
        <v>1</v>
      </c>
      <c r="E2712">
        <v>0</v>
      </c>
      <c r="F2712">
        <v>9.6908361882757491E-2</v>
      </c>
    </row>
    <row r="2713" spans="2:8">
      <c r="B2713">
        <v>3</v>
      </c>
      <c r="C2713">
        <v>97.771024959999991</v>
      </c>
      <c r="D2713">
        <v>3</v>
      </c>
      <c r="E2713">
        <v>0</v>
      </c>
      <c r="F2713">
        <v>-0.15019700647099532</v>
      </c>
      <c r="G2713">
        <v>7.5438625273055185E-2</v>
      </c>
      <c r="H2713">
        <v>5.693053326490579E-2</v>
      </c>
    </row>
    <row r="2714" spans="2:8">
      <c r="B2714">
        <v>3</v>
      </c>
      <c r="C2714">
        <v>92.23681599999999</v>
      </c>
      <c r="D2714">
        <v>3</v>
      </c>
      <c r="E2714">
        <v>0</v>
      </c>
      <c r="F2714">
        <v>-9.2444524353554186E-2</v>
      </c>
      <c r="G2714">
        <v>-0.16241857507361901</v>
      </c>
      <c r="H2714">
        <v>-0.1240529283193261</v>
      </c>
    </row>
    <row r="2715" spans="2:8">
      <c r="B2715">
        <v>3</v>
      </c>
      <c r="C2715">
        <v>92.23681599999999</v>
      </c>
      <c r="D2715">
        <v>3</v>
      </c>
      <c r="E2715">
        <v>0</v>
      </c>
      <c r="F2715">
        <v>-3.6320799321834012E-2</v>
      </c>
      <c r="G2715">
        <v>-0.20794379035109309</v>
      </c>
      <c r="H2715">
        <v>-9.188136912606619E-2</v>
      </c>
    </row>
    <row r="2716" spans="2:8">
      <c r="B2716">
        <v>3</v>
      </c>
      <c r="C2716">
        <v>33.786569646479172</v>
      </c>
      <c r="D2716">
        <v>1</v>
      </c>
      <c r="E2716">
        <v>0</v>
      </c>
      <c r="F2716">
        <v>-0.23738176099037128</v>
      </c>
      <c r="G2716">
        <v>-0.43696875928356854</v>
      </c>
      <c r="H2716">
        <v>-0.6410236206164186</v>
      </c>
    </row>
    <row r="2717" spans="2:8">
      <c r="B2717">
        <v>3</v>
      </c>
      <c r="C2717">
        <v>92.23681599999999</v>
      </c>
      <c r="D2717">
        <v>1</v>
      </c>
      <c r="E2717">
        <v>0</v>
      </c>
      <c r="F2717">
        <v>-0.10414144509277833</v>
      </c>
      <c r="G2717">
        <v>-0.40321103973815398</v>
      </c>
      <c r="H2717">
        <v>-0.37776219401644229</v>
      </c>
    </row>
    <row r="2718" spans="2:8">
      <c r="B2718">
        <v>3</v>
      </c>
      <c r="C2718">
        <v>92.23681599999999</v>
      </c>
      <c r="D2718">
        <v>3</v>
      </c>
      <c r="E2718">
        <v>0</v>
      </c>
      <c r="F2718">
        <v>-0.11040172251206937</v>
      </c>
      <c r="G2718">
        <v>-0.19774654405175274</v>
      </c>
      <c r="H2718">
        <v>-0.17888730875661421</v>
      </c>
    </row>
    <row r="2719" spans="2:8">
      <c r="B2719">
        <v>1</v>
      </c>
      <c r="C2719">
        <v>102</v>
      </c>
      <c r="D2719">
        <v>1</v>
      </c>
      <c r="E2719">
        <v>0</v>
      </c>
      <c r="F2719">
        <v>1.7220067092953782E-2</v>
      </c>
    </row>
    <row r="2720" spans="2:8">
      <c r="B2720">
        <v>1</v>
      </c>
      <c r="C2720">
        <v>97.960799999999992</v>
      </c>
      <c r="D2720">
        <v>1</v>
      </c>
      <c r="E2720">
        <v>0</v>
      </c>
      <c r="F2720">
        <v>5.0071881662689187E-2</v>
      </c>
    </row>
    <row r="2721" spans="2:8">
      <c r="B2721">
        <v>1</v>
      </c>
      <c r="C2721">
        <v>97.960799999999992</v>
      </c>
      <c r="D2721">
        <v>1</v>
      </c>
      <c r="E2721">
        <v>0</v>
      </c>
      <c r="F2721">
        <v>7.804214027361242E-2</v>
      </c>
    </row>
    <row r="2722" spans="2:8">
      <c r="B2722">
        <v>1</v>
      </c>
      <c r="C2722">
        <v>102</v>
      </c>
      <c r="D2722">
        <v>1</v>
      </c>
      <c r="E2722">
        <v>0</v>
      </c>
      <c r="F2722">
        <v>1.6080636093709643E-3</v>
      </c>
    </row>
    <row r="2723" spans="2:8">
      <c r="B2723">
        <v>1</v>
      </c>
      <c r="C2723">
        <v>102</v>
      </c>
      <c r="D2723">
        <v>1</v>
      </c>
      <c r="E2723">
        <v>0</v>
      </c>
      <c r="F2723">
        <v>-0.24598696618679156</v>
      </c>
      <c r="G2723">
        <v>-0.16322217290226468</v>
      </c>
      <c r="H2723">
        <v>-0.37411666983891628</v>
      </c>
    </row>
    <row r="2724" spans="2:8">
      <c r="B2724">
        <v>3</v>
      </c>
      <c r="C2724">
        <v>92.23681599999999</v>
      </c>
      <c r="D2724">
        <v>3</v>
      </c>
      <c r="E2724">
        <v>0</v>
      </c>
      <c r="F2724">
        <v>-9.0773489155798151E-2</v>
      </c>
      <c r="G2724">
        <v>-4.7045775719004819E-2</v>
      </c>
      <c r="H2724">
        <v>-6.7659886374782418E-3</v>
      </c>
    </row>
    <row r="2725" spans="2:8">
      <c r="B2725">
        <v>1</v>
      </c>
      <c r="C2725">
        <v>102</v>
      </c>
      <c r="D2725">
        <v>1</v>
      </c>
      <c r="E2725">
        <v>0</v>
      </c>
      <c r="F2725">
        <v>-0.15413338889641931</v>
      </c>
      <c r="G2725">
        <v>5.7820246079749192E-2</v>
      </c>
      <c r="H2725">
        <v>-7.3789874326418717E-2</v>
      </c>
    </row>
    <row r="2726" spans="2:8">
      <c r="B2726">
        <v>1</v>
      </c>
      <c r="C2726">
        <v>102</v>
      </c>
      <c r="D2726">
        <v>1</v>
      </c>
      <c r="E2726">
        <v>0</v>
      </c>
      <c r="F2726">
        <v>0.22259976428443515</v>
      </c>
    </row>
    <row r="2727" spans="2:8">
      <c r="B2727">
        <v>3</v>
      </c>
      <c r="C2727">
        <v>97.771024959999991</v>
      </c>
      <c r="D2727">
        <v>3</v>
      </c>
      <c r="E2727">
        <v>0</v>
      </c>
      <c r="F2727">
        <v>-8.466812924325438E-3</v>
      </c>
      <c r="G2727">
        <v>-0.14655045580775322</v>
      </c>
      <c r="H2727">
        <v>2.8137195879454738E-2</v>
      </c>
    </row>
    <row r="2728" spans="2:8">
      <c r="B2728">
        <v>1</v>
      </c>
      <c r="C2728">
        <v>102</v>
      </c>
      <c r="D2728">
        <v>1</v>
      </c>
      <c r="E2728">
        <v>0</v>
      </c>
      <c r="F2728">
        <v>1.0777366486394163E-2</v>
      </c>
    </row>
    <row r="2729" spans="2:8">
      <c r="B2729">
        <v>1</v>
      </c>
      <c r="C2729">
        <v>102</v>
      </c>
      <c r="D2729">
        <v>1</v>
      </c>
      <c r="E2729">
        <v>0</v>
      </c>
      <c r="F2729">
        <v>-0.31676917392168424</v>
      </c>
      <c r="G2729">
        <v>-0.26785323482062423</v>
      </c>
      <c r="H2729">
        <v>-0.52807549270717535</v>
      </c>
    </row>
    <row r="2730" spans="2:8">
      <c r="B2730">
        <v>3</v>
      </c>
      <c r="C2730">
        <v>97.771024959999991</v>
      </c>
      <c r="D2730">
        <v>3</v>
      </c>
      <c r="E2730">
        <v>0</v>
      </c>
      <c r="F2730">
        <v>-1.2901086434356999E-2</v>
      </c>
      <c r="G2730">
        <v>0.15803357033244306</v>
      </c>
      <c r="H2730">
        <v>0.32152666395355012</v>
      </c>
    </row>
    <row r="2731" spans="2:8">
      <c r="B2731">
        <v>1</v>
      </c>
      <c r="C2731">
        <v>97.960799999999992</v>
      </c>
      <c r="D2731">
        <v>1</v>
      </c>
      <c r="E2731">
        <v>0</v>
      </c>
      <c r="F2731">
        <v>2.4945197845702281E-2</v>
      </c>
    </row>
    <row r="2732" spans="2:8">
      <c r="B2732">
        <v>1</v>
      </c>
      <c r="C2732">
        <v>97.960799999999992</v>
      </c>
      <c r="D2732">
        <v>1</v>
      </c>
      <c r="E2732">
        <v>0</v>
      </c>
      <c r="F2732">
        <v>0.21572893663764772</v>
      </c>
    </row>
    <row r="2733" spans="2:8">
      <c r="B2733">
        <v>1</v>
      </c>
      <c r="C2733">
        <v>97.960799999999992</v>
      </c>
      <c r="D2733">
        <v>1</v>
      </c>
      <c r="E2733">
        <v>0</v>
      </c>
      <c r="F2733">
        <v>0.14069640540243994</v>
      </c>
    </row>
    <row r="2734" spans="2:8">
      <c r="B2734">
        <v>3</v>
      </c>
      <c r="C2734">
        <v>97.771024959999991</v>
      </c>
      <c r="D2734">
        <v>3</v>
      </c>
      <c r="E2734">
        <v>0</v>
      </c>
      <c r="F2734">
        <v>-3.0370891072521441E-2</v>
      </c>
      <c r="G2734">
        <v>0.10190175271038544</v>
      </c>
      <c r="H2734">
        <v>0.22863996873699483</v>
      </c>
    </row>
    <row r="2735" spans="2:8">
      <c r="B2735">
        <v>1</v>
      </c>
      <c r="C2735">
        <v>97.960799999999992</v>
      </c>
      <c r="D2735">
        <v>1</v>
      </c>
      <c r="E2735">
        <v>0</v>
      </c>
      <c r="F2735">
        <v>9.0399178780870018E-2</v>
      </c>
    </row>
    <row r="2736" spans="2:8">
      <c r="B2736">
        <v>3</v>
      </c>
      <c r="C2736">
        <v>92.23681599999999</v>
      </c>
      <c r="D2736">
        <v>3</v>
      </c>
      <c r="E2736">
        <v>0</v>
      </c>
      <c r="F2736">
        <v>-0.13514046789229953</v>
      </c>
      <c r="G2736">
        <v>-0.1373352646320605</v>
      </c>
      <c r="H2736">
        <v>-0.14256282788501912</v>
      </c>
    </row>
    <row r="2737" spans="2:8">
      <c r="B2737">
        <v>3</v>
      </c>
      <c r="C2737">
        <v>97.771024959999991</v>
      </c>
      <c r="D2737">
        <v>3</v>
      </c>
      <c r="E2737">
        <v>0</v>
      </c>
      <c r="F2737">
        <v>-0.13395602383296626</v>
      </c>
      <c r="G2737">
        <v>0.21225688154653743</v>
      </c>
      <c r="H2737">
        <v>0.20811636113478338</v>
      </c>
    </row>
    <row r="2738" spans="2:8">
      <c r="B2738">
        <v>1</v>
      </c>
      <c r="C2738">
        <v>97.960799999999992</v>
      </c>
      <c r="D2738">
        <v>1</v>
      </c>
      <c r="E2738">
        <v>0</v>
      </c>
      <c r="F2738">
        <v>9.9438967845525278E-2</v>
      </c>
    </row>
    <row r="2739" spans="2:8">
      <c r="B2739">
        <v>1</v>
      </c>
      <c r="C2739">
        <v>97.960799999999992</v>
      </c>
      <c r="D2739">
        <v>1</v>
      </c>
      <c r="E2739">
        <v>0</v>
      </c>
      <c r="F2739">
        <v>0.34408836989993191</v>
      </c>
    </row>
    <row r="2740" spans="2:8">
      <c r="B2740">
        <v>3</v>
      </c>
      <c r="C2740">
        <v>92.23681599999999</v>
      </c>
      <c r="D2740">
        <v>1</v>
      </c>
      <c r="E2740">
        <v>0</v>
      </c>
      <c r="F2740">
        <v>-0.16826799846938834</v>
      </c>
      <c r="G2740">
        <v>-0.30943644700482953</v>
      </c>
      <c r="H2740">
        <v>-0.34262870725524924</v>
      </c>
    </row>
    <row r="2741" spans="2:8">
      <c r="B2741">
        <v>1</v>
      </c>
      <c r="C2741">
        <v>97.960799999999992</v>
      </c>
      <c r="D2741">
        <v>1</v>
      </c>
      <c r="E2741">
        <v>0</v>
      </c>
      <c r="F2741">
        <v>6.8571063312504191E-2</v>
      </c>
    </row>
    <row r="2742" spans="2:8">
      <c r="B2742">
        <v>1</v>
      </c>
      <c r="C2742">
        <v>102</v>
      </c>
      <c r="D2742">
        <v>1</v>
      </c>
      <c r="E2742">
        <v>0</v>
      </c>
      <c r="F2742">
        <v>-0.21604494591184498</v>
      </c>
      <c r="G2742">
        <v>-0.27904723295380801</v>
      </c>
      <c r="H2742">
        <v>-0.34495122979212278</v>
      </c>
    </row>
    <row r="2743" spans="2:8">
      <c r="B2743">
        <v>1</v>
      </c>
      <c r="C2743">
        <v>97.960799999999992</v>
      </c>
      <c r="D2743">
        <v>1</v>
      </c>
      <c r="E2743">
        <v>0</v>
      </c>
      <c r="F2743">
        <v>5.7441758036362131E-2</v>
      </c>
    </row>
    <row r="2744" spans="2:8">
      <c r="B2744">
        <v>3</v>
      </c>
      <c r="C2744">
        <v>92.23681599999999</v>
      </c>
      <c r="D2744">
        <v>3</v>
      </c>
      <c r="E2744">
        <v>0</v>
      </c>
      <c r="F2744">
        <v>-0.17747713611908347</v>
      </c>
      <c r="G2744">
        <v>-0.21474525472140926</v>
      </c>
      <c r="H2744">
        <v>-0.25491833164044819</v>
      </c>
    </row>
    <row r="2745" spans="2:8">
      <c r="B2745">
        <v>3</v>
      </c>
      <c r="C2745">
        <v>92.23681599999999</v>
      </c>
      <c r="D2745">
        <v>3</v>
      </c>
      <c r="E2745">
        <v>0</v>
      </c>
      <c r="F2745">
        <v>-2.7680045721754667E-2</v>
      </c>
      <c r="G2745">
        <v>-0.18828724198183022</v>
      </c>
      <c r="H2745">
        <v>-5.6467103176255813E-2</v>
      </c>
    </row>
    <row r="2746" spans="2:8">
      <c r="B2746">
        <v>1</v>
      </c>
      <c r="C2746">
        <v>102</v>
      </c>
      <c r="D2746">
        <v>1</v>
      </c>
      <c r="E2746">
        <v>0</v>
      </c>
      <c r="F2746">
        <v>-0.30131800956946581</v>
      </c>
      <c r="G2746">
        <v>-0.54590243737130528</v>
      </c>
      <c r="H2746">
        <v>-0.79656471816328089</v>
      </c>
    </row>
    <row r="2747" spans="2:8">
      <c r="B2747">
        <v>1</v>
      </c>
      <c r="C2747">
        <v>102</v>
      </c>
      <c r="D2747">
        <v>1</v>
      </c>
      <c r="E2747">
        <v>0</v>
      </c>
      <c r="F2747">
        <v>-2.6036398532135061E-2</v>
      </c>
      <c r="G2747">
        <v>-0.18461561259361858</v>
      </c>
      <c r="H2747">
        <v>-4.9604235385582361E-2</v>
      </c>
    </row>
    <row r="2748" spans="2:8">
      <c r="B2748">
        <v>1</v>
      </c>
      <c r="C2748">
        <v>97.960799999999992</v>
      </c>
      <c r="D2748">
        <v>1</v>
      </c>
      <c r="E2748">
        <v>0</v>
      </c>
      <c r="F2748">
        <v>7.214862445423717E-2</v>
      </c>
    </row>
    <row r="2749" spans="2:8">
      <c r="B2749">
        <v>1</v>
      </c>
      <c r="C2749">
        <v>97.960799999999992</v>
      </c>
      <c r="D2749">
        <v>1</v>
      </c>
      <c r="E2749">
        <v>0</v>
      </c>
      <c r="F2749">
        <v>1.5439479863785192E-2</v>
      </c>
    </row>
    <row r="2750" spans="2:8">
      <c r="B2750">
        <v>3</v>
      </c>
      <c r="C2750">
        <v>2.7301007492613909</v>
      </c>
      <c r="D2750">
        <v>0</v>
      </c>
      <c r="E2750">
        <v>0</v>
      </c>
      <c r="F2750">
        <v>-0.39047071733762212</v>
      </c>
      <c r="G2750">
        <v>-0.6763759769280685</v>
      </c>
      <c r="H2750">
        <v>-0.97099315815198817</v>
      </c>
    </row>
    <row r="2751" spans="2:8">
      <c r="B2751">
        <v>1</v>
      </c>
      <c r="C2751">
        <v>97.960799999999992</v>
      </c>
      <c r="D2751">
        <v>1</v>
      </c>
      <c r="E2751">
        <v>0</v>
      </c>
      <c r="F2751">
        <v>2.8616022516593197E-2</v>
      </c>
    </row>
    <row r="2752" spans="2:8">
      <c r="B2752">
        <v>3</v>
      </c>
      <c r="C2752">
        <v>92.23681599999999</v>
      </c>
      <c r="D2752">
        <v>1</v>
      </c>
      <c r="E2752">
        <v>0</v>
      </c>
      <c r="F2752">
        <v>-0.23120336012869763</v>
      </c>
      <c r="G2752">
        <v>-0.30281016232850227</v>
      </c>
      <c r="H2752">
        <v>-0.37733439379545719</v>
      </c>
    </row>
    <row r="2753" spans="2:8">
      <c r="B2753">
        <v>1</v>
      </c>
      <c r="C2753">
        <v>97.960799999999992</v>
      </c>
      <c r="D2753">
        <v>1</v>
      </c>
      <c r="E2753">
        <v>0</v>
      </c>
      <c r="F2753">
        <v>9.2835917233642457E-2</v>
      </c>
    </row>
    <row r="2754" spans="2:8">
      <c r="B2754">
        <v>3</v>
      </c>
      <c r="C2754">
        <v>37.630568862616371</v>
      </c>
      <c r="D2754">
        <v>0</v>
      </c>
      <c r="E2754">
        <v>0</v>
      </c>
      <c r="F2754">
        <v>-0.3650080532723663</v>
      </c>
      <c r="G2754">
        <v>-0.48102396736522768</v>
      </c>
      <c r="H2754">
        <v>-0.60018180283495426</v>
      </c>
    </row>
    <row r="2755" spans="2:8">
      <c r="B2755">
        <v>1</v>
      </c>
      <c r="C2755">
        <v>102</v>
      </c>
      <c r="D2755">
        <v>1</v>
      </c>
      <c r="E2755">
        <v>0</v>
      </c>
      <c r="F2755">
        <v>-0.22632729781177899</v>
      </c>
      <c r="G2755">
        <v>-0.12836330634552862</v>
      </c>
      <c r="H2755">
        <v>-0.20020408999667638</v>
      </c>
    </row>
    <row r="2756" spans="2:8">
      <c r="B2756">
        <v>3</v>
      </c>
      <c r="C2756">
        <v>33.892031766926394</v>
      </c>
      <c r="D2756">
        <v>1</v>
      </c>
      <c r="E2756">
        <v>0</v>
      </c>
      <c r="F2756">
        <v>-0.2960296398249449</v>
      </c>
      <c r="G2756">
        <v>-0.53732461406884924</v>
      </c>
      <c r="H2756">
        <v>-0.6399031040751898</v>
      </c>
    </row>
    <row r="2757" spans="2:8">
      <c r="B2757">
        <v>3</v>
      </c>
      <c r="C2757">
        <v>97.771024959999991</v>
      </c>
      <c r="D2757">
        <v>3</v>
      </c>
      <c r="E2757">
        <v>0</v>
      </c>
      <c r="F2757">
        <v>-0.14196149330310062</v>
      </c>
      <c r="G2757">
        <v>0.12272287159972238</v>
      </c>
      <c r="H2757">
        <v>0.11135688291685393</v>
      </c>
    </row>
    <row r="2758" spans="2:8">
      <c r="B2758">
        <v>3</v>
      </c>
      <c r="C2758">
        <v>97.771024959999991</v>
      </c>
      <c r="D2758">
        <v>3</v>
      </c>
      <c r="E2758">
        <v>0</v>
      </c>
      <c r="F2758">
        <v>-5.6948517610637467E-3</v>
      </c>
      <c r="G2758">
        <v>1.2273775379045535E-2</v>
      </c>
      <c r="H2758">
        <v>0.1945186493740324</v>
      </c>
    </row>
    <row r="2759" spans="2:8">
      <c r="B2759">
        <v>1</v>
      </c>
      <c r="C2759">
        <v>97.960799999999992</v>
      </c>
      <c r="D2759">
        <v>1</v>
      </c>
      <c r="E2759">
        <v>0</v>
      </c>
      <c r="F2759">
        <v>0.15224676114186689</v>
      </c>
    </row>
    <row r="2760" spans="2:8">
      <c r="B2760">
        <v>3</v>
      </c>
      <c r="C2760">
        <v>43.512407450865588</v>
      </c>
      <c r="D2760">
        <v>0</v>
      </c>
      <c r="E2760">
        <v>0</v>
      </c>
      <c r="F2760">
        <v>-0.32091376199285182</v>
      </c>
      <c r="G2760">
        <v>-0.42776373807494178</v>
      </c>
      <c r="H2760">
        <v>-0.53768829897761994</v>
      </c>
    </row>
    <row r="2761" spans="2:8">
      <c r="B2761">
        <v>1</v>
      </c>
      <c r="C2761">
        <v>102</v>
      </c>
      <c r="D2761">
        <v>1</v>
      </c>
      <c r="E2761">
        <v>0</v>
      </c>
      <c r="F2761">
        <v>-0.2832116211995751</v>
      </c>
      <c r="G2761">
        <v>-0.22149577891521605</v>
      </c>
      <c r="H2761">
        <v>-0.31959611575907476</v>
      </c>
    </row>
    <row r="2762" spans="2:8">
      <c r="B2762">
        <v>3</v>
      </c>
      <c r="C2762">
        <v>92.23681599999999</v>
      </c>
      <c r="D2762">
        <v>2</v>
      </c>
      <c r="E2762">
        <v>0</v>
      </c>
      <c r="F2762">
        <v>-0.1574086579987363</v>
      </c>
      <c r="G2762">
        <v>-0.28875650517216261</v>
      </c>
      <c r="H2762">
        <v>-0.31328437454121649</v>
      </c>
    </row>
    <row r="2763" spans="2:8">
      <c r="B2763">
        <v>1</v>
      </c>
      <c r="C2763">
        <v>102</v>
      </c>
      <c r="D2763">
        <v>1</v>
      </c>
      <c r="E2763">
        <v>0</v>
      </c>
      <c r="F2763">
        <v>3.6623113914169093E-2</v>
      </c>
    </row>
    <row r="2764" spans="2:8">
      <c r="B2764">
        <v>3</v>
      </c>
      <c r="C2764">
        <v>97.771024959999991</v>
      </c>
      <c r="D2764">
        <v>3</v>
      </c>
      <c r="E2764">
        <v>0</v>
      </c>
      <c r="F2764">
        <v>-7.3861390808314872E-3</v>
      </c>
      <c r="G2764">
        <v>8.7982923863418674E-3</v>
      </c>
      <c r="H2764">
        <v>2.1821136616347846E-2</v>
      </c>
    </row>
    <row r="2765" spans="2:8">
      <c r="B2765">
        <v>3</v>
      </c>
      <c r="C2765">
        <v>92.23681599999999</v>
      </c>
      <c r="D2765">
        <v>3</v>
      </c>
      <c r="E2765">
        <v>0</v>
      </c>
      <c r="F2765">
        <v>-0.20062601443367617</v>
      </c>
      <c r="G2765">
        <v>-7.6471321064654874E-2</v>
      </c>
      <c r="H2765">
        <v>-0.24977693525731093</v>
      </c>
    </row>
    <row r="2766" spans="2:8">
      <c r="B2766">
        <v>3</v>
      </c>
      <c r="C2766">
        <v>92.23681599999999</v>
      </c>
      <c r="D2766">
        <v>1</v>
      </c>
      <c r="E2766">
        <v>0</v>
      </c>
      <c r="F2766">
        <v>-0.17968797904061218</v>
      </c>
      <c r="G2766">
        <v>-0.3310224133523062</v>
      </c>
      <c r="H2766">
        <v>-0.37282219216982898</v>
      </c>
    </row>
    <row r="2767" spans="2:8">
      <c r="B2767">
        <v>1</v>
      </c>
      <c r="C2767">
        <v>97.960799999999992</v>
      </c>
      <c r="D2767">
        <v>1</v>
      </c>
      <c r="E2767">
        <v>0</v>
      </c>
      <c r="F2767">
        <v>0.10631187706250048</v>
      </c>
    </row>
    <row r="2768" spans="2:8">
      <c r="B2768">
        <v>1</v>
      </c>
      <c r="C2768">
        <v>102</v>
      </c>
      <c r="D2768">
        <v>1</v>
      </c>
      <c r="E2768">
        <v>0</v>
      </c>
      <c r="F2768">
        <v>0.23001935467251722</v>
      </c>
    </row>
    <row r="2769" spans="2:8">
      <c r="B2769">
        <v>1</v>
      </c>
      <c r="C2769">
        <v>102</v>
      </c>
      <c r="D2769">
        <v>1</v>
      </c>
      <c r="E2769">
        <v>0</v>
      </c>
      <c r="F2769">
        <v>-0.12256205352154111</v>
      </c>
      <c r="G2769">
        <v>-0.50696999085341587</v>
      </c>
      <c r="H2769">
        <v>-0.50032249555679664</v>
      </c>
    </row>
    <row r="2770" spans="2:8">
      <c r="B2770">
        <v>1</v>
      </c>
      <c r="C2770">
        <v>102</v>
      </c>
      <c r="D2770">
        <v>1</v>
      </c>
      <c r="E2770">
        <v>0</v>
      </c>
      <c r="F2770">
        <v>-5.7769511810387822E-2</v>
      </c>
      <c r="G2770">
        <v>-9.3406895997608777E-2</v>
      </c>
      <c r="H2770">
        <v>-1.0974292780410448E-2</v>
      </c>
    </row>
    <row r="2771" spans="2:8">
      <c r="B2771">
        <v>1</v>
      </c>
      <c r="C2771">
        <v>102</v>
      </c>
      <c r="D2771">
        <v>1</v>
      </c>
      <c r="E2771">
        <v>0</v>
      </c>
      <c r="F2771">
        <v>-0.14386333982062974</v>
      </c>
      <c r="G2771">
        <v>0.109971801863987</v>
      </c>
      <c r="H2771">
        <v>9.6930658960048877E-2</v>
      </c>
    </row>
    <row r="2772" spans="2:8">
      <c r="B2772">
        <v>1</v>
      </c>
      <c r="C2772">
        <v>102</v>
      </c>
      <c r="D2772">
        <v>1</v>
      </c>
      <c r="E2772">
        <v>0</v>
      </c>
      <c r="F2772">
        <v>0.14634192484980285</v>
      </c>
    </row>
    <row r="2773" spans="2:8">
      <c r="B2773">
        <v>1</v>
      </c>
      <c r="C2773">
        <v>102</v>
      </c>
      <c r="D2773">
        <v>1</v>
      </c>
      <c r="E2773">
        <v>0</v>
      </c>
      <c r="F2773">
        <v>8.2626705838348635E-2</v>
      </c>
    </row>
    <row r="2774" spans="2:8">
      <c r="B2774">
        <v>1</v>
      </c>
      <c r="C2774">
        <v>97.960799999999992</v>
      </c>
      <c r="D2774">
        <v>1</v>
      </c>
      <c r="E2774">
        <v>0</v>
      </c>
      <c r="F2774">
        <v>8.885564187485169E-2</v>
      </c>
    </row>
    <row r="2775" spans="2:8">
      <c r="B2775">
        <v>1</v>
      </c>
      <c r="C2775">
        <v>102</v>
      </c>
      <c r="D2775">
        <v>1</v>
      </c>
      <c r="E2775">
        <v>0</v>
      </c>
      <c r="F2775">
        <v>7.0744444715467369E-2</v>
      </c>
    </row>
    <row r="2776" spans="2:8">
      <c r="B2776">
        <v>1</v>
      </c>
      <c r="C2776">
        <v>97.960799999999992</v>
      </c>
      <c r="D2776">
        <v>1</v>
      </c>
      <c r="E2776">
        <v>0</v>
      </c>
      <c r="F2776">
        <v>0.13208445987089124</v>
      </c>
    </row>
    <row r="2777" spans="2:8">
      <c r="B2777">
        <v>3</v>
      </c>
      <c r="C2777">
        <v>92.23681599999999</v>
      </c>
      <c r="D2777">
        <v>3</v>
      </c>
      <c r="E2777">
        <v>0</v>
      </c>
      <c r="F2777">
        <v>-1.7304994717696934E-2</v>
      </c>
      <c r="G2777">
        <v>-0.165440520846767</v>
      </c>
      <c r="H2777">
        <v>-1.2173487245824101E-2</v>
      </c>
    </row>
    <row r="2778" spans="2:8">
      <c r="B2778">
        <v>1</v>
      </c>
      <c r="C2778">
        <v>97.960799999999992</v>
      </c>
      <c r="D2778">
        <v>1</v>
      </c>
      <c r="E2778">
        <v>0</v>
      </c>
      <c r="F2778">
        <v>3.9750645740014266E-2</v>
      </c>
    </row>
    <row r="2779" spans="2:8">
      <c r="B2779">
        <v>1</v>
      </c>
      <c r="C2779">
        <v>102</v>
      </c>
      <c r="D2779">
        <v>1</v>
      </c>
      <c r="E2779">
        <v>0</v>
      </c>
      <c r="F2779">
        <v>0.1181257872327036</v>
      </c>
    </row>
    <row r="2780" spans="2:8">
      <c r="B2780">
        <v>1</v>
      </c>
      <c r="C2780">
        <v>102</v>
      </c>
      <c r="D2780">
        <v>1</v>
      </c>
      <c r="E2780">
        <v>0</v>
      </c>
      <c r="F2780">
        <v>-0.20222673208463188</v>
      </c>
      <c r="G2780">
        <v>-0.25665421772433411</v>
      </c>
      <c r="H2780">
        <v>-0.31397616469490924</v>
      </c>
    </row>
    <row r="2781" spans="2:8">
      <c r="B2781">
        <v>1</v>
      </c>
      <c r="C2781">
        <v>102</v>
      </c>
      <c r="D2781">
        <v>1</v>
      </c>
      <c r="E2781">
        <v>0</v>
      </c>
      <c r="F2781">
        <v>2.6775380901269553E-2</v>
      </c>
    </row>
    <row r="2782" spans="2:8">
      <c r="B2782">
        <v>1</v>
      </c>
      <c r="C2782">
        <v>102</v>
      </c>
      <c r="D2782">
        <v>1</v>
      </c>
      <c r="E2782">
        <v>0</v>
      </c>
      <c r="F2782">
        <v>2.0160186503921162E-2</v>
      </c>
    </row>
    <row r="2783" spans="2:8">
      <c r="B2783">
        <v>1</v>
      </c>
      <c r="C2783">
        <v>97.960799999999992</v>
      </c>
      <c r="D2783">
        <v>1</v>
      </c>
      <c r="E2783">
        <v>0</v>
      </c>
      <c r="F2783">
        <v>0.29596204975409662</v>
      </c>
    </row>
    <row r="2784" spans="2:8">
      <c r="B2784">
        <v>1</v>
      </c>
      <c r="C2784">
        <v>97.960799999999992</v>
      </c>
      <c r="D2784">
        <v>1</v>
      </c>
      <c r="E2784">
        <v>0</v>
      </c>
      <c r="F2784">
        <v>7.6596421611685839E-2</v>
      </c>
    </row>
    <row r="2785" spans="2:8">
      <c r="B2785">
        <v>1</v>
      </c>
      <c r="C2785">
        <v>97.960799999999992</v>
      </c>
      <c r="D2785">
        <v>1</v>
      </c>
      <c r="E2785">
        <v>0</v>
      </c>
      <c r="F2785">
        <v>0.10899256706834888</v>
      </c>
    </row>
    <row r="2786" spans="2:8">
      <c r="B2786">
        <v>1</v>
      </c>
      <c r="C2786">
        <v>97.960799999999992</v>
      </c>
      <c r="D2786">
        <v>1</v>
      </c>
      <c r="E2786">
        <v>0</v>
      </c>
      <c r="F2786">
        <v>2.3778219835990197E-2</v>
      </c>
    </row>
    <row r="2787" spans="2:8">
      <c r="B2787">
        <v>1</v>
      </c>
      <c r="C2787">
        <v>102</v>
      </c>
      <c r="D2787">
        <v>1</v>
      </c>
      <c r="E2787">
        <v>0</v>
      </c>
      <c r="F2787">
        <v>-0.20899009897295465</v>
      </c>
      <c r="G2787">
        <v>-9.4328461330895827E-2</v>
      </c>
      <c r="H2787">
        <v>-0.15593822846877131</v>
      </c>
    </row>
    <row r="2788" spans="2:8">
      <c r="B2788">
        <v>1</v>
      </c>
      <c r="C2788">
        <v>102</v>
      </c>
      <c r="D2788">
        <v>1</v>
      </c>
      <c r="E2788">
        <v>0</v>
      </c>
      <c r="F2788">
        <v>4.1674445445074024E-2</v>
      </c>
    </row>
    <row r="2789" spans="2:8">
      <c r="B2789">
        <v>3</v>
      </c>
      <c r="C2789">
        <v>32.882976894316627</v>
      </c>
      <c r="D2789">
        <v>1</v>
      </c>
      <c r="E2789">
        <v>0</v>
      </c>
      <c r="F2789">
        <v>-0.1302858787600478</v>
      </c>
      <c r="G2789">
        <v>-0.64989248061332461</v>
      </c>
      <c r="H2789">
        <v>-0.65062413519965501</v>
      </c>
    </row>
    <row r="2790" spans="2:8">
      <c r="B2790">
        <v>1</v>
      </c>
      <c r="C2790">
        <v>102</v>
      </c>
      <c r="D2790">
        <v>1</v>
      </c>
      <c r="E2790">
        <v>0</v>
      </c>
      <c r="F2790">
        <v>-0.14894878565348127</v>
      </c>
      <c r="G2790">
        <v>-0.27254924658494567</v>
      </c>
      <c r="H2790">
        <v>-0.39935650866061756</v>
      </c>
    </row>
    <row r="2791" spans="2:8">
      <c r="B2791">
        <v>1</v>
      </c>
      <c r="C2791">
        <v>102</v>
      </c>
      <c r="D2791">
        <v>1</v>
      </c>
      <c r="E2791">
        <v>0</v>
      </c>
      <c r="F2791">
        <v>0.17796059151914795</v>
      </c>
    </row>
    <row r="2792" spans="2:8">
      <c r="B2792">
        <v>1</v>
      </c>
      <c r="C2792">
        <v>97.960799999999992</v>
      </c>
      <c r="D2792">
        <v>1</v>
      </c>
      <c r="E2792">
        <v>0</v>
      </c>
      <c r="F2792">
        <v>3.3529346454055114E-2</v>
      </c>
    </row>
    <row r="2793" spans="2:8">
      <c r="B2793">
        <v>3</v>
      </c>
      <c r="C2793">
        <v>92.23681599999999</v>
      </c>
      <c r="D2793">
        <v>3</v>
      </c>
      <c r="E2793">
        <v>0</v>
      </c>
      <c r="F2793">
        <v>-0.2575270398073195</v>
      </c>
      <c r="G2793">
        <v>-0.18223297253005702</v>
      </c>
      <c r="H2793">
        <v>-0.26981567667196232</v>
      </c>
    </row>
    <row r="2794" spans="2:8">
      <c r="B2794">
        <v>1</v>
      </c>
      <c r="C2794">
        <v>102</v>
      </c>
      <c r="D2794">
        <v>1</v>
      </c>
      <c r="E2794">
        <v>0</v>
      </c>
      <c r="F2794">
        <v>0.1664575119862047</v>
      </c>
    </row>
    <row r="2795" spans="2:8">
      <c r="B2795">
        <v>1</v>
      </c>
      <c r="C2795">
        <v>102</v>
      </c>
      <c r="D2795">
        <v>1</v>
      </c>
      <c r="E2795">
        <v>0</v>
      </c>
      <c r="F2795">
        <v>4.8797868636337192E-2</v>
      </c>
    </row>
    <row r="2796" spans="2:8">
      <c r="B2796">
        <v>1</v>
      </c>
      <c r="C2796">
        <v>102</v>
      </c>
      <c r="D2796">
        <v>1</v>
      </c>
      <c r="E2796">
        <v>0</v>
      </c>
      <c r="F2796">
        <v>-0.47555204127181083</v>
      </c>
      <c r="G2796">
        <v>-0.60094669654015886</v>
      </c>
      <c r="H2796">
        <v>-0.72956477000774356</v>
      </c>
    </row>
    <row r="2797" spans="2:8">
      <c r="B2797">
        <v>3</v>
      </c>
      <c r="C2797">
        <v>92.23681599999999</v>
      </c>
      <c r="D2797">
        <v>3</v>
      </c>
      <c r="E2797">
        <v>0</v>
      </c>
      <c r="F2797">
        <v>-0.18564628031188402</v>
      </c>
      <c r="G2797">
        <v>-4.1331960703795863E-2</v>
      </c>
      <c r="H2797">
        <v>-8.7422146016586183E-2</v>
      </c>
    </row>
    <row r="2798" spans="2:8">
      <c r="B2798">
        <v>1</v>
      </c>
      <c r="C2798">
        <v>102</v>
      </c>
      <c r="D2798">
        <v>1</v>
      </c>
      <c r="E2798">
        <v>0</v>
      </c>
      <c r="F2798">
        <v>0.12895914804865674</v>
      </c>
    </row>
    <row r="2799" spans="2:8">
      <c r="B2799">
        <v>1</v>
      </c>
      <c r="C2799">
        <v>97.960799999999992</v>
      </c>
      <c r="D2799">
        <v>1</v>
      </c>
      <c r="E2799">
        <v>0</v>
      </c>
      <c r="F2799">
        <v>0.12397698982162034</v>
      </c>
    </row>
    <row r="2800" spans="2:8">
      <c r="B2800">
        <v>3</v>
      </c>
      <c r="C2800">
        <v>97.771024959999991</v>
      </c>
      <c r="D2800">
        <v>3</v>
      </c>
      <c r="E2800">
        <v>0</v>
      </c>
      <c r="F2800">
        <v>-3.99829573998506E-3</v>
      </c>
      <c r="G2800">
        <v>0.1924201031557278</v>
      </c>
      <c r="H2800">
        <v>0.37954146102069375</v>
      </c>
    </row>
    <row r="2801" spans="2:8">
      <c r="B2801">
        <v>1</v>
      </c>
      <c r="C2801">
        <v>102</v>
      </c>
      <c r="D2801">
        <v>1</v>
      </c>
      <c r="E2801">
        <v>0</v>
      </c>
      <c r="F2801">
        <v>-2.9087088522486799E-3</v>
      </c>
      <c r="G2801">
        <v>-0.32774431932526815</v>
      </c>
      <c r="H2801">
        <v>-0.31003173903573206</v>
      </c>
    </row>
    <row r="2802" spans="2:8">
      <c r="B2802">
        <v>3</v>
      </c>
      <c r="C2802">
        <v>37.672821267288192</v>
      </c>
      <c r="D2802">
        <v>1</v>
      </c>
      <c r="E2802">
        <v>0</v>
      </c>
      <c r="F2802">
        <v>-0.22160737685384335</v>
      </c>
      <c r="G2802">
        <v>-0.40858958498107839</v>
      </c>
      <c r="H2802">
        <v>-0.59973287844256862</v>
      </c>
    </row>
    <row r="2803" spans="2:8">
      <c r="B2803">
        <v>1</v>
      </c>
      <c r="C2803">
        <v>102</v>
      </c>
      <c r="D2803">
        <v>1</v>
      </c>
      <c r="E2803">
        <v>0</v>
      </c>
      <c r="F2803">
        <v>-0.13211572787627082</v>
      </c>
      <c r="G2803">
        <v>0.26893255643106773</v>
      </c>
      <c r="H2803">
        <v>0.26649361704037317</v>
      </c>
    </row>
    <row r="2804" spans="2:8">
      <c r="B2804">
        <v>3</v>
      </c>
      <c r="C2804">
        <v>97.771024959999991</v>
      </c>
      <c r="D2804">
        <v>3</v>
      </c>
      <c r="E2804">
        <v>0</v>
      </c>
      <c r="F2804">
        <v>-3.20079674432978E-2</v>
      </c>
      <c r="G2804">
        <v>-4.1453327228901993E-2</v>
      </c>
      <c r="H2804">
        <v>8.2274022576047462E-2</v>
      </c>
    </row>
    <row r="2805" spans="2:8">
      <c r="B2805">
        <v>1</v>
      </c>
      <c r="C2805">
        <v>102</v>
      </c>
      <c r="D2805">
        <v>1</v>
      </c>
      <c r="E2805">
        <v>0</v>
      </c>
      <c r="F2805">
        <v>-0.26511846563458474</v>
      </c>
      <c r="G2805">
        <v>-0.19424398883065672</v>
      </c>
      <c r="H2805">
        <v>-0.41976741706971094</v>
      </c>
    </row>
    <row r="2806" spans="2:8">
      <c r="B2806">
        <v>3</v>
      </c>
      <c r="C2806">
        <v>97.771024959999991</v>
      </c>
      <c r="D2806">
        <v>3</v>
      </c>
      <c r="E2806">
        <v>0</v>
      </c>
      <c r="F2806">
        <v>-6.4725354651026135E-2</v>
      </c>
      <c r="G2806">
        <v>1.2004913394948866E-2</v>
      </c>
      <c r="H2806">
        <v>8.4760995742037784E-2</v>
      </c>
    </row>
    <row r="2807" spans="2:8">
      <c r="B2807">
        <v>1</v>
      </c>
      <c r="C2807">
        <v>102</v>
      </c>
      <c r="D2807">
        <v>1</v>
      </c>
      <c r="E2807">
        <v>0</v>
      </c>
      <c r="F2807">
        <v>-0.28788930037219734</v>
      </c>
      <c r="G2807">
        <v>-0.22825877014052887</v>
      </c>
      <c r="H2807">
        <v>-0.4700199282744551</v>
      </c>
    </row>
    <row r="2808" spans="2:8">
      <c r="B2808">
        <v>1</v>
      </c>
      <c r="C2808">
        <v>102</v>
      </c>
      <c r="D2808">
        <v>1</v>
      </c>
      <c r="E2808">
        <v>0</v>
      </c>
      <c r="F2808">
        <v>-3.8994137508050745E-2</v>
      </c>
      <c r="G2808">
        <v>7.7474049572444095E-2</v>
      </c>
      <c r="H2808">
        <v>0.18896338843853003</v>
      </c>
    </row>
    <row r="2809" spans="2:8">
      <c r="B2809">
        <v>1</v>
      </c>
      <c r="C2809">
        <v>102</v>
      </c>
      <c r="D2809">
        <v>1</v>
      </c>
      <c r="E2809">
        <v>0</v>
      </c>
      <c r="F2809">
        <v>0.13412396734918372</v>
      </c>
    </row>
    <row r="2810" spans="2:8">
      <c r="B2810">
        <v>3</v>
      </c>
      <c r="C2810">
        <v>55.376425722897224</v>
      </c>
      <c r="D2810">
        <v>1</v>
      </c>
      <c r="E2810">
        <v>0</v>
      </c>
      <c r="F2810">
        <v>-0.24816046582275159</v>
      </c>
      <c r="G2810">
        <v>-0.32842685369806085</v>
      </c>
      <c r="H2810">
        <v>-0.41163518471366922</v>
      </c>
    </row>
    <row r="2811" spans="2:8">
      <c r="B2811">
        <v>1</v>
      </c>
      <c r="C2811">
        <v>97.960799999999992</v>
      </c>
      <c r="D2811">
        <v>1</v>
      </c>
      <c r="E2811">
        <v>0</v>
      </c>
      <c r="F2811">
        <v>0.13737009605374281</v>
      </c>
    </row>
    <row r="2812" spans="2:8">
      <c r="B2812">
        <v>1</v>
      </c>
      <c r="C2812">
        <v>97.960799999999992</v>
      </c>
      <c r="D2812">
        <v>1</v>
      </c>
      <c r="E2812">
        <v>0</v>
      </c>
      <c r="F2812">
        <v>0.10200821647124035</v>
      </c>
    </row>
    <row r="2813" spans="2:8">
      <c r="B2813">
        <v>1</v>
      </c>
      <c r="C2813">
        <v>102</v>
      </c>
      <c r="D2813">
        <v>1</v>
      </c>
      <c r="E2813">
        <v>0</v>
      </c>
      <c r="F2813">
        <v>3.8525374985332955E-2</v>
      </c>
    </row>
    <row r="2814" spans="2:8">
      <c r="B2814">
        <v>3</v>
      </c>
      <c r="C2814">
        <v>48.026095520070953</v>
      </c>
      <c r="D2814">
        <v>1</v>
      </c>
      <c r="E2814">
        <v>0</v>
      </c>
      <c r="F2814">
        <v>-0.29099448524271099</v>
      </c>
      <c r="G2814">
        <v>-0.38885299646985616</v>
      </c>
      <c r="H2814">
        <v>-0.48973115453519622</v>
      </c>
    </row>
    <row r="2815" spans="2:8">
      <c r="B2815">
        <v>3</v>
      </c>
      <c r="C2815">
        <v>45.587128575278001</v>
      </c>
      <c r="D2815">
        <v>0</v>
      </c>
      <c r="E2815">
        <v>0</v>
      </c>
      <c r="F2815">
        <v>-0.42057040690809111</v>
      </c>
      <c r="G2815">
        <v>-0.38999240666190671</v>
      </c>
      <c r="H2815">
        <v>-0.51564475074928384</v>
      </c>
    </row>
    <row r="2816" spans="2:8">
      <c r="B2816">
        <v>3</v>
      </c>
      <c r="C2816">
        <v>97.771024959999991</v>
      </c>
      <c r="D2816">
        <v>3</v>
      </c>
      <c r="E2816">
        <v>0</v>
      </c>
      <c r="F2816">
        <v>-7.3338856271742678E-2</v>
      </c>
      <c r="G2816">
        <v>-8.1591361288112611E-3</v>
      </c>
      <c r="H2816">
        <v>5.3256884711814778E-2</v>
      </c>
    </row>
    <row r="2817" spans="2:8">
      <c r="B2817">
        <v>3</v>
      </c>
      <c r="C2817">
        <v>92.23681599999999</v>
      </c>
      <c r="D2817">
        <v>2</v>
      </c>
      <c r="E2817">
        <v>0</v>
      </c>
      <c r="F2817">
        <v>-0.22928000057527848</v>
      </c>
      <c r="G2817">
        <v>-0.1338249778139681</v>
      </c>
      <c r="H2817">
        <v>-0.33130618057767292</v>
      </c>
    </row>
    <row r="2818" spans="2:8">
      <c r="B2818">
        <v>1</v>
      </c>
      <c r="C2818">
        <v>102</v>
      </c>
      <c r="D2818">
        <v>1</v>
      </c>
      <c r="E2818">
        <v>0</v>
      </c>
      <c r="F2818">
        <v>-0.1178791075028648</v>
      </c>
      <c r="G2818">
        <v>-0.10347034659344491</v>
      </c>
      <c r="H2818">
        <v>-9.2208700178756223E-2</v>
      </c>
    </row>
    <row r="2819" spans="2:8">
      <c r="B2819">
        <v>3</v>
      </c>
      <c r="C2819">
        <v>92.23681599999999</v>
      </c>
      <c r="D2819">
        <v>3</v>
      </c>
      <c r="E2819">
        <v>0</v>
      </c>
      <c r="F2819">
        <v>-7.0657876205709486E-2</v>
      </c>
      <c r="G2819">
        <v>-0.29391997129655362</v>
      </c>
      <c r="H2819">
        <v>-0.2290448122212761</v>
      </c>
    </row>
    <row r="2820" spans="2:8">
      <c r="B2820">
        <v>3</v>
      </c>
      <c r="C2820">
        <v>92.23681599999999</v>
      </c>
      <c r="D2820">
        <v>3</v>
      </c>
      <c r="E2820">
        <v>0</v>
      </c>
      <c r="F2820">
        <v>-0.10134647216097635</v>
      </c>
      <c r="G2820">
        <v>-0.17996768940853397</v>
      </c>
      <c r="H2820">
        <v>-0.151506155294582</v>
      </c>
    </row>
    <row r="2821" spans="2:8">
      <c r="B2821">
        <v>3</v>
      </c>
      <c r="C2821">
        <v>97.771024959999991</v>
      </c>
      <c r="D2821">
        <v>3</v>
      </c>
      <c r="E2821">
        <v>0</v>
      </c>
      <c r="F2821">
        <v>-1.0149932272945384E-2</v>
      </c>
      <c r="G2821">
        <v>-0.15011008023491637</v>
      </c>
      <c r="H2821">
        <v>2.02091642707087E-2</v>
      </c>
    </row>
    <row r="2822" spans="2:8">
      <c r="B2822">
        <v>1</v>
      </c>
      <c r="C2822">
        <v>97.960799999999992</v>
      </c>
      <c r="D2822">
        <v>1</v>
      </c>
      <c r="E2822">
        <v>0</v>
      </c>
      <c r="F2822">
        <v>0.18575447083811589</v>
      </c>
    </row>
    <row r="2823" spans="2:8">
      <c r="B2823">
        <v>1</v>
      </c>
      <c r="C2823">
        <v>102</v>
      </c>
      <c r="D2823">
        <v>1</v>
      </c>
      <c r="E2823">
        <v>0</v>
      </c>
      <c r="F2823">
        <v>0.21157526082599606</v>
      </c>
    </row>
    <row r="2824" spans="2:8">
      <c r="B2824">
        <v>1</v>
      </c>
      <c r="C2824">
        <v>102</v>
      </c>
      <c r="D2824">
        <v>1</v>
      </c>
      <c r="E2824">
        <v>0</v>
      </c>
      <c r="F2824">
        <v>-0.1086737117021091</v>
      </c>
      <c r="G2824">
        <v>-8.4787264039808075E-2</v>
      </c>
      <c r="H2824">
        <v>-6.413049267209342E-2</v>
      </c>
    </row>
    <row r="2825" spans="2:8">
      <c r="B2825">
        <v>3</v>
      </c>
      <c r="C2825">
        <v>92.23681599999999</v>
      </c>
      <c r="D2825">
        <v>1</v>
      </c>
      <c r="E2825">
        <v>0</v>
      </c>
      <c r="F2825">
        <v>-9.6878400864912284E-2</v>
      </c>
      <c r="G2825">
        <v>-0.37533995562159905</v>
      </c>
      <c r="H2825">
        <v>-0.34196759855576442</v>
      </c>
    </row>
    <row r="2826" spans="2:8">
      <c r="B2826">
        <v>3</v>
      </c>
      <c r="C2826">
        <v>97.771024959999991</v>
      </c>
      <c r="D2826">
        <v>3</v>
      </c>
      <c r="E2826">
        <v>0</v>
      </c>
      <c r="F2826">
        <v>-2.3333736316943299E-2</v>
      </c>
      <c r="G2826">
        <v>-2.3820412376250353E-2</v>
      </c>
      <c r="H2826">
        <v>0.11659434295145309</v>
      </c>
    </row>
    <row r="2827" spans="2:8">
      <c r="B2827">
        <v>1</v>
      </c>
      <c r="C2827">
        <v>102</v>
      </c>
      <c r="D2827">
        <v>1</v>
      </c>
      <c r="E2827">
        <v>0</v>
      </c>
      <c r="F2827">
        <v>-0.35830496605797985</v>
      </c>
      <c r="G2827">
        <v>-0.31966600249334359</v>
      </c>
      <c r="H2827">
        <v>-0.60162183574830763</v>
      </c>
    </row>
    <row r="2828" spans="2:8">
      <c r="B2828">
        <v>1</v>
      </c>
      <c r="C2828">
        <v>97.960799999999992</v>
      </c>
      <c r="D2828">
        <v>1</v>
      </c>
      <c r="E2828">
        <v>0</v>
      </c>
      <c r="F2828">
        <v>1.430337144362435E-2</v>
      </c>
    </row>
    <row r="2829" spans="2:8">
      <c r="B2829">
        <v>3</v>
      </c>
      <c r="C2829">
        <v>92.23681599999999</v>
      </c>
      <c r="D2829">
        <v>3</v>
      </c>
      <c r="E2829">
        <v>0</v>
      </c>
      <c r="F2829">
        <v>-0.17175026728751508</v>
      </c>
      <c r="G2829">
        <v>-3.5430066743962585E-3</v>
      </c>
      <c r="H2829">
        <v>-3.9414030982593558E-2</v>
      </c>
    </row>
    <row r="2830" spans="2:8">
      <c r="B2830">
        <v>3</v>
      </c>
      <c r="C2830">
        <v>97.771024959999991</v>
      </c>
      <c r="D2830">
        <v>3</v>
      </c>
      <c r="E2830">
        <v>0</v>
      </c>
      <c r="F2830">
        <v>-4.062176095261491E-2</v>
      </c>
      <c r="G2830">
        <v>-5.889211569112849E-2</v>
      </c>
      <c r="H2830">
        <v>4.9874314958540326E-2</v>
      </c>
    </row>
    <row r="2831" spans="2:8">
      <c r="B2831">
        <v>3</v>
      </c>
      <c r="C2831">
        <v>92.23681599999999</v>
      </c>
      <c r="D2831">
        <v>3</v>
      </c>
      <c r="E2831">
        <v>0</v>
      </c>
      <c r="F2831">
        <v>-0.21430471726348232</v>
      </c>
      <c r="G2831">
        <v>-0.10515121802890015</v>
      </c>
      <c r="H2831">
        <v>-0.29016673166891666</v>
      </c>
    </row>
    <row r="2832" spans="2:8">
      <c r="B2832">
        <v>3</v>
      </c>
      <c r="C2832">
        <v>92.23681599999999</v>
      </c>
      <c r="D2832">
        <v>3</v>
      </c>
      <c r="E2832">
        <v>0</v>
      </c>
      <c r="F2832">
        <v>-0.14701169839043007</v>
      </c>
      <c r="G2832">
        <v>-0.26882683674423502</v>
      </c>
      <c r="H2832">
        <v>-0.28460684250686452</v>
      </c>
    </row>
    <row r="2833" spans="2:8">
      <c r="B2833">
        <v>1</v>
      </c>
      <c r="C2833">
        <v>97.960799999999992</v>
      </c>
      <c r="D2833">
        <v>1</v>
      </c>
      <c r="E2833">
        <v>0</v>
      </c>
      <c r="F2833">
        <v>7.9080040533488546E-3</v>
      </c>
    </row>
    <row r="2834" spans="2:8">
      <c r="B2834">
        <v>1</v>
      </c>
      <c r="C2834">
        <v>97.960799999999992</v>
      </c>
      <c r="D2834">
        <v>1</v>
      </c>
      <c r="E2834">
        <v>0</v>
      </c>
      <c r="F2834">
        <v>8.4118629740236303E-2</v>
      </c>
    </row>
    <row r="2835" spans="2:8">
      <c r="B2835">
        <v>3</v>
      </c>
      <c r="C2835">
        <v>92.23681599999999</v>
      </c>
      <c r="D2835">
        <v>1</v>
      </c>
      <c r="E2835">
        <v>0</v>
      </c>
      <c r="F2835">
        <v>-1.1828356043252188E-2</v>
      </c>
      <c r="G2835">
        <v>-0.38343050580226073</v>
      </c>
      <c r="H2835">
        <v>-0.3750415928096818</v>
      </c>
    </row>
    <row r="2836" spans="2:8">
      <c r="B2836">
        <v>3</v>
      </c>
      <c r="C2836">
        <v>47.804815435985624</v>
      </c>
      <c r="D2836">
        <v>1</v>
      </c>
      <c r="E2836">
        <v>0</v>
      </c>
      <c r="F2836">
        <v>-0.18192333816466619</v>
      </c>
      <c r="G2836">
        <v>-0.33522711906091479</v>
      </c>
      <c r="H2836">
        <v>-0.49208221663607821</v>
      </c>
    </row>
    <row r="2837" spans="2:8">
      <c r="B2837">
        <v>1</v>
      </c>
      <c r="C2837">
        <v>102</v>
      </c>
      <c r="D2837">
        <v>1</v>
      </c>
      <c r="E2837">
        <v>0</v>
      </c>
      <c r="F2837">
        <v>-0.24266334775399878</v>
      </c>
      <c r="G2837">
        <v>-0.15756243142819648</v>
      </c>
      <c r="H2837">
        <v>-0.2380646566953992</v>
      </c>
    </row>
    <row r="2838" spans="2:8">
      <c r="B2838">
        <v>1</v>
      </c>
      <c r="C2838">
        <v>102</v>
      </c>
      <c r="D2838">
        <v>1</v>
      </c>
      <c r="E2838">
        <v>0</v>
      </c>
      <c r="F2838">
        <v>-0.23425871941480922</v>
      </c>
      <c r="G2838">
        <v>-0.43139039136059093</v>
      </c>
      <c r="H2838">
        <v>-0.5075532995376858</v>
      </c>
    </row>
    <row r="2839" spans="2:8">
      <c r="B2839">
        <v>1</v>
      </c>
      <c r="C2839">
        <v>102</v>
      </c>
      <c r="D2839">
        <v>1</v>
      </c>
      <c r="E2839">
        <v>0</v>
      </c>
      <c r="F2839">
        <v>-0.26126406488434734</v>
      </c>
      <c r="G2839">
        <v>-0.18819178869864306</v>
      </c>
      <c r="H2839">
        <v>-0.27743776547843668</v>
      </c>
    </row>
    <row r="2840" spans="2:8">
      <c r="B2840">
        <v>3</v>
      </c>
      <c r="C2840">
        <v>56.086938094612123</v>
      </c>
      <c r="D2840">
        <v>1</v>
      </c>
      <c r="E2840">
        <v>0</v>
      </c>
      <c r="F2840">
        <v>-0.19179492110393961</v>
      </c>
      <c r="G2840">
        <v>-0.35371027187225201</v>
      </c>
      <c r="H2840">
        <v>-0.40408611532384331</v>
      </c>
    </row>
    <row r="2841" spans="2:8">
      <c r="B2841">
        <v>1</v>
      </c>
      <c r="C2841">
        <v>102</v>
      </c>
      <c r="D2841">
        <v>1</v>
      </c>
      <c r="E2841">
        <v>0</v>
      </c>
      <c r="F2841">
        <v>0.15598745653275836</v>
      </c>
    </row>
    <row r="2842" spans="2:8">
      <c r="B2842">
        <v>1</v>
      </c>
      <c r="C2842">
        <v>102</v>
      </c>
      <c r="D2842">
        <v>1</v>
      </c>
      <c r="E2842">
        <v>0</v>
      </c>
      <c r="F2842">
        <v>6.50531308763065E-2</v>
      </c>
    </row>
    <row r="2843" spans="2:8">
      <c r="B2843">
        <v>1</v>
      </c>
      <c r="C2843">
        <v>97.960799999999992</v>
      </c>
      <c r="D2843">
        <v>1</v>
      </c>
      <c r="E2843">
        <v>0</v>
      </c>
      <c r="F2843">
        <v>0.15984583373417527</v>
      </c>
    </row>
    <row r="2844" spans="2:8">
      <c r="B2844">
        <v>3</v>
      </c>
      <c r="C2844">
        <v>97.771024959999991</v>
      </c>
      <c r="D2844">
        <v>3</v>
      </c>
      <c r="E2844">
        <v>0</v>
      </c>
      <c r="F2844">
        <v>-5.6146588766291652E-2</v>
      </c>
      <c r="G2844">
        <v>3.285187555875433E-2</v>
      </c>
      <c r="H2844">
        <v>0.11761644286767148</v>
      </c>
    </row>
    <row r="2845" spans="2:8">
      <c r="B2845">
        <v>3</v>
      </c>
      <c r="C2845">
        <v>25.540541417759698</v>
      </c>
      <c r="D2845">
        <v>0</v>
      </c>
      <c r="E2845">
        <v>0</v>
      </c>
      <c r="F2845">
        <v>-0.44835662484470518</v>
      </c>
      <c r="G2845">
        <v>-0.41963074735878086</v>
      </c>
      <c r="H2845">
        <v>-0.7286362249385917</v>
      </c>
    </row>
    <row r="2846" spans="2:8">
      <c r="B2846">
        <v>1</v>
      </c>
      <c r="C2846">
        <v>97.960799999999992</v>
      </c>
      <c r="D2846">
        <v>1</v>
      </c>
      <c r="E2846">
        <v>0</v>
      </c>
      <c r="F2846">
        <v>4.3611986928924332E-2</v>
      </c>
    </row>
    <row r="2847" spans="2:8">
      <c r="B2847">
        <v>3</v>
      </c>
      <c r="C2847">
        <v>55.316012784220987</v>
      </c>
      <c r="D2847">
        <v>1</v>
      </c>
      <c r="E2847">
        <v>0</v>
      </c>
      <c r="F2847">
        <v>-0.34024609423249491</v>
      </c>
      <c r="G2847">
        <v>-0.29776160053635076</v>
      </c>
      <c r="H2847">
        <v>-0.41227706159613564</v>
      </c>
    </row>
    <row r="2848" spans="2:8">
      <c r="B2848">
        <v>1</v>
      </c>
      <c r="C2848">
        <v>102</v>
      </c>
      <c r="D2848">
        <v>1</v>
      </c>
      <c r="E2848">
        <v>0</v>
      </c>
      <c r="F2848">
        <v>-0.2516276495711931</v>
      </c>
      <c r="G2848">
        <v>-0.4621438098893576</v>
      </c>
      <c r="H2848">
        <v>-0.5470059024107522</v>
      </c>
    </row>
    <row r="2849" spans="2:8">
      <c r="B2849">
        <v>1</v>
      </c>
      <c r="C2849">
        <v>102</v>
      </c>
      <c r="D2849">
        <v>1</v>
      </c>
      <c r="E2849">
        <v>0</v>
      </c>
      <c r="F2849">
        <v>-0.21162548925599717</v>
      </c>
      <c r="G2849">
        <v>-9.9742303117905329E-2</v>
      </c>
      <c r="H2849">
        <v>-0.16297741664966323</v>
      </c>
    </row>
    <row r="2850" spans="2:8">
      <c r="B2850">
        <v>3</v>
      </c>
      <c r="C2850">
        <v>0</v>
      </c>
      <c r="D2850">
        <v>0</v>
      </c>
      <c r="E2850">
        <v>0</v>
      </c>
      <c r="F2850">
        <v>-0.66448480624003148</v>
      </c>
      <c r="G2850">
        <v>-0.97265559987872274</v>
      </c>
      <c r="H2850">
        <v>-1.1030942617295509</v>
      </c>
    </row>
    <row r="2851" spans="2:8">
      <c r="B2851">
        <v>3</v>
      </c>
      <c r="C2851">
        <v>92.23681599999999</v>
      </c>
      <c r="D2851">
        <v>3</v>
      </c>
      <c r="E2851">
        <v>0</v>
      </c>
      <c r="F2851">
        <v>-6.0433192274432605E-2</v>
      </c>
      <c r="G2851">
        <v>-0.26667658546020856</v>
      </c>
      <c r="H2851">
        <v>-0.18800877720886877</v>
      </c>
    </row>
    <row r="2852" spans="2:8">
      <c r="B2852">
        <v>3</v>
      </c>
      <c r="C2852">
        <v>12.306664281555541</v>
      </c>
      <c r="D2852">
        <v>0</v>
      </c>
      <c r="E2852">
        <v>0</v>
      </c>
      <c r="F2852">
        <v>-0.33516846242236648</v>
      </c>
      <c r="G2852">
        <v>-0.59865719639265802</v>
      </c>
      <c r="H2852">
        <v>-0.86924384948495592</v>
      </c>
    </row>
    <row r="2853" spans="2:8">
      <c r="B2853">
        <v>1</v>
      </c>
      <c r="C2853">
        <v>97.960799999999992</v>
      </c>
      <c r="D2853">
        <v>1</v>
      </c>
      <c r="E2853">
        <v>0</v>
      </c>
      <c r="F2853">
        <v>5.0854162664031434E-4</v>
      </c>
    </row>
    <row r="2854" spans="2:8">
      <c r="B2854">
        <v>3</v>
      </c>
      <c r="C2854">
        <v>92.23681599999999</v>
      </c>
      <c r="D2854">
        <v>3</v>
      </c>
      <c r="E2854">
        <v>0</v>
      </c>
      <c r="F2854">
        <v>-0.12550169555602436</v>
      </c>
      <c r="G2854">
        <v>-0.11860524983723061</v>
      </c>
      <c r="H2854">
        <v>-0.11479957613111463</v>
      </c>
    </row>
    <row r="2855" spans="2:8">
      <c r="B2855">
        <v>3</v>
      </c>
      <c r="C2855">
        <v>92.23681599999999</v>
      </c>
      <c r="D2855">
        <v>3</v>
      </c>
      <c r="E2855">
        <v>0</v>
      </c>
      <c r="F2855">
        <v>-0.16483963186691819</v>
      </c>
      <c r="G2855">
        <v>1.8090246578891973E-2</v>
      </c>
      <c r="H2855">
        <v>-0.12334903601375123</v>
      </c>
    </row>
    <row r="2856" spans="2:8">
      <c r="B2856">
        <v>3</v>
      </c>
      <c r="C2856">
        <v>20.804477720299012</v>
      </c>
      <c r="D2856">
        <v>0</v>
      </c>
      <c r="E2856">
        <v>0</v>
      </c>
      <c r="F2856">
        <v>-0.37671644330297338</v>
      </c>
      <c r="G2856">
        <v>-0.65802562524365305</v>
      </c>
      <c r="H2856">
        <v>-0.77895607144664414</v>
      </c>
    </row>
    <row r="2857" spans="2:8">
      <c r="B2857">
        <v>3</v>
      </c>
      <c r="C2857">
        <v>92.23681599999999</v>
      </c>
      <c r="D2857">
        <v>2</v>
      </c>
      <c r="E2857">
        <v>0</v>
      </c>
      <c r="F2857">
        <v>-8.6380437418958567E-2</v>
      </c>
      <c r="G2857">
        <v>-0.34006631765205347</v>
      </c>
      <c r="H2857">
        <v>-0.29466650013132817</v>
      </c>
    </row>
    <row r="2858" spans="2:8">
      <c r="B2858">
        <v>1</v>
      </c>
      <c r="C2858">
        <v>102</v>
      </c>
      <c r="D2858">
        <v>1</v>
      </c>
      <c r="E2858">
        <v>0</v>
      </c>
      <c r="F2858">
        <v>-0.1703840050133727</v>
      </c>
      <c r="G2858">
        <v>-0.31344899828729816</v>
      </c>
      <c r="H2858">
        <v>-0.4599289808078682</v>
      </c>
    </row>
    <row r="2859" spans="2:8">
      <c r="B2859">
        <v>3</v>
      </c>
      <c r="C2859">
        <v>92.23681599999999</v>
      </c>
      <c r="D2859">
        <v>1</v>
      </c>
      <c r="E2859">
        <v>0</v>
      </c>
      <c r="F2859">
        <v>-0.31063260354278066</v>
      </c>
      <c r="G2859">
        <v>-0.2597238968065903</v>
      </c>
      <c r="H2859">
        <v>-0.36681996450216381</v>
      </c>
    </row>
    <row r="2860" spans="2:8">
      <c r="B2860">
        <v>1</v>
      </c>
      <c r="C2860">
        <v>102</v>
      </c>
      <c r="D2860">
        <v>1</v>
      </c>
      <c r="E2860">
        <v>0</v>
      </c>
      <c r="F2860">
        <v>-0.12730563506062711</v>
      </c>
      <c r="G2860">
        <v>-0.12214459165517465</v>
      </c>
      <c r="H2860">
        <v>-0.12006240275762428</v>
      </c>
    </row>
    <row r="2861" spans="2:8">
      <c r="B2861">
        <v>1</v>
      </c>
      <c r="C2861">
        <v>102</v>
      </c>
      <c r="D2861">
        <v>1</v>
      </c>
      <c r="E2861">
        <v>0</v>
      </c>
      <c r="F2861">
        <v>-4.4914011088370905E-2</v>
      </c>
      <c r="G2861">
        <v>-0.22814783926164864</v>
      </c>
      <c r="H2861">
        <v>-0.1263562194448212</v>
      </c>
    </row>
    <row r="2862" spans="2:8">
      <c r="B2862">
        <v>3</v>
      </c>
      <c r="C2862">
        <v>44.62774012441259</v>
      </c>
      <c r="D2862">
        <v>1</v>
      </c>
      <c r="E2862">
        <v>0</v>
      </c>
      <c r="F2862">
        <v>-0.19417766415689794</v>
      </c>
      <c r="G2862">
        <v>-0.35815002020636377</v>
      </c>
      <c r="H2862">
        <v>-0.52583808484971617</v>
      </c>
    </row>
    <row r="2863" spans="2:8">
      <c r="B2863">
        <v>3</v>
      </c>
      <c r="C2863">
        <v>92.23681599999999</v>
      </c>
      <c r="D2863">
        <v>3</v>
      </c>
      <c r="E2863">
        <v>0</v>
      </c>
      <c r="F2863">
        <v>-0.19815618049154585</v>
      </c>
      <c r="G2863">
        <v>-7.0981558804181361E-2</v>
      </c>
      <c r="H2863">
        <v>-0.12564139326497484</v>
      </c>
    </row>
    <row r="2864" spans="2:8">
      <c r="B2864">
        <v>1</v>
      </c>
      <c r="C2864">
        <v>102</v>
      </c>
      <c r="D2864">
        <v>1</v>
      </c>
      <c r="E2864">
        <v>0</v>
      </c>
      <c r="F2864">
        <v>0.19079739417973771</v>
      </c>
    </row>
    <row r="2865" spans="2:8">
      <c r="B2865">
        <v>1</v>
      </c>
      <c r="C2865">
        <v>97.960799999999992</v>
      </c>
      <c r="D2865">
        <v>1</v>
      </c>
      <c r="E2865">
        <v>0</v>
      </c>
      <c r="F2865">
        <v>1.9009356341582097E-2</v>
      </c>
    </row>
    <row r="2866" spans="2:8">
      <c r="B2866">
        <v>3</v>
      </c>
      <c r="C2866">
        <v>92.23681599999999</v>
      </c>
      <c r="D2866">
        <v>3</v>
      </c>
      <c r="E2866">
        <v>0</v>
      </c>
      <c r="F2866">
        <v>-0.18944263375564557</v>
      </c>
      <c r="G2866">
        <v>-0.23530028029208294</v>
      </c>
      <c r="H2866">
        <v>-0.2840534637603061</v>
      </c>
    </row>
    <row r="2867" spans="2:8">
      <c r="B2867">
        <v>3</v>
      </c>
      <c r="C2867">
        <v>97.771024959999991</v>
      </c>
      <c r="D2867">
        <v>3</v>
      </c>
      <c r="E2867">
        <v>0</v>
      </c>
      <c r="F2867">
        <v>-1.2030200246069874E-3</v>
      </c>
      <c r="G2867">
        <v>-0.13138034504278429</v>
      </c>
      <c r="H2867">
        <v>6.426023068140102E-2</v>
      </c>
    </row>
    <row r="2868" spans="2:8">
      <c r="B2868">
        <v>1</v>
      </c>
      <c r="C2868">
        <v>102</v>
      </c>
      <c r="D2868">
        <v>1</v>
      </c>
      <c r="E2868">
        <v>0</v>
      </c>
      <c r="F2868">
        <v>0.12590165257912472</v>
      </c>
    </row>
    <row r="2869" spans="2:8">
      <c r="B2869">
        <v>1</v>
      </c>
      <c r="C2869">
        <v>102</v>
      </c>
      <c r="D2869">
        <v>1</v>
      </c>
      <c r="E2869">
        <v>0</v>
      </c>
      <c r="F2869">
        <v>-0.22343257204054223</v>
      </c>
      <c r="G2869">
        <v>-0.12292200594535042</v>
      </c>
      <c r="H2869">
        <v>-0.19312976654023042</v>
      </c>
    </row>
    <row r="2870" spans="2:8">
      <c r="B2870">
        <v>1</v>
      </c>
      <c r="C2870">
        <v>97.960799999999992</v>
      </c>
      <c r="D2870">
        <v>1</v>
      </c>
      <c r="E2870">
        <v>0</v>
      </c>
      <c r="F2870">
        <v>7.4360249153554589E-2</v>
      </c>
    </row>
    <row r="2871" spans="2:8">
      <c r="B2871">
        <v>1</v>
      </c>
      <c r="C2871">
        <v>102</v>
      </c>
      <c r="D2871">
        <v>1</v>
      </c>
      <c r="E2871">
        <v>0</v>
      </c>
      <c r="F2871">
        <v>-0.23941973794908739</v>
      </c>
      <c r="G2871">
        <v>-0.15195294569895806</v>
      </c>
      <c r="H2871">
        <v>-0.23080959352553643</v>
      </c>
    </row>
    <row r="2872" spans="2:8">
      <c r="B2872">
        <v>1</v>
      </c>
      <c r="C2872">
        <v>97.960799999999992</v>
      </c>
      <c r="D2872">
        <v>1</v>
      </c>
      <c r="E2872">
        <v>0</v>
      </c>
      <c r="F2872">
        <v>0.11349148295053101</v>
      </c>
    </row>
    <row r="2873" spans="2:8">
      <c r="B2873">
        <v>1</v>
      </c>
      <c r="C2873">
        <v>97.960799999999992</v>
      </c>
      <c r="D2873">
        <v>1</v>
      </c>
      <c r="E2873">
        <v>0</v>
      </c>
      <c r="F2873">
        <v>0.18264475242482919</v>
      </c>
    </row>
    <row r="2874" spans="2:8">
      <c r="B2874">
        <v>3</v>
      </c>
      <c r="C2874">
        <v>97.771024959999991</v>
      </c>
      <c r="D2874">
        <v>3</v>
      </c>
      <c r="E2874">
        <v>0</v>
      </c>
      <c r="F2874">
        <v>-8.2012634999681741E-2</v>
      </c>
      <c r="G2874">
        <v>-2.7799343325363695E-2</v>
      </c>
      <c r="H2874">
        <v>2.2823001148648749E-2</v>
      </c>
    </row>
    <row r="2875" spans="2:8">
      <c r="B2875">
        <v>3</v>
      </c>
      <c r="C2875">
        <v>92.23681599999999</v>
      </c>
      <c r="D2875">
        <v>3</v>
      </c>
      <c r="E2875">
        <v>0</v>
      </c>
      <c r="F2875">
        <v>-0.18795130983830294</v>
      </c>
      <c r="G2875">
        <v>-4.7054345338954418E-2</v>
      </c>
      <c r="H2875">
        <v>-0.2092631640505225</v>
      </c>
    </row>
    <row r="2876" spans="2:8">
      <c r="B2876">
        <v>3</v>
      </c>
      <c r="C2876">
        <v>49.786949491201668</v>
      </c>
      <c r="D2876">
        <v>1</v>
      </c>
      <c r="E2876">
        <v>0</v>
      </c>
      <c r="F2876">
        <v>-0.21880106674314168</v>
      </c>
      <c r="G2876">
        <v>-0.4034898057578305</v>
      </c>
      <c r="H2876">
        <v>-0.47102238978655075</v>
      </c>
    </row>
    <row r="2877" spans="2:8">
      <c r="B2877">
        <v>3</v>
      </c>
      <c r="C2877">
        <v>54.16402309333607</v>
      </c>
      <c r="D2877">
        <v>0</v>
      </c>
      <c r="E2877">
        <v>0</v>
      </c>
      <c r="F2877">
        <v>-0.34880449656678242</v>
      </c>
      <c r="G2877">
        <v>-0.30824950183720423</v>
      </c>
      <c r="H2877">
        <v>-0.42451675010692747</v>
      </c>
    </row>
    <row r="2878" spans="2:8">
      <c r="B2878">
        <v>3</v>
      </c>
      <c r="C2878">
        <v>92.23681599999999</v>
      </c>
      <c r="D2878">
        <v>3</v>
      </c>
      <c r="E2878">
        <v>0</v>
      </c>
      <c r="F2878">
        <v>-9.96500909120034E-2</v>
      </c>
      <c r="G2878">
        <v>-6.600910742888362E-2</v>
      </c>
      <c r="H2878">
        <v>-3.5697027001321012E-2</v>
      </c>
    </row>
    <row r="2879" spans="2:8">
      <c r="B2879">
        <v>3</v>
      </c>
      <c r="C2879">
        <v>45.251229533804704</v>
      </c>
      <c r="D2879">
        <v>1</v>
      </c>
      <c r="E2879">
        <v>0</v>
      </c>
      <c r="F2879">
        <v>-0.12435105506008598</v>
      </c>
      <c r="G2879">
        <v>-0.52412669893774111</v>
      </c>
      <c r="H2879">
        <v>-0.51921361917860853</v>
      </c>
    </row>
    <row r="2880" spans="2:8">
      <c r="B2880">
        <v>1</v>
      </c>
      <c r="C2880">
        <v>97.960799999999992</v>
      </c>
      <c r="D2880">
        <v>1</v>
      </c>
      <c r="E2880">
        <v>0</v>
      </c>
      <c r="F2880">
        <v>6.2936460869486455E-2</v>
      </c>
    </row>
    <row r="2881" spans="2:8">
      <c r="B2881">
        <v>1</v>
      </c>
      <c r="C2881">
        <v>102</v>
      </c>
      <c r="D2881">
        <v>1</v>
      </c>
      <c r="E2881">
        <v>0</v>
      </c>
      <c r="F2881">
        <v>-0.19572052934647219</v>
      </c>
      <c r="G2881">
        <v>-6.5460501388355144E-2</v>
      </c>
      <c r="H2881">
        <v>-0.1184979456075215</v>
      </c>
    </row>
    <row r="2882" spans="2:8">
      <c r="B2882">
        <v>1</v>
      </c>
      <c r="C2882">
        <v>97.960799999999992</v>
      </c>
      <c r="D2882">
        <v>1</v>
      </c>
      <c r="E2882">
        <v>0</v>
      </c>
      <c r="F2882">
        <v>1.2536408577792181E-2</v>
      </c>
    </row>
    <row r="2883" spans="2:8">
      <c r="B2883">
        <v>1</v>
      </c>
      <c r="C2883">
        <v>97.960799999999992</v>
      </c>
      <c r="D2883">
        <v>1</v>
      </c>
      <c r="E2883">
        <v>0</v>
      </c>
      <c r="F2883">
        <v>6.6419831414419525E-2</v>
      </c>
    </row>
    <row r="2884" spans="2:8">
      <c r="B2884">
        <v>1</v>
      </c>
      <c r="C2884">
        <v>97.960799999999992</v>
      </c>
      <c r="D2884">
        <v>1</v>
      </c>
      <c r="E2884">
        <v>0</v>
      </c>
      <c r="F2884">
        <v>2.9800694321447784E-2</v>
      </c>
    </row>
    <row r="2885" spans="2:8">
      <c r="B2885">
        <v>1</v>
      </c>
      <c r="C2885">
        <v>97.960799999999992</v>
      </c>
      <c r="D2885">
        <v>1</v>
      </c>
      <c r="E2885">
        <v>0</v>
      </c>
      <c r="F2885">
        <v>0.17346618371472586</v>
      </c>
    </row>
    <row r="2886" spans="2:8">
      <c r="B2886">
        <v>1</v>
      </c>
      <c r="C2886">
        <v>102</v>
      </c>
      <c r="D2886">
        <v>1</v>
      </c>
      <c r="E2886">
        <v>0</v>
      </c>
      <c r="F2886">
        <v>0.28556189877286436</v>
      </c>
    </row>
    <row r="2887" spans="2:8">
      <c r="B2887">
        <v>3</v>
      </c>
      <c r="C2887">
        <v>97.771024959999991</v>
      </c>
      <c r="D2887">
        <v>3</v>
      </c>
      <c r="E2887">
        <v>0</v>
      </c>
      <c r="F2887">
        <v>-0.1521576725346892</v>
      </c>
      <c r="G2887">
        <v>6.6389132137512075E-2</v>
      </c>
      <c r="H2887">
        <v>4.6223035815938507E-2</v>
      </c>
    </row>
    <row r="2888" spans="2:8">
      <c r="B2888">
        <v>1</v>
      </c>
      <c r="C2888">
        <v>97.960799999999992</v>
      </c>
      <c r="D2888">
        <v>1</v>
      </c>
      <c r="E2888">
        <v>0</v>
      </c>
      <c r="F2888">
        <v>2.1964430726436366E-2</v>
      </c>
    </row>
    <row r="2889" spans="2:8">
      <c r="B2889">
        <v>1</v>
      </c>
      <c r="C2889">
        <v>97.960799999999992</v>
      </c>
      <c r="D2889">
        <v>1</v>
      </c>
      <c r="E2889">
        <v>0</v>
      </c>
      <c r="F2889">
        <v>3.4733396027591998E-2</v>
      </c>
    </row>
    <row r="2890" spans="2:8">
      <c r="B2890">
        <v>1</v>
      </c>
      <c r="C2890">
        <v>102</v>
      </c>
      <c r="D2890">
        <v>1</v>
      </c>
      <c r="E2890">
        <v>0</v>
      </c>
      <c r="F2890">
        <v>0.14287172736563208</v>
      </c>
    </row>
    <row r="2891" spans="2:8">
      <c r="B2891">
        <v>3</v>
      </c>
      <c r="C2891">
        <v>92.23681599999999</v>
      </c>
      <c r="D2891">
        <v>2</v>
      </c>
      <c r="E2891">
        <v>0</v>
      </c>
      <c r="F2891">
        <v>-0.27872306347569226</v>
      </c>
      <c r="G2891">
        <v>-0.2149022901364607</v>
      </c>
      <c r="H2891">
        <v>-0.31131613469989594</v>
      </c>
    </row>
    <row r="2892" spans="2:8">
      <c r="B2892">
        <v>1</v>
      </c>
      <c r="C2892">
        <v>97.960799999999992</v>
      </c>
      <c r="D2892">
        <v>1</v>
      </c>
      <c r="E2892">
        <v>0</v>
      </c>
      <c r="F2892">
        <v>0.27172736083811005</v>
      </c>
    </row>
    <row r="2893" spans="2:8">
      <c r="B2893">
        <v>1</v>
      </c>
      <c r="C2893">
        <v>102</v>
      </c>
      <c r="D2893">
        <v>1</v>
      </c>
      <c r="E2893">
        <v>0</v>
      </c>
      <c r="F2893">
        <v>-3.4689055021789303E-2</v>
      </c>
      <c r="G2893">
        <v>-0.20418405702762918</v>
      </c>
      <c r="H2893">
        <v>-8.5265159931039627E-2</v>
      </c>
    </row>
    <row r="2894" spans="2:8">
      <c r="B2894">
        <v>1</v>
      </c>
      <c r="C2894">
        <v>102</v>
      </c>
      <c r="D2894">
        <v>1</v>
      </c>
      <c r="E2894">
        <v>0</v>
      </c>
      <c r="F2894">
        <v>0.11073377190799732</v>
      </c>
    </row>
    <row r="2895" spans="2:8">
      <c r="B2895">
        <v>1</v>
      </c>
      <c r="C2895">
        <v>102</v>
      </c>
      <c r="D2895">
        <v>1</v>
      </c>
      <c r="E2895">
        <v>0</v>
      </c>
      <c r="F2895">
        <v>-0.18336851848012536</v>
      </c>
      <c r="G2895">
        <v>-3.5544524715227205E-2</v>
      </c>
      <c r="H2895">
        <v>-8.0010615234037658E-2</v>
      </c>
    </row>
    <row r="2896" spans="2:8">
      <c r="B2896">
        <v>3</v>
      </c>
      <c r="C2896">
        <v>97.771024959999991</v>
      </c>
      <c r="D2896">
        <v>3</v>
      </c>
      <c r="E2896">
        <v>0</v>
      </c>
      <c r="F2896">
        <v>-1.4572259695250262E-2</v>
      </c>
      <c r="G2896">
        <v>-5.9333719929586283E-3</v>
      </c>
      <c r="H2896">
        <v>0.15358472973074228</v>
      </c>
    </row>
    <row r="2897" spans="2:8">
      <c r="B2897">
        <v>1</v>
      </c>
      <c r="C2897">
        <v>97.960799999999992</v>
      </c>
      <c r="D2897">
        <v>1</v>
      </c>
      <c r="E2897">
        <v>0</v>
      </c>
      <c r="F2897">
        <v>0.23511160630687472</v>
      </c>
    </row>
    <row r="2898" spans="2:8">
      <c r="B2898">
        <v>1</v>
      </c>
      <c r="C2898">
        <v>97.960799999999992</v>
      </c>
      <c r="D2898">
        <v>1</v>
      </c>
      <c r="E2898">
        <v>0</v>
      </c>
      <c r="F2898">
        <v>0.11629946959140557</v>
      </c>
    </row>
    <row r="2899" spans="2:8">
      <c r="B2899">
        <v>1</v>
      </c>
      <c r="C2899">
        <v>97.960799999999992</v>
      </c>
      <c r="D2899">
        <v>1</v>
      </c>
      <c r="E2899">
        <v>0</v>
      </c>
      <c r="F2899">
        <v>9.6546579994948051E-3</v>
      </c>
    </row>
    <row r="2900" spans="2:8">
      <c r="B2900">
        <v>3</v>
      </c>
      <c r="C2900">
        <v>92.23681599999999</v>
      </c>
      <c r="D2900">
        <v>3</v>
      </c>
      <c r="E2900">
        <v>0</v>
      </c>
      <c r="F2900">
        <v>-0.15540707349376834</v>
      </c>
      <c r="G2900">
        <v>-0.17533594759208698</v>
      </c>
      <c r="H2900">
        <v>-0.19821460622419632</v>
      </c>
    </row>
    <row r="2901" spans="2:8">
      <c r="B2901">
        <v>3</v>
      </c>
      <c r="C2901">
        <v>92.23681599999999</v>
      </c>
      <c r="D2901">
        <v>2</v>
      </c>
      <c r="E2901">
        <v>0</v>
      </c>
      <c r="F2901">
        <v>-7.9310131007300222E-2</v>
      </c>
      <c r="G2901">
        <v>-0.31853928595430353</v>
      </c>
      <c r="H2901">
        <v>-0.2646162663558122</v>
      </c>
    </row>
    <row r="2902" spans="2:8">
      <c r="B2902">
        <v>3</v>
      </c>
      <c r="C2902">
        <v>92.23681599999999</v>
      </c>
      <c r="D2902">
        <v>3</v>
      </c>
      <c r="E2902">
        <v>0</v>
      </c>
      <c r="F2902">
        <v>-7.4975859537019116E-2</v>
      </c>
      <c r="G2902">
        <v>-0.12778097013764619</v>
      </c>
      <c r="H2902">
        <v>-6.8447510634306957E-2</v>
      </c>
    </row>
    <row r="2903" spans="2:8">
      <c r="B2903">
        <v>3</v>
      </c>
      <c r="C2903">
        <v>92.23681599999999</v>
      </c>
      <c r="D2903">
        <v>1</v>
      </c>
      <c r="E2903">
        <v>0</v>
      </c>
      <c r="F2903">
        <v>-8.8040966443234975E-2</v>
      </c>
      <c r="G2903">
        <v>-0.34534915744648753</v>
      </c>
      <c r="H2903">
        <v>-0.30189989911191556</v>
      </c>
    </row>
    <row r="2904" spans="2:8">
      <c r="B2904">
        <v>3</v>
      </c>
      <c r="C2904">
        <v>97.771024959999991</v>
      </c>
      <c r="D2904">
        <v>3</v>
      </c>
      <c r="E2904">
        <v>0</v>
      </c>
      <c r="F2904">
        <v>-4.9200664224469809E-2</v>
      </c>
      <c r="G2904">
        <v>-7.619242222351294E-2</v>
      </c>
      <c r="H2904">
        <v>1.8906272393432077E-2</v>
      </c>
    </row>
    <row r="2905" spans="2:8">
      <c r="B2905">
        <v>3</v>
      </c>
      <c r="C2905">
        <v>92.23681599999999</v>
      </c>
      <c r="D2905">
        <v>3</v>
      </c>
      <c r="E2905">
        <v>0</v>
      </c>
      <c r="F2905">
        <v>-0.1760734413066046</v>
      </c>
      <c r="G2905">
        <v>-1.599411550875901E-2</v>
      </c>
      <c r="H2905">
        <v>-0.1676096553047817</v>
      </c>
    </row>
    <row r="2906" spans="2:8">
      <c r="B2906">
        <v>3</v>
      </c>
      <c r="C2906">
        <v>38.542943450192915</v>
      </c>
      <c r="D2906">
        <v>1</v>
      </c>
      <c r="E2906">
        <v>0</v>
      </c>
      <c r="F2906">
        <v>-0.2717228481769759</v>
      </c>
      <c r="G2906">
        <v>-0.49683050782018512</v>
      </c>
      <c r="H2906">
        <v>-0.59048798278998416</v>
      </c>
    </row>
    <row r="2907" spans="2:8">
      <c r="B2907">
        <v>3</v>
      </c>
      <c r="C2907">
        <v>92.23681599999999</v>
      </c>
      <c r="D2907">
        <v>3</v>
      </c>
      <c r="E2907">
        <v>0</v>
      </c>
      <c r="F2907">
        <v>-0.17390079332793765</v>
      </c>
      <c r="G2907">
        <v>-9.8274232266812398E-3</v>
      </c>
      <c r="H2907">
        <v>-4.7328942020745009E-2</v>
      </c>
    </row>
    <row r="2908" spans="2:8">
      <c r="B2908">
        <v>1</v>
      </c>
      <c r="C2908">
        <v>97.960799999999992</v>
      </c>
      <c r="D2908">
        <v>1</v>
      </c>
      <c r="E2908">
        <v>0</v>
      </c>
      <c r="F2908">
        <v>8.6471886773047388E-2</v>
      </c>
    </row>
    <row r="2909" spans="2:8">
      <c r="B2909">
        <v>3</v>
      </c>
      <c r="C2909">
        <v>92.23681599999999</v>
      </c>
      <c r="D2909">
        <v>1</v>
      </c>
      <c r="E2909">
        <v>0</v>
      </c>
      <c r="F2909">
        <v>-0.30485357557888559</v>
      </c>
      <c r="G2909">
        <v>-0.25193589781421227</v>
      </c>
      <c r="H2909">
        <v>-0.35731620252002455</v>
      </c>
    </row>
    <row r="2910" spans="2:8">
      <c r="B2910">
        <v>3</v>
      </c>
      <c r="C2910">
        <v>28.31948608497953</v>
      </c>
      <c r="D2910">
        <v>0</v>
      </c>
      <c r="E2910">
        <v>0</v>
      </c>
      <c r="F2910">
        <v>-0.32776832910542575</v>
      </c>
      <c r="G2910">
        <v>-0.58745298515309385</v>
      </c>
      <c r="H2910">
        <v>-0.69911042502507958</v>
      </c>
    </row>
    <row r="2911" spans="2:8">
      <c r="B2911">
        <v>3</v>
      </c>
      <c r="C2911">
        <v>53.712234784567698</v>
      </c>
      <c r="D2911">
        <v>1</v>
      </c>
      <c r="E2911">
        <v>0</v>
      </c>
      <c r="F2911">
        <v>-0.11325135081328484</v>
      </c>
      <c r="G2911">
        <v>-0.44524654575851214</v>
      </c>
      <c r="H2911">
        <v>-0.42931692168476032</v>
      </c>
    </row>
    <row r="2912" spans="2:8">
      <c r="B2912">
        <v>3</v>
      </c>
      <c r="C2912">
        <v>92.23681599999999</v>
      </c>
      <c r="D2912">
        <v>3</v>
      </c>
      <c r="E2912">
        <v>0</v>
      </c>
      <c r="F2912">
        <v>-8.3664021684692821E-2</v>
      </c>
      <c r="G2912">
        <v>-0.14504110428178743</v>
      </c>
      <c r="H2912">
        <v>-9.6409253653884128E-2</v>
      </c>
    </row>
    <row r="2913" spans="2:8">
      <c r="B2913">
        <v>1</v>
      </c>
      <c r="C2913">
        <v>102</v>
      </c>
      <c r="D2913">
        <v>1</v>
      </c>
      <c r="E2913">
        <v>0</v>
      </c>
      <c r="F2913">
        <v>-6.2057856297530099E-2</v>
      </c>
      <c r="G2913">
        <v>-0.27089248608141436</v>
      </c>
      <c r="H2913">
        <v>-0.1944842179146016</v>
      </c>
    </row>
    <row r="2914" spans="2:8">
      <c r="B2914">
        <v>1</v>
      </c>
      <c r="C2914">
        <v>102</v>
      </c>
      <c r="D2914">
        <v>1</v>
      </c>
      <c r="E2914">
        <v>0</v>
      </c>
      <c r="F2914">
        <v>-0.12911910866637039</v>
      </c>
      <c r="G2914">
        <v>-0.23425420096755112</v>
      </c>
      <c r="H2914">
        <v>-0.23388916360075307</v>
      </c>
    </row>
    <row r="2915" spans="2:8">
      <c r="B2915">
        <v>1</v>
      </c>
      <c r="C2915">
        <v>97.960799999999992</v>
      </c>
      <c r="D2915">
        <v>1</v>
      </c>
      <c r="E2915">
        <v>0</v>
      </c>
      <c r="F2915">
        <v>8.0320771005061048E-2</v>
      </c>
    </row>
    <row r="2916" spans="2:8">
      <c r="B2916">
        <v>3</v>
      </c>
      <c r="C2916">
        <v>51.893141534125064</v>
      </c>
      <c r="D2916">
        <v>1</v>
      </c>
      <c r="E2916">
        <v>0</v>
      </c>
      <c r="F2916">
        <v>-0.26765361277760913</v>
      </c>
      <c r="G2916">
        <v>-0.35666115626333417</v>
      </c>
      <c r="H2916">
        <v>-0.44864446856618984</v>
      </c>
    </row>
    <row r="2917" spans="2:8">
      <c r="B2917">
        <v>1</v>
      </c>
      <c r="C2917">
        <v>97.960799999999992</v>
      </c>
      <c r="D2917">
        <v>1</v>
      </c>
      <c r="E2917">
        <v>0</v>
      </c>
      <c r="F2917">
        <v>0.20542617480518108</v>
      </c>
    </row>
    <row r="2918" spans="2:8">
      <c r="B2918">
        <v>1</v>
      </c>
      <c r="C2918">
        <v>97.960799999999992</v>
      </c>
      <c r="D2918">
        <v>1</v>
      </c>
      <c r="E2918">
        <v>0</v>
      </c>
      <c r="F2918">
        <v>5.0580039071348171E-3</v>
      </c>
    </row>
    <row r="2919" spans="2:8">
      <c r="B2919">
        <v>3</v>
      </c>
      <c r="C2919">
        <v>97.771024959999991</v>
      </c>
      <c r="D2919">
        <v>3</v>
      </c>
      <c r="E2919">
        <v>0</v>
      </c>
      <c r="F2919">
        <v>-0.14007217592918292</v>
      </c>
      <c r="G2919">
        <v>0.13715349942216729</v>
      </c>
      <c r="H2919">
        <v>0.12746720820005691</v>
      </c>
    </row>
    <row r="2920" spans="2:8">
      <c r="B2920">
        <v>3</v>
      </c>
      <c r="C2920">
        <v>92.23681599999999</v>
      </c>
      <c r="D2920">
        <v>3</v>
      </c>
      <c r="E2920">
        <v>0</v>
      </c>
      <c r="F2920">
        <v>-0.11964580839820853</v>
      </c>
      <c r="G2920">
        <v>-0.21581853408337548</v>
      </c>
      <c r="H2920">
        <v>-0.206310369295618</v>
      </c>
    </row>
    <row r="2921" spans="2:8">
      <c r="B2921">
        <v>1</v>
      </c>
      <c r="C2921">
        <v>102</v>
      </c>
      <c r="D2921">
        <v>1</v>
      </c>
      <c r="E2921">
        <v>0</v>
      </c>
      <c r="F2921">
        <v>4.6821654137251742E-2</v>
      </c>
    </row>
    <row r="2922" spans="2:8">
      <c r="B2922">
        <v>3</v>
      </c>
      <c r="C2922">
        <v>92.23681599999999</v>
      </c>
      <c r="D2922">
        <v>3</v>
      </c>
      <c r="E2922">
        <v>0</v>
      </c>
      <c r="F2922">
        <v>-0.14508833741885413</v>
      </c>
      <c r="G2922">
        <v>-0.15621406246873668</v>
      </c>
      <c r="H2922">
        <v>-0.17032592028805671</v>
      </c>
    </row>
    <row r="2923" spans="2:8">
      <c r="B2923">
        <v>3</v>
      </c>
      <c r="C2923">
        <v>92.23681599999999</v>
      </c>
      <c r="D2923">
        <v>1</v>
      </c>
      <c r="E2923">
        <v>0</v>
      </c>
      <c r="F2923">
        <v>-0.10585281213527756</v>
      </c>
      <c r="G2923">
        <v>-0.41037276124214711</v>
      </c>
      <c r="H2923">
        <v>-0.38674674625752614</v>
      </c>
    </row>
    <row r="2924" spans="2:8">
      <c r="B2924">
        <v>1</v>
      </c>
      <c r="C2924">
        <v>97.960799999999992</v>
      </c>
      <c r="D2924">
        <v>1</v>
      </c>
      <c r="E2924">
        <v>0</v>
      </c>
      <c r="F2924">
        <v>3.3297774636286059E-3</v>
      </c>
    </row>
    <row r="2925" spans="2:8">
      <c r="B2925">
        <v>1</v>
      </c>
      <c r="C2925">
        <v>97.960799999999992</v>
      </c>
      <c r="D2925">
        <v>1</v>
      </c>
      <c r="E2925">
        <v>0</v>
      </c>
      <c r="F2925">
        <v>0.10367509571441212</v>
      </c>
    </row>
    <row r="2926" spans="2:8">
      <c r="B2926">
        <v>3</v>
      </c>
      <c r="C2926">
        <v>92.23681599999999</v>
      </c>
      <c r="D2926">
        <v>3</v>
      </c>
      <c r="E2926">
        <v>0</v>
      </c>
      <c r="F2926">
        <v>-0.166172014716961</v>
      </c>
      <c r="G2926">
        <v>-0.19480586607832484</v>
      </c>
      <c r="H2926">
        <v>-0.22636263444583463</v>
      </c>
    </row>
    <row r="2927" spans="2:8">
      <c r="B2927">
        <v>1</v>
      </c>
      <c r="C2927">
        <v>102</v>
      </c>
      <c r="D2927">
        <v>1</v>
      </c>
      <c r="E2927">
        <v>0</v>
      </c>
      <c r="F2927">
        <v>-5.3484806597154551E-2</v>
      </c>
      <c r="G2927">
        <v>-0.24906146056211617</v>
      </c>
      <c r="H2927">
        <v>-0.16040656264051964</v>
      </c>
    </row>
    <row r="2928" spans="2:8">
      <c r="B2928">
        <v>1</v>
      </c>
      <c r="C2928">
        <v>102</v>
      </c>
      <c r="D2928">
        <v>1</v>
      </c>
      <c r="E2928">
        <v>0</v>
      </c>
      <c r="F2928">
        <v>-0.15942676517883417</v>
      </c>
      <c r="G2928">
        <v>-0.29261048762547809</v>
      </c>
      <c r="H2928">
        <v>-0.42909565665948551</v>
      </c>
    </row>
    <row r="2929" spans="2:8">
      <c r="B2929">
        <v>1</v>
      </c>
      <c r="C2929">
        <v>97.960799999999992</v>
      </c>
      <c r="D2929">
        <v>1</v>
      </c>
      <c r="E2929">
        <v>0</v>
      </c>
      <c r="F2929">
        <v>0.31591568883789584</v>
      </c>
    </row>
    <row r="2930" spans="2:8">
      <c r="B2930">
        <v>1</v>
      </c>
      <c r="C2930">
        <v>102</v>
      </c>
      <c r="D2930">
        <v>1</v>
      </c>
      <c r="E2930">
        <v>0</v>
      </c>
      <c r="F2930">
        <v>-4.7577726851584769E-2</v>
      </c>
      <c r="G2930">
        <v>5.4584616970691682E-2</v>
      </c>
      <c r="H2930">
        <v>0.15218703603765354</v>
      </c>
    </row>
    <row r="2931" spans="2:8">
      <c r="B2931">
        <v>1</v>
      </c>
      <c r="C2931">
        <v>97.960799999999992</v>
      </c>
      <c r="D2931">
        <v>1</v>
      </c>
      <c r="E2931">
        <v>0</v>
      </c>
      <c r="F2931">
        <v>0.19963630312174377</v>
      </c>
    </row>
    <row r="2932" spans="2:8">
      <c r="B2932">
        <v>1</v>
      </c>
      <c r="C2932">
        <v>102</v>
      </c>
      <c r="D2932">
        <v>1</v>
      </c>
      <c r="E2932">
        <v>0</v>
      </c>
      <c r="F2932">
        <v>0.17067856711121504</v>
      </c>
    </row>
    <row r="2933" spans="2:8">
      <c r="B2933">
        <v>3</v>
      </c>
      <c r="C2933">
        <v>92.23681599999999</v>
      </c>
      <c r="D2933">
        <v>3</v>
      </c>
      <c r="E2933">
        <v>0</v>
      </c>
      <c r="F2933">
        <v>-6.9026189947287625E-2</v>
      </c>
      <c r="G2933">
        <v>-0.28945156002742412</v>
      </c>
      <c r="H2933">
        <v>-0.22244069147138273</v>
      </c>
    </row>
    <row r="2934" spans="2:8">
      <c r="B2934">
        <v>3</v>
      </c>
      <c r="C2934">
        <v>29.515425700897445</v>
      </c>
      <c r="D2934">
        <v>1</v>
      </c>
      <c r="E2934">
        <v>0</v>
      </c>
      <c r="F2934">
        <v>-0.25519085113834827</v>
      </c>
      <c r="G2934">
        <v>-0.46836760752424034</v>
      </c>
      <c r="H2934">
        <v>-0.6864037762656563</v>
      </c>
    </row>
    <row r="2935" spans="2:8">
      <c r="B2935">
        <v>3</v>
      </c>
      <c r="C2935">
        <v>92.23681599999999</v>
      </c>
      <c r="D2935">
        <v>2</v>
      </c>
      <c r="E2935">
        <v>0</v>
      </c>
      <c r="F2935">
        <v>-7.7666572366796513E-2</v>
      </c>
      <c r="G2935">
        <v>-0.31373140466078897</v>
      </c>
      <c r="H2935">
        <v>-0.25777404549028493</v>
      </c>
    </row>
    <row r="2936" spans="2:8">
      <c r="B2936">
        <v>3</v>
      </c>
      <c r="C2936">
        <v>41.265579199978141</v>
      </c>
      <c r="D2936">
        <v>1</v>
      </c>
      <c r="E2936">
        <v>0</v>
      </c>
      <c r="F2936">
        <v>-0.20732407575658493</v>
      </c>
      <c r="G2936">
        <v>-0.38248452158564122</v>
      </c>
      <c r="H2936">
        <v>-0.56156045525272058</v>
      </c>
    </row>
    <row r="2937" spans="2:8">
      <c r="B2937">
        <v>3</v>
      </c>
      <c r="C2937">
        <v>92.23681599999999</v>
      </c>
      <c r="D2937">
        <v>3</v>
      </c>
      <c r="E2937">
        <v>0</v>
      </c>
      <c r="F2937">
        <v>-0.16277493382898212</v>
      </c>
      <c r="G2937">
        <v>2.5063268094243453E-2</v>
      </c>
      <c r="H2937">
        <v>-3.8055338781024612E-3</v>
      </c>
    </row>
    <row r="2938" spans="2:8">
      <c r="B2938">
        <v>1</v>
      </c>
      <c r="C2938">
        <v>97.960799999999992</v>
      </c>
      <c r="D2938">
        <v>1</v>
      </c>
      <c r="E2938">
        <v>0</v>
      </c>
      <c r="F2938">
        <v>5.2073994043318139E-2</v>
      </c>
    </row>
    <row r="2939" spans="2:8">
      <c r="B2939">
        <v>3</v>
      </c>
      <c r="C2939">
        <v>97.771024959999991</v>
      </c>
      <c r="D2939">
        <v>3</v>
      </c>
      <c r="E2939">
        <v>0</v>
      </c>
      <c r="F2939">
        <v>-0.16072840531551638</v>
      </c>
      <c r="G2939">
        <v>3.2255537768410197E-2</v>
      </c>
      <c r="H2939">
        <v>5.0284556077032508E-3</v>
      </c>
    </row>
    <row r="2940" spans="2:8">
      <c r="B2940">
        <v>1</v>
      </c>
      <c r="C2940">
        <v>102</v>
      </c>
      <c r="D2940">
        <v>1</v>
      </c>
      <c r="E2940">
        <v>0</v>
      </c>
      <c r="F2940">
        <v>-6.6352934819965098E-2</v>
      </c>
      <c r="G2940">
        <v>-0.11058637532502277</v>
      </c>
      <c r="H2940">
        <v>-4.0024732837787652E-2</v>
      </c>
    </row>
    <row r="2941" spans="2:8">
      <c r="B2941">
        <v>3</v>
      </c>
      <c r="C2941">
        <v>52.649834110795268</v>
      </c>
      <c r="D2941">
        <v>1</v>
      </c>
      <c r="E2941">
        <v>0</v>
      </c>
      <c r="F2941">
        <v>-0.11499776673831542</v>
      </c>
      <c r="G2941">
        <v>-0.45475989241362569</v>
      </c>
      <c r="H2941">
        <v>-0.44060474259454746</v>
      </c>
    </row>
    <row r="2942" spans="2:8">
      <c r="B2942">
        <v>1</v>
      </c>
      <c r="C2942">
        <v>102</v>
      </c>
      <c r="D2942">
        <v>1</v>
      </c>
      <c r="E2942">
        <v>0</v>
      </c>
      <c r="F2942">
        <v>3.1659293499281808E-2</v>
      </c>
    </row>
    <row r="2943" spans="2:8">
      <c r="B2943">
        <v>1</v>
      </c>
      <c r="C2943">
        <v>102</v>
      </c>
      <c r="D2943">
        <v>1</v>
      </c>
      <c r="E2943">
        <v>0</v>
      </c>
      <c r="F2943">
        <v>6.1685433547930893E-3</v>
      </c>
    </row>
    <row r="2944" spans="2:8">
      <c r="B2944">
        <v>1</v>
      </c>
      <c r="C2944">
        <v>102</v>
      </c>
      <c r="D2944">
        <v>1</v>
      </c>
      <c r="E2944">
        <v>0</v>
      </c>
      <c r="F2944">
        <v>-0.27593890413141031</v>
      </c>
      <c r="G2944">
        <v>-0.50397457702304205</v>
      </c>
      <c r="H2944">
        <v>-0.7373841986076819</v>
      </c>
    </row>
    <row r="2945" spans="2:8">
      <c r="B2945">
        <v>3</v>
      </c>
      <c r="C2945">
        <v>92.23681599999999</v>
      </c>
      <c r="D2945">
        <v>3</v>
      </c>
      <c r="E2945">
        <v>0</v>
      </c>
      <c r="F2945">
        <v>-5.1862458140318042E-2</v>
      </c>
      <c r="G2945">
        <v>-0.24503806197937764</v>
      </c>
      <c r="H2945">
        <v>-0.15397028572028859</v>
      </c>
    </row>
    <row r="2946" spans="2:8">
      <c r="B2946">
        <v>1</v>
      </c>
      <c r="C2946">
        <v>97.960799999999992</v>
      </c>
      <c r="D2946">
        <v>1</v>
      </c>
      <c r="E2946">
        <v>0</v>
      </c>
      <c r="F2946">
        <v>0.25996316906334932</v>
      </c>
    </row>
    <row r="2947" spans="2:8">
      <c r="B2947">
        <v>1</v>
      </c>
      <c r="C2947">
        <v>97.960799999999992</v>
      </c>
      <c r="D2947">
        <v>1</v>
      </c>
      <c r="E2947">
        <v>0</v>
      </c>
      <c r="F2947">
        <v>9.5306888245736729E-2</v>
      </c>
    </row>
    <row r="2948" spans="2:8">
      <c r="B2948">
        <v>1</v>
      </c>
      <c r="C2948">
        <v>102</v>
      </c>
      <c r="D2948">
        <v>1</v>
      </c>
      <c r="E2948">
        <v>0</v>
      </c>
      <c r="F2948">
        <v>5.4092648252245336E-2</v>
      </c>
    </row>
    <row r="2949" spans="2:8">
      <c r="B2949">
        <v>1</v>
      </c>
      <c r="C2949">
        <v>102</v>
      </c>
      <c r="D2949">
        <v>1</v>
      </c>
      <c r="E2949">
        <v>0</v>
      </c>
      <c r="F2949">
        <v>0.25323241604636132</v>
      </c>
    </row>
    <row r="2950" spans="2:8">
      <c r="B2950">
        <v>1</v>
      </c>
      <c r="C2950">
        <v>102</v>
      </c>
      <c r="D2950">
        <v>1</v>
      </c>
      <c r="E2950">
        <v>0</v>
      </c>
      <c r="F2950">
        <v>-0.13699870133181932</v>
      </c>
      <c r="G2950">
        <v>-0.24952052815246936</v>
      </c>
      <c r="H2950">
        <v>-0.25644080936724128</v>
      </c>
    </row>
    <row r="2951" spans="2:8">
      <c r="B2951">
        <v>3</v>
      </c>
      <c r="C2951">
        <v>92.23681599999999</v>
      </c>
      <c r="D2951">
        <v>3</v>
      </c>
      <c r="E2951">
        <v>0</v>
      </c>
      <c r="F2951">
        <v>-1.8965644672302991E-2</v>
      </c>
      <c r="G2951">
        <v>-0.1690464553719615</v>
      </c>
      <c r="H2951">
        <v>-1.9440498642570071E-2</v>
      </c>
    </row>
    <row r="2952" spans="2:8">
      <c r="B2952">
        <v>1</v>
      </c>
      <c r="C2952">
        <v>97.960799999999992</v>
      </c>
      <c r="D2952">
        <v>1</v>
      </c>
      <c r="E2952">
        <v>0</v>
      </c>
      <c r="F2952">
        <v>0.37191023028088194</v>
      </c>
    </row>
    <row r="2953" spans="2:8">
      <c r="B2953">
        <v>1</v>
      </c>
      <c r="C2953">
        <v>102</v>
      </c>
      <c r="D2953">
        <v>1</v>
      </c>
      <c r="E2953">
        <v>0</v>
      </c>
      <c r="F2953">
        <v>5.9507057851274768E-2</v>
      </c>
    </row>
    <row r="2954" spans="2:8">
      <c r="B2954">
        <v>1</v>
      </c>
      <c r="C2954">
        <v>102</v>
      </c>
      <c r="D2954">
        <v>1</v>
      </c>
      <c r="E2954">
        <v>0</v>
      </c>
      <c r="F2954">
        <v>0.1960945187869248</v>
      </c>
    </row>
    <row r="2955" spans="2:8">
      <c r="B2955">
        <v>3</v>
      </c>
      <c r="C2955">
        <v>92.23681599999999</v>
      </c>
      <c r="D2955">
        <v>1</v>
      </c>
      <c r="E2955">
        <v>0</v>
      </c>
      <c r="F2955">
        <v>-9.5195437485632736E-2</v>
      </c>
      <c r="G2955">
        <v>-0.36934925848267119</v>
      </c>
      <c r="H2955">
        <v>-0.33409600199297618</v>
      </c>
    </row>
    <row r="2956" spans="2:8">
      <c r="B2956">
        <v>1</v>
      </c>
      <c r="C2956">
        <v>102</v>
      </c>
      <c r="D2956">
        <v>1</v>
      </c>
      <c r="E2956">
        <v>0</v>
      </c>
      <c r="F2956">
        <v>-0.13886837575261762</v>
      </c>
      <c r="G2956">
        <v>-0.253133576053513</v>
      </c>
      <c r="H2956">
        <v>-0.26174146662739012</v>
      </c>
    </row>
    <row r="2957" spans="2:8">
      <c r="B2957">
        <v>1</v>
      </c>
      <c r="C2957">
        <v>97.960799999999992</v>
      </c>
      <c r="D2957">
        <v>1</v>
      </c>
      <c r="E2957">
        <v>0</v>
      </c>
      <c r="F2957">
        <v>0.1210223467111107</v>
      </c>
    </row>
    <row r="2958" spans="2:8">
      <c r="B2958">
        <v>1</v>
      </c>
      <c r="C2958">
        <v>97.960799999999992</v>
      </c>
      <c r="D2958">
        <v>1</v>
      </c>
      <c r="E2958">
        <v>0</v>
      </c>
      <c r="F2958">
        <v>0.14990836628833193</v>
      </c>
    </row>
    <row r="2959" spans="2:8">
      <c r="B2959">
        <v>3</v>
      </c>
      <c r="C2959">
        <v>92.23681599999999</v>
      </c>
      <c r="D2959">
        <v>3</v>
      </c>
      <c r="E2959">
        <v>0</v>
      </c>
      <c r="F2959">
        <v>-4.32893183356165E-2</v>
      </c>
      <c r="G2959">
        <v>-0.22427308832390982</v>
      </c>
      <c r="H2959">
        <v>-0.11987516285732984</v>
      </c>
    </row>
    <row r="2960" spans="2:8">
      <c r="B2960">
        <v>1</v>
      </c>
      <c r="C2960">
        <v>102</v>
      </c>
      <c r="D2960">
        <v>1</v>
      </c>
      <c r="E2960">
        <v>0</v>
      </c>
      <c r="F2960">
        <v>0.16238370716244729</v>
      </c>
    </row>
    <row r="2961" spans="2:8">
      <c r="B2961">
        <v>3</v>
      </c>
      <c r="C2961">
        <v>47.79249101768162</v>
      </c>
      <c r="D2961">
        <v>0</v>
      </c>
      <c r="E2961">
        <v>0</v>
      </c>
      <c r="F2961">
        <v>-0.40079765805553103</v>
      </c>
      <c r="G2961">
        <v>-0.36835630787459106</v>
      </c>
      <c r="H2961">
        <v>-0.49221316141996929</v>
      </c>
    </row>
    <row r="2962" spans="2:8">
      <c r="B2962">
        <v>3</v>
      </c>
      <c r="C2962">
        <v>53.017485353914545</v>
      </c>
      <c r="D2962">
        <v>1</v>
      </c>
      <c r="E2962">
        <v>0</v>
      </c>
      <c r="F2962">
        <v>-0.20475611212201042</v>
      </c>
      <c r="G2962">
        <v>-0.37775328140550812</v>
      </c>
      <c r="H2962">
        <v>-0.43669851258920023</v>
      </c>
    </row>
    <row r="2963" spans="2:8">
      <c r="B2963">
        <v>1</v>
      </c>
      <c r="C2963">
        <v>97.960799999999992</v>
      </c>
      <c r="D2963">
        <v>1</v>
      </c>
      <c r="E2963">
        <v>0</v>
      </c>
      <c r="F2963">
        <v>0.2436972770907406</v>
      </c>
    </row>
    <row r="2964" spans="2:8">
      <c r="B2964">
        <v>3</v>
      </c>
      <c r="C2964">
        <v>97.771024959999991</v>
      </c>
      <c r="D2964">
        <v>3</v>
      </c>
      <c r="E2964">
        <v>0</v>
      </c>
      <c r="F2964">
        <v>-2.1682245172402567E-2</v>
      </c>
      <c r="G2964">
        <v>0.12844151176683286</v>
      </c>
      <c r="H2964">
        <v>0.27226092509624189</v>
      </c>
    </row>
    <row r="2965" spans="2:8">
      <c r="B2965">
        <v>1</v>
      </c>
      <c r="C2965">
        <v>97.960799999999992</v>
      </c>
      <c r="D2965">
        <v>1</v>
      </c>
      <c r="E2965">
        <v>0</v>
      </c>
      <c r="F2965">
        <v>5.5394649232385171E-2</v>
      </c>
    </row>
    <row r="2966" spans="2:8">
      <c r="B2966">
        <v>1</v>
      </c>
      <c r="C2966">
        <v>97.960799999999992</v>
      </c>
      <c r="D2966">
        <v>1</v>
      </c>
      <c r="E2966">
        <v>0</v>
      </c>
      <c r="F2966">
        <v>6.0839837910115928E-2</v>
      </c>
    </row>
    <row r="2967" spans="2:8">
      <c r="B2967">
        <v>1</v>
      </c>
      <c r="C2967">
        <v>97.960799999999992</v>
      </c>
      <c r="D2967">
        <v>1</v>
      </c>
      <c r="E2967">
        <v>0</v>
      </c>
      <c r="F2967">
        <v>4.4860507110851121E-2</v>
      </c>
    </row>
    <row r="2968" spans="2:8">
      <c r="B2968">
        <v>1</v>
      </c>
      <c r="C2968">
        <v>102</v>
      </c>
      <c r="D2968">
        <v>1</v>
      </c>
      <c r="E2968">
        <v>0</v>
      </c>
      <c r="F2968">
        <v>9.6908361882757491E-2</v>
      </c>
    </row>
    <row r="2969" spans="2:8">
      <c r="B2969">
        <v>3</v>
      </c>
      <c r="C2969">
        <v>97.771024959999991</v>
      </c>
      <c r="D2969">
        <v>3</v>
      </c>
      <c r="E2969">
        <v>0</v>
      </c>
      <c r="F2969">
        <v>-0.15019700647099532</v>
      </c>
      <c r="G2969">
        <v>7.5438625273055185E-2</v>
      </c>
      <c r="H2969">
        <v>5.693053326490579E-2</v>
      </c>
    </row>
    <row r="2970" spans="2:8">
      <c r="B2970">
        <v>3</v>
      </c>
      <c r="C2970">
        <v>92.23681599999999</v>
      </c>
      <c r="D2970">
        <v>3</v>
      </c>
      <c r="E2970">
        <v>0</v>
      </c>
      <c r="F2970">
        <v>-9.2444524353554186E-2</v>
      </c>
      <c r="G2970">
        <v>-0.16241857507361901</v>
      </c>
      <c r="H2970">
        <v>-0.1240529283193261</v>
      </c>
    </row>
    <row r="2971" spans="2:8">
      <c r="B2971">
        <v>3</v>
      </c>
      <c r="C2971">
        <v>92.23681599999999</v>
      </c>
      <c r="D2971">
        <v>3</v>
      </c>
      <c r="E2971">
        <v>0</v>
      </c>
      <c r="F2971">
        <v>-3.6320799321834012E-2</v>
      </c>
      <c r="G2971">
        <v>-0.20794379035109309</v>
      </c>
      <c r="H2971">
        <v>-9.188136912606619E-2</v>
      </c>
    </row>
    <row r="2972" spans="2:8">
      <c r="B2972">
        <v>3</v>
      </c>
      <c r="C2972">
        <v>33.786569646479172</v>
      </c>
      <c r="D2972">
        <v>1</v>
      </c>
      <c r="E2972">
        <v>0</v>
      </c>
      <c r="F2972">
        <v>-0.23738176099037128</v>
      </c>
      <c r="G2972">
        <v>-0.43696875928356854</v>
      </c>
      <c r="H2972">
        <v>-0.6410236206164186</v>
      </c>
    </row>
    <row r="2973" spans="2:8">
      <c r="B2973">
        <v>3</v>
      </c>
      <c r="C2973">
        <v>92.23681599999999</v>
      </c>
      <c r="D2973">
        <v>1</v>
      </c>
      <c r="E2973">
        <v>0</v>
      </c>
      <c r="F2973">
        <v>-0.10414144509277833</v>
      </c>
      <c r="G2973">
        <v>-0.40321103973815398</v>
      </c>
      <c r="H2973">
        <v>-0.37776219401644229</v>
      </c>
    </row>
    <row r="2974" spans="2:8">
      <c r="B2974">
        <v>3</v>
      </c>
      <c r="C2974">
        <v>92.23681599999999</v>
      </c>
      <c r="D2974">
        <v>3</v>
      </c>
      <c r="E2974">
        <v>0</v>
      </c>
      <c r="F2974">
        <v>-0.11040172251206937</v>
      </c>
      <c r="G2974">
        <v>-0.19774654405175274</v>
      </c>
      <c r="H2974">
        <v>-0.17888730875661421</v>
      </c>
    </row>
    <row r="2975" spans="2:8">
      <c r="B2975">
        <v>1</v>
      </c>
      <c r="C2975">
        <v>102</v>
      </c>
      <c r="D2975">
        <v>1</v>
      </c>
      <c r="E2975">
        <v>0</v>
      </c>
      <c r="F2975">
        <v>1.7220067092953782E-2</v>
      </c>
    </row>
    <row r="2976" spans="2:8">
      <c r="B2976">
        <v>1</v>
      </c>
      <c r="C2976">
        <v>97.960799999999992</v>
      </c>
      <c r="D2976">
        <v>1</v>
      </c>
      <c r="E2976">
        <v>0</v>
      </c>
      <c r="F2976">
        <v>5.0071881662689187E-2</v>
      </c>
    </row>
    <row r="2977" spans="2:8">
      <c r="B2977">
        <v>1</v>
      </c>
      <c r="C2977">
        <v>97.960799999999992</v>
      </c>
      <c r="D2977">
        <v>1</v>
      </c>
      <c r="E2977">
        <v>0</v>
      </c>
      <c r="F2977">
        <v>7.804214027361242E-2</v>
      </c>
    </row>
    <row r="2978" spans="2:8">
      <c r="B2978">
        <v>1</v>
      </c>
      <c r="C2978">
        <v>102</v>
      </c>
      <c r="D2978">
        <v>1</v>
      </c>
      <c r="E2978">
        <v>0</v>
      </c>
      <c r="F2978">
        <v>1.6080636093709643E-3</v>
      </c>
    </row>
    <row r="2979" spans="2:8">
      <c r="B2979">
        <v>1</v>
      </c>
      <c r="C2979">
        <v>102</v>
      </c>
      <c r="D2979">
        <v>1</v>
      </c>
      <c r="E2979">
        <v>0</v>
      </c>
      <c r="F2979">
        <v>-0.24598696618679156</v>
      </c>
      <c r="G2979">
        <v>-0.16322217290226468</v>
      </c>
      <c r="H2979">
        <v>-0.37411666983891628</v>
      </c>
    </row>
    <row r="2980" spans="2:8">
      <c r="B2980">
        <v>3</v>
      </c>
      <c r="C2980">
        <v>92.23681599999999</v>
      </c>
      <c r="D2980">
        <v>3</v>
      </c>
      <c r="E2980">
        <v>0</v>
      </c>
      <c r="F2980">
        <v>-9.0773489155798151E-2</v>
      </c>
      <c r="G2980">
        <v>-4.7045775719004819E-2</v>
      </c>
      <c r="H2980">
        <v>-6.7659886374782418E-3</v>
      </c>
    </row>
    <row r="2981" spans="2:8">
      <c r="B2981">
        <v>1</v>
      </c>
      <c r="C2981">
        <v>102</v>
      </c>
      <c r="D2981">
        <v>1</v>
      </c>
      <c r="E2981">
        <v>0</v>
      </c>
      <c r="F2981">
        <v>-0.15413338889641931</v>
      </c>
      <c r="G2981">
        <v>5.7820246079749192E-2</v>
      </c>
      <c r="H2981">
        <v>-7.3789874326418717E-2</v>
      </c>
    </row>
    <row r="2982" spans="2:8">
      <c r="B2982">
        <v>1</v>
      </c>
      <c r="C2982">
        <v>102</v>
      </c>
      <c r="D2982">
        <v>1</v>
      </c>
      <c r="E2982">
        <v>0</v>
      </c>
      <c r="F2982">
        <v>0.22259976428443515</v>
      </c>
    </row>
    <row r="2983" spans="2:8">
      <c r="B2983">
        <v>3</v>
      </c>
      <c r="C2983">
        <v>97.771024959999991</v>
      </c>
      <c r="D2983">
        <v>3</v>
      </c>
      <c r="E2983">
        <v>0</v>
      </c>
      <c r="F2983">
        <v>-8.466812924325438E-3</v>
      </c>
      <c r="G2983">
        <v>-0.14655045580775322</v>
      </c>
      <c r="H2983">
        <v>2.8137195879454738E-2</v>
      </c>
    </row>
    <row r="2984" spans="2:8">
      <c r="B2984">
        <v>1</v>
      </c>
      <c r="C2984">
        <v>102</v>
      </c>
      <c r="D2984">
        <v>1</v>
      </c>
      <c r="E2984">
        <v>0</v>
      </c>
      <c r="F2984">
        <v>1.0777366486394163E-2</v>
      </c>
    </row>
    <row r="2985" spans="2:8">
      <c r="B2985">
        <v>1</v>
      </c>
      <c r="C2985">
        <v>102</v>
      </c>
      <c r="D2985">
        <v>1</v>
      </c>
      <c r="E2985">
        <v>0</v>
      </c>
      <c r="F2985">
        <v>-0.31676917392168424</v>
      </c>
      <c r="G2985">
        <v>-0.26785323482062423</v>
      </c>
      <c r="H2985">
        <v>-0.52807549270717535</v>
      </c>
    </row>
    <row r="2986" spans="2:8">
      <c r="B2986">
        <v>3</v>
      </c>
      <c r="C2986">
        <v>97.771024959999991</v>
      </c>
      <c r="D2986">
        <v>3</v>
      </c>
      <c r="E2986">
        <v>0</v>
      </c>
      <c r="F2986">
        <v>-1.2901086434356999E-2</v>
      </c>
      <c r="G2986">
        <v>0.15803357033244306</v>
      </c>
      <c r="H2986">
        <v>0.32152666395355012</v>
      </c>
    </row>
    <row r="2987" spans="2:8">
      <c r="B2987">
        <v>1</v>
      </c>
      <c r="C2987">
        <v>97.960799999999992</v>
      </c>
      <c r="D2987">
        <v>1</v>
      </c>
      <c r="E2987">
        <v>0</v>
      </c>
      <c r="F2987">
        <v>2.4945197845702281E-2</v>
      </c>
    </row>
    <row r="2988" spans="2:8">
      <c r="B2988">
        <v>1</v>
      </c>
      <c r="C2988">
        <v>97.960799999999992</v>
      </c>
      <c r="D2988">
        <v>1</v>
      </c>
      <c r="E2988">
        <v>0</v>
      </c>
      <c r="F2988">
        <v>0.21572893663764772</v>
      </c>
    </row>
    <row r="2989" spans="2:8">
      <c r="B2989">
        <v>1</v>
      </c>
      <c r="C2989">
        <v>97.960799999999992</v>
      </c>
      <c r="D2989">
        <v>1</v>
      </c>
      <c r="E2989">
        <v>0</v>
      </c>
      <c r="F2989">
        <v>0.14069640540243994</v>
      </c>
    </row>
    <row r="2990" spans="2:8">
      <c r="B2990">
        <v>3</v>
      </c>
      <c r="C2990">
        <v>97.771024959999991</v>
      </c>
      <c r="D2990">
        <v>3</v>
      </c>
      <c r="E2990">
        <v>0</v>
      </c>
      <c r="F2990">
        <v>-3.0370891072521441E-2</v>
      </c>
      <c r="G2990">
        <v>0.10190175271038544</v>
      </c>
      <c r="H2990">
        <v>0.22863996873699483</v>
      </c>
    </row>
    <row r="2991" spans="2:8">
      <c r="B2991">
        <v>1</v>
      </c>
      <c r="C2991">
        <v>97.960799999999992</v>
      </c>
      <c r="D2991">
        <v>1</v>
      </c>
      <c r="E2991">
        <v>0</v>
      </c>
      <c r="F2991">
        <v>9.0399178780870018E-2</v>
      </c>
    </row>
    <row r="2992" spans="2:8">
      <c r="B2992">
        <v>3</v>
      </c>
      <c r="C2992">
        <v>92.23681599999999</v>
      </c>
      <c r="D2992">
        <v>3</v>
      </c>
      <c r="E2992">
        <v>0</v>
      </c>
      <c r="F2992">
        <v>-0.13514046789229953</v>
      </c>
      <c r="G2992">
        <v>-0.1373352646320605</v>
      </c>
      <c r="H2992">
        <v>-0.14256282788501912</v>
      </c>
    </row>
    <row r="2993" spans="2:8">
      <c r="B2993">
        <v>3</v>
      </c>
      <c r="C2993">
        <v>97.771024959999991</v>
      </c>
      <c r="D2993">
        <v>3</v>
      </c>
      <c r="E2993">
        <v>0</v>
      </c>
      <c r="F2993">
        <v>-0.13395602383296626</v>
      </c>
      <c r="G2993">
        <v>0.21225688154653743</v>
      </c>
      <c r="H2993">
        <v>0.20811636113478338</v>
      </c>
    </row>
    <row r="2994" spans="2:8">
      <c r="B2994">
        <v>1</v>
      </c>
      <c r="C2994">
        <v>97.960799999999992</v>
      </c>
      <c r="D2994">
        <v>1</v>
      </c>
      <c r="E2994">
        <v>0</v>
      </c>
      <c r="F2994">
        <v>9.9438967845525278E-2</v>
      </c>
    </row>
    <row r="2995" spans="2:8">
      <c r="B2995">
        <v>1</v>
      </c>
      <c r="C2995">
        <v>97.960799999999992</v>
      </c>
      <c r="D2995">
        <v>1</v>
      </c>
      <c r="E2995">
        <v>0</v>
      </c>
      <c r="F2995">
        <v>0.34408836989993191</v>
      </c>
    </row>
    <row r="2996" spans="2:8">
      <c r="B2996">
        <v>3</v>
      </c>
      <c r="C2996">
        <v>92.23681599999999</v>
      </c>
      <c r="D2996">
        <v>1</v>
      </c>
      <c r="E2996">
        <v>0</v>
      </c>
      <c r="F2996">
        <v>-0.16826799846938834</v>
      </c>
      <c r="G2996">
        <v>-0.30943644700482953</v>
      </c>
      <c r="H2996">
        <v>-0.34262870725524924</v>
      </c>
    </row>
    <row r="2997" spans="2:8">
      <c r="B2997">
        <v>1</v>
      </c>
      <c r="C2997">
        <v>97.960799999999992</v>
      </c>
      <c r="D2997">
        <v>1</v>
      </c>
      <c r="E2997">
        <v>0</v>
      </c>
      <c r="F2997">
        <v>6.8571063312504191E-2</v>
      </c>
    </row>
    <row r="2998" spans="2:8">
      <c r="B2998">
        <v>1</v>
      </c>
      <c r="C2998">
        <v>102</v>
      </c>
      <c r="D2998">
        <v>1</v>
      </c>
      <c r="E2998">
        <v>0</v>
      </c>
      <c r="F2998">
        <v>-0.21604494591184498</v>
      </c>
      <c r="G2998">
        <v>-0.27904723295380801</v>
      </c>
      <c r="H2998">
        <v>-0.34495122979212278</v>
      </c>
    </row>
    <row r="2999" spans="2:8">
      <c r="B2999">
        <v>1</v>
      </c>
      <c r="C2999">
        <v>97.960799999999992</v>
      </c>
      <c r="D2999">
        <v>1</v>
      </c>
      <c r="E2999">
        <v>0</v>
      </c>
      <c r="F2999">
        <v>5.7441758036362131E-2</v>
      </c>
    </row>
    <row r="3000" spans="2:8">
      <c r="B3000">
        <v>3</v>
      </c>
      <c r="C3000">
        <v>92.23681599999999</v>
      </c>
      <c r="D3000">
        <v>3</v>
      </c>
      <c r="E3000">
        <v>0</v>
      </c>
      <c r="F3000">
        <v>-0.17747713611908347</v>
      </c>
      <c r="G3000">
        <v>-0.21474525472140926</v>
      </c>
      <c r="H3000">
        <v>-0.25491833164044819</v>
      </c>
    </row>
    <row r="3001" spans="2:8">
      <c r="B3001">
        <v>3</v>
      </c>
      <c r="C3001">
        <v>92.23681599999999</v>
      </c>
      <c r="D3001">
        <v>3</v>
      </c>
      <c r="E3001">
        <v>0</v>
      </c>
      <c r="F3001">
        <v>-2.7680045721754667E-2</v>
      </c>
      <c r="G3001">
        <v>-0.18828724198183022</v>
      </c>
      <c r="H3001">
        <v>-5.6467103176255813E-2</v>
      </c>
    </row>
    <row r="3002" spans="2:8">
      <c r="B3002">
        <v>1</v>
      </c>
      <c r="C3002">
        <v>102</v>
      </c>
      <c r="D3002">
        <v>1</v>
      </c>
      <c r="E3002">
        <v>0</v>
      </c>
      <c r="F3002">
        <v>-0.30131800956946581</v>
      </c>
      <c r="G3002">
        <v>-0.54590243737130528</v>
      </c>
      <c r="H3002">
        <v>-0.79656471816328089</v>
      </c>
    </row>
    <row r="3003" spans="2:8">
      <c r="B3003">
        <v>1</v>
      </c>
      <c r="C3003">
        <v>102</v>
      </c>
      <c r="D3003">
        <v>1</v>
      </c>
      <c r="E3003">
        <v>0</v>
      </c>
      <c r="F3003">
        <v>-2.6036398532135061E-2</v>
      </c>
      <c r="G3003">
        <v>-0.18461561259361858</v>
      </c>
      <c r="H3003">
        <v>-4.9604235385582361E-2</v>
      </c>
    </row>
    <row r="3004" spans="2:8">
      <c r="B3004">
        <v>1</v>
      </c>
      <c r="C3004">
        <v>97.960799999999992</v>
      </c>
      <c r="D3004">
        <v>1</v>
      </c>
      <c r="E3004">
        <v>0</v>
      </c>
      <c r="F3004">
        <v>7.214862445423717E-2</v>
      </c>
    </row>
    <row r="3005" spans="2:8">
      <c r="B3005">
        <v>1</v>
      </c>
      <c r="C3005">
        <v>97.960799999999992</v>
      </c>
      <c r="D3005">
        <v>1</v>
      </c>
      <c r="E3005">
        <v>0</v>
      </c>
      <c r="F3005">
        <v>1.5439479863785192E-2</v>
      </c>
    </row>
    <row r="3006" spans="2:8">
      <c r="B3006">
        <v>3</v>
      </c>
      <c r="C3006">
        <v>2.7301007492613909</v>
      </c>
      <c r="D3006">
        <v>0</v>
      </c>
      <c r="E3006">
        <v>0</v>
      </c>
      <c r="F3006">
        <v>-0.39047071733762212</v>
      </c>
      <c r="G3006">
        <v>-0.6763759769280685</v>
      </c>
      <c r="H3006">
        <v>-0.97099315815198817</v>
      </c>
    </row>
    <row r="3007" spans="2:8">
      <c r="B3007">
        <v>1</v>
      </c>
      <c r="C3007">
        <v>97.960799999999992</v>
      </c>
      <c r="D3007">
        <v>1</v>
      </c>
      <c r="E3007">
        <v>0</v>
      </c>
      <c r="F3007">
        <v>2.8616022516593197E-2</v>
      </c>
    </row>
    <row r="3008" spans="2:8">
      <c r="B3008">
        <v>3</v>
      </c>
      <c r="C3008">
        <v>92.23681599999999</v>
      </c>
      <c r="D3008">
        <v>1</v>
      </c>
      <c r="E3008">
        <v>0</v>
      </c>
      <c r="F3008">
        <v>-0.23120336012869763</v>
      </c>
      <c r="G3008">
        <v>-0.30281016232850227</v>
      </c>
      <c r="H3008">
        <v>-0.37733439379545719</v>
      </c>
    </row>
    <row r="3009" spans="2:8">
      <c r="B3009">
        <v>1</v>
      </c>
      <c r="C3009">
        <v>97.960799999999992</v>
      </c>
      <c r="D3009">
        <v>1</v>
      </c>
      <c r="E3009">
        <v>0</v>
      </c>
      <c r="F3009">
        <v>9.2835917233642457E-2</v>
      </c>
    </row>
    <row r="3010" spans="2:8">
      <c r="B3010">
        <v>3</v>
      </c>
      <c r="C3010">
        <v>37.630568862616371</v>
      </c>
      <c r="D3010">
        <v>0</v>
      </c>
      <c r="E3010">
        <v>0</v>
      </c>
      <c r="F3010">
        <v>-0.3650080532723663</v>
      </c>
      <c r="G3010">
        <v>-0.48102396736522768</v>
      </c>
      <c r="H3010">
        <v>-0.60018180283495426</v>
      </c>
    </row>
    <row r="3011" spans="2:8">
      <c r="B3011">
        <v>1</v>
      </c>
      <c r="C3011">
        <v>102</v>
      </c>
      <c r="D3011">
        <v>1</v>
      </c>
      <c r="E3011">
        <v>0</v>
      </c>
      <c r="F3011">
        <v>-0.22632729781177899</v>
      </c>
      <c r="G3011">
        <v>-0.12836330634552862</v>
      </c>
      <c r="H3011">
        <v>-0.20020408999667638</v>
      </c>
    </row>
    <row r="3012" spans="2:8">
      <c r="B3012">
        <v>3</v>
      </c>
      <c r="C3012">
        <v>33.892031766926394</v>
      </c>
      <c r="D3012">
        <v>1</v>
      </c>
      <c r="E3012">
        <v>0</v>
      </c>
      <c r="F3012">
        <v>-0.2960296398249449</v>
      </c>
      <c r="G3012">
        <v>-0.53732461406884924</v>
      </c>
      <c r="H3012">
        <v>-0.6399031040751898</v>
      </c>
    </row>
    <row r="3013" spans="2:8">
      <c r="B3013">
        <v>3</v>
      </c>
      <c r="C3013">
        <v>97.771024959999991</v>
      </c>
      <c r="D3013">
        <v>3</v>
      </c>
      <c r="E3013">
        <v>0</v>
      </c>
      <c r="F3013">
        <v>-0.14196149330310062</v>
      </c>
      <c r="G3013">
        <v>0.12272287159972238</v>
      </c>
      <c r="H3013">
        <v>0.11135688291685393</v>
      </c>
    </row>
    <row r="3014" spans="2:8">
      <c r="B3014">
        <v>3</v>
      </c>
      <c r="C3014">
        <v>97.771024959999991</v>
      </c>
      <c r="D3014">
        <v>3</v>
      </c>
      <c r="E3014">
        <v>0</v>
      </c>
      <c r="F3014">
        <v>-5.6948517610637467E-3</v>
      </c>
      <c r="G3014">
        <v>1.2273775379045535E-2</v>
      </c>
      <c r="H3014">
        <v>0.1945186493740324</v>
      </c>
    </row>
    <row r="3015" spans="2:8">
      <c r="B3015">
        <v>1</v>
      </c>
      <c r="C3015">
        <v>97.960799999999992</v>
      </c>
      <c r="D3015">
        <v>1</v>
      </c>
      <c r="E3015">
        <v>0</v>
      </c>
      <c r="F3015">
        <v>0.15224676114186689</v>
      </c>
    </row>
    <row r="3016" spans="2:8">
      <c r="B3016">
        <v>3</v>
      </c>
      <c r="C3016">
        <v>43.512407450865588</v>
      </c>
      <c r="D3016">
        <v>0</v>
      </c>
      <c r="E3016">
        <v>0</v>
      </c>
      <c r="F3016">
        <v>-0.32091376199285182</v>
      </c>
      <c r="G3016">
        <v>-0.42776373807494178</v>
      </c>
      <c r="H3016">
        <v>-0.53768829897761994</v>
      </c>
    </row>
    <row r="3017" spans="2:8">
      <c r="B3017">
        <v>1</v>
      </c>
      <c r="C3017">
        <v>102</v>
      </c>
      <c r="D3017">
        <v>1</v>
      </c>
      <c r="E3017">
        <v>0</v>
      </c>
      <c r="F3017">
        <v>-0.2832116211995751</v>
      </c>
      <c r="G3017">
        <v>-0.22149577891521605</v>
      </c>
      <c r="H3017">
        <v>-0.31959611575907476</v>
      </c>
    </row>
    <row r="3018" spans="2:8">
      <c r="B3018">
        <v>3</v>
      </c>
      <c r="C3018">
        <v>92.23681599999999</v>
      </c>
      <c r="D3018">
        <v>2</v>
      </c>
      <c r="E3018">
        <v>0</v>
      </c>
      <c r="F3018">
        <v>-0.1574086579987363</v>
      </c>
      <c r="G3018">
        <v>-0.28875650517216261</v>
      </c>
      <c r="H3018">
        <v>-0.31328437454121649</v>
      </c>
    </row>
    <row r="3019" spans="2:8">
      <c r="B3019">
        <v>1</v>
      </c>
      <c r="C3019">
        <v>102</v>
      </c>
      <c r="D3019">
        <v>1</v>
      </c>
      <c r="E3019">
        <v>0</v>
      </c>
      <c r="F3019">
        <v>3.6623113914169093E-2</v>
      </c>
    </row>
    <row r="3020" spans="2:8">
      <c r="B3020">
        <v>3</v>
      </c>
      <c r="C3020">
        <v>97.771024959999991</v>
      </c>
      <c r="D3020">
        <v>3</v>
      </c>
      <c r="E3020">
        <v>0</v>
      </c>
      <c r="F3020">
        <v>-7.3861390808314872E-3</v>
      </c>
      <c r="G3020">
        <v>8.7982923863418674E-3</v>
      </c>
      <c r="H3020">
        <v>2.1821136616347846E-2</v>
      </c>
    </row>
    <row r="3021" spans="2:8">
      <c r="B3021">
        <v>3</v>
      </c>
      <c r="C3021">
        <v>92.23681599999999</v>
      </c>
      <c r="D3021">
        <v>3</v>
      </c>
      <c r="E3021">
        <v>0</v>
      </c>
      <c r="F3021">
        <v>-0.20062601443367617</v>
      </c>
      <c r="G3021">
        <v>-7.6471321064654874E-2</v>
      </c>
      <c r="H3021">
        <v>-0.24977693525731093</v>
      </c>
    </row>
    <row r="3022" spans="2:8">
      <c r="B3022">
        <v>3</v>
      </c>
      <c r="C3022">
        <v>92.23681599999999</v>
      </c>
      <c r="D3022">
        <v>1</v>
      </c>
      <c r="E3022">
        <v>0</v>
      </c>
      <c r="F3022">
        <v>-0.17968797904061218</v>
      </c>
      <c r="G3022">
        <v>-0.3310224133523062</v>
      </c>
      <c r="H3022">
        <v>-0.37282219216982898</v>
      </c>
    </row>
    <row r="3023" spans="2:8">
      <c r="B3023">
        <v>1</v>
      </c>
      <c r="C3023">
        <v>97.960799999999992</v>
      </c>
      <c r="D3023">
        <v>1</v>
      </c>
      <c r="E3023">
        <v>0</v>
      </c>
      <c r="F3023">
        <v>0.10631187706250048</v>
      </c>
    </row>
    <row r="3024" spans="2:8">
      <c r="B3024">
        <v>1</v>
      </c>
      <c r="C3024">
        <v>102</v>
      </c>
      <c r="D3024">
        <v>1</v>
      </c>
      <c r="E3024">
        <v>0</v>
      </c>
      <c r="F3024">
        <v>0.23001935467251722</v>
      </c>
    </row>
    <row r="3025" spans="2:8">
      <c r="B3025">
        <v>1</v>
      </c>
      <c r="C3025">
        <v>102</v>
      </c>
      <c r="D3025">
        <v>1</v>
      </c>
      <c r="E3025">
        <v>0</v>
      </c>
      <c r="F3025">
        <v>-0.12256205352154111</v>
      </c>
      <c r="G3025">
        <v>-0.50696999085341587</v>
      </c>
      <c r="H3025">
        <v>-0.50032249555679664</v>
      </c>
    </row>
    <row r="3026" spans="2:8">
      <c r="B3026">
        <v>1</v>
      </c>
      <c r="C3026">
        <v>102</v>
      </c>
      <c r="D3026">
        <v>1</v>
      </c>
      <c r="E3026">
        <v>0</v>
      </c>
      <c r="F3026">
        <v>-5.7769511810387822E-2</v>
      </c>
      <c r="G3026">
        <v>-9.3406895997608777E-2</v>
      </c>
      <c r="H3026">
        <v>-1.0974292780410448E-2</v>
      </c>
    </row>
    <row r="3027" spans="2:8">
      <c r="B3027">
        <v>1</v>
      </c>
      <c r="C3027">
        <v>102</v>
      </c>
      <c r="D3027">
        <v>1</v>
      </c>
      <c r="E3027">
        <v>0</v>
      </c>
      <c r="F3027">
        <v>-0.14386333982062974</v>
      </c>
      <c r="G3027">
        <v>0.109971801863987</v>
      </c>
      <c r="H3027">
        <v>9.6930658960048877E-2</v>
      </c>
    </row>
    <row r="3028" spans="2:8">
      <c r="B3028">
        <v>1</v>
      </c>
      <c r="C3028">
        <v>102</v>
      </c>
      <c r="D3028">
        <v>1</v>
      </c>
      <c r="E3028">
        <v>0</v>
      </c>
      <c r="F3028">
        <v>0.14634192484980285</v>
      </c>
    </row>
    <row r="3029" spans="2:8">
      <c r="B3029">
        <v>1</v>
      </c>
      <c r="C3029">
        <v>102</v>
      </c>
      <c r="D3029">
        <v>1</v>
      </c>
      <c r="E3029">
        <v>0</v>
      </c>
      <c r="F3029">
        <v>8.2626705838348635E-2</v>
      </c>
    </row>
    <row r="3030" spans="2:8">
      <c r="B3030">
        <v>1</v>
      </c>
      <c r="C3030">
        <v>97.960799999999992</v>
      </c>
      <c r="D3030">
        <v>1</v>
      </c>
      <c r="E3030">
        <v>0</v>
      </c>
      <c r="F3030">
        <v>8.885564187485169E-2</v>
      </c>
    </row>
    <row r="3031" spans="2:8">
      <c r="B3031">
        <v>1</v>
      </c>
      <c r="C3031">
        <v>102</v>
      </c>
      <c r="D3031">
        <v>1</v>
      </c>
      <c r="E3031">
        <v>0</v>
      </c>
      <c r="F3031">
        <v>7.0744444715467369E-2</v>
      </c>
    </row>
    <row r="3032" spans="2:8">
      <c r="B3032">
        <v>1</v>
      </c>
      <c r="C3032">
        <v>97.960799999999992</v>
      </c>
      <c r="D3032">
        <v>1</v>
      </c>
      <c r="E3032">
        <v>0</v>
      </c>
      <c r="F3032">
        <v>0.13208445987089124</v>
      </c>
    </row>
    <row r="3033" spans="2:8">
      <c r="B3033">
        <v>3</v>
      </c>
      <c r="C3033">
        <v>92.23681599999999</v>
      </c>
      <c r="D3033">
        <v>3</v>
      </c>
      <c r="E3033">
        <v>0</v>
      </c>
      <c r="F3033">
        <v>-1.7304994717696934E-2</v>
      </c>
      <c r="G3033">
        <v>-0.165440520846767</v>
      </c>
      <c r="H3033">
        <v>-1.2173487245824101E-2</v>
      </c>
    </row>
    <row r="3034" spans="2:8">
      <c r="B3034">
        <v>1</v>
      </c>
      <c r="C3034">
        <v>97.960799999999992</v>
      </c>
      <c r="D3034">
        <v>1</v>
      </c>
      <c r="E3034">
        <v>0</v>
      </c>
      <c r="F3034">
        <v>3.9750645740014266E-2</v>
      </c>
    </row>
    <row r="3035" spans="2:8">
      <c r="B3035">
        <v>1</v>
      </c>
      <c r="C3035">
        <v>102</v>
      </c>
      <c r="D3035">
        <v>1</v>
      </c>
      <c r="E3035">
        <v>0</v>
      </c>
      <c r="F3035">
        <v>0.1181257872327036</v>
      </c>
    </row>
    <row r="3036" spans="2:8">
      <c r="B3036">
        <v>1</v>
      </c>
      <c r="C3036">
        <v>102</v>
      </c>
      <c r="D3036">
        <v>1</v>
      </c>
      <c r="E3036">
        <v>0</v>
      </c>
      <c r="F3036">
        <v>-0.20222673208463188</v>
      </c>
      <c r="G3036">
        <v>-0.25665421772433411</v>
      </c>
      <c r="H3036">
        <v>-0.31397616469490924</v>
      </c>
    </row>
    <row r="3037" spans="2:8">
      <c r="B3037">
        <v>1</v>
      </c>
      <c r="C3037">
        <v>102</v>
      </c>
      <c r="D3037">
        <v>1</v>
      </c>
      <c r="E3037">
        <v>0</v>
      </c>
      <c r="F3037">
        <v>2.6775380901269553E-2</v>
      </c>
    </row>
    <row r="3038" spans="2:8">
      <c r="B3038">
        <v>1</v>
      </c>
      <c r="C3038">
        <v>102</v>
      </c>
      <c r="D3038">
        <v>1</v>
      </c>
      <c r="E3038">
        <v>0</v>
      </c>
      <c r="F3038">
        <v>2.0160186503921162E-2</v>
      </c>
    </row>
    <row r="3039" spans="2:8">
      <c r="B3039">
        <v>1</v>
      </c>
      <c r="C3039">
        <v>97.960799999999992</v>
      </c>
      <c r="D3039">
        <v>1</v>
      </c>
      <c r="E3039">
        <v>0</v>
      </c>
      <c r="F3039">
        <v>0.29596204975409662</v>
      </c>
    </row>
    <row r="3040" spans="2:8">
      <c r="B3040">
        <v>1</v>
      </c>
      <c r="C3040">
        <v>97.960799999999992</v>
      </c>
      <c r="D3040">
        <v>1</v>
      </c>
      <c r="E3040">
        <v>0</v>
      </c>
      <c r="F3040">
        <v>7.6596421611685839E-2</v>
      </c>
    </row>
    <row r="3041" spans="2:8">
      <c r="B3041">
        <v>1</v>
      </c>
      <c r="C3041">
        <v>97.960799999999992</v>
      </c>
      <c r="D3041">
        <v>1</v>
      </c>
      <c r="E3041">
        <v>0</v>
      </c>
      <c r="F3041">
        <v>0.10899256706834888</v>
      </c>
    </row>
    <row r="3042" spans="2:8">
      <c r="B3042">
        <v>1</v>
      </c>
      <c r="C3042">
        <v>97.960799999999992</v>
      </c>
      <c r="D3042">
        <v>1</v>
      </c>
      <c r="E3042">
        <v>0</v>
      </c>
      <c r="F3042">
        <v>2.3778219835990197E-2</v>
      </c>
    </row>
    <row r="3043" spans="2:8">
      <c r="B3043">
        <v>1</v>
      </c>
      <c r="C3043">
        <v>102</v>
      </c>
      <c r="D3043">
        <v>1</v>
      </c>
      <c r="E3043">
        <v>0</v>
      </c>
      <c r="F3043">
        <v>-0.20899009897295465</v>
      </c>
      <c r="G3043">
        <v>-9.4328461330895827E-2</v>
      </c>
      <c r="H3043">
        <v>-0.15593822846877131</v>
      </c>
    </row>
    <row r="3044" spans="2:8">
      <c r="B3044">
        <v>1</v>
      </c>
      <c r="C3044">
        <v>102</v>
      </c>
      <c r="D3044">
        <v>1</v>
      </c>
      <c r="E3044">
        <v>0</v>
      </c>
      <c r="F3044">
        <v>4.1674445445074024E-2</v>
      </c>
    </row>
    <row r="3045" spans="2:8">
      <c r="B3045">
        <v>3</v>
      </c>
      <c r="C3045">
        <v>32.882976894316627</v>
      </c>
      <c r="D3045">
        <v>1</v>
      </c>
      <c r="E3045">
        <v>0</v>
      </c>
      <c r="F3045">
        <v>-0.1302858787600478</v>
      </c>
      <c r="G3045">
        <v>-0.64989248061332461</v>
      </c>
      <c r="H3045">
        <v>-0.65062413519965501</v>
      </c>
    </row>
    <row r="3046" spans="2:8">
      <c r="B3046">
        <v>1</v>
      </c>
      <c r="C3046">
        <v>102</v>
      </c>
      <c r="D3046">
        <v>1</v>
      </c>
      <c r="E3046">
        <v>0</v>
      </c>
      <c r="F3046">
        <v>-0.14894878565348127</v>
      </c>
      <c r="G3046">
        <v>-0.27254924658494567</v>
      </c>
      <c r="H3046">
        <v>-0.39935650866061756</v>
      </c>
    </row>
    <row r="3047" spans="2:8">
      <c r="B3047">
        <v>1</v>
      </c>
      <c r="C3047">
        <v>102</v>
      </c>
      <c r="D3047">
        <v>1</v>
      </c>
      <c r="E3047">
        <v>0</v>
      </c>
      <c r="F3047">
        <v>0.17796059151914795</v>
      </c>
    </row>
    <row r="3048" spans="2:8">
      <c r="B3048">
        <v>1</v>
      </c>
      <c r="C3048">
        <v>97.960799999999992</v>
      </c>
      <c r="D3048">
        <v>1</v>
      </c>
      <c r="E3048">
        <v>0</v>
      </c>
      <c r="F3048">
        <v>3.3529346454055114E-2</v>
      </c>
    </row>
    <row r="3049" spans="2:8">
      <c r="B3049">
        <v>3</v>
      </c>
      <c r="C3049">
        <v>92.23681599999999</v>
      </c>
      <c r="D3049">
        <v>3</v>
      </c>
      <c r="E3049">
        <v>0</v>
      </c>
      <c r="F3049">
        <v>-0.2575270398073195</v>
      </c>
      <c r="G3049">
        <v>-0.18223297253005702</v>
      </c>
      <c r="H3049">
        <v>-0.26981567667196232</v>
      </c>
    </row>
    <row r="3050" spans="2:8">
      <c r="B3050">
        <v>1</v>
      </c>
      <c r="C3050">
        <v>102</v>
      </c>
      <c r="D3050">
        <v>1</v>
      </c>
      <c r="E3050">
        <v>0</v>
      </c>
      <c r="F3050">
        <v>0.1664575119862047</v>
      </c>
    </row>
    <row r="3051" spans="2:8">
      <c r="B3051">
        <v>1</v>
      </c>
      <c r="C3051">
        <v>102</v>
      </c>
      <c r="D3051">
        <v>1</v>
      </c>
      <c r="E3051">
        <v>0</v>
      </c>
      <c r="F3051">
        <v>4.8797868636337192E-2</v>
      </c>
    </row>
    <row r="3052" spans="2:8">
      <c r="B3052">
        <v>1</v>
      </c>
      <c r="C3052">
        <v>102</v>
      </c>
      <c r="D3052">
        <v>1</v>
      </c>
      <c r="E3052">
        <v>0</v>
      </c>
      <c r="F3052">
        <v>-0.47555204127181083</v>
      </c>
      <c r="G3052">
        <v>-0.60094669654015886</v>
      </c>
      <c r="H3052">
        <v>-0.72956477000774356</v>
      </c>
    </row>
    <row r="3053" spans="2:8">
      <c r="B3053">
        <v>3</v>
      </c>
      <c r="C3053">
        <v>92.23681599999999</v>
      </c>
      <c r="D3053">
        <v>3</v>
      </c>
      <c r="E3053">
        <v>0</v>
      </c>
      <c r="F3053">
        <v>-0.18564628031188402</v>
      </c>
      <c r="G3053">
        <v>-4.1331960703795863E-2</v>
      </c>
      <c r="H3053">
        <v>-8.7422146016586183E-2</v>
      </c>
    </row>
    <row r="3054" spans="2:8">
      <c r="B3054">
        <v>1</v>
      </c>
      <c r="C3054">
        <v>102</v>
      </c>
      <c r="D3054">
        <v>1</v>
      </c>
      <c r="E3054">
        <v>0</v>
      </c>
      <c r="F3054">
        <v>0.12895914804865674</v>
      </c>
    </row>
    <row r="3055" spans="2:8">
      <c r="B3055">
        <v>1</v>
      </c>
      <c r="C3055">
        <v>97.960799999999992</v>
      </c>
      <c r="D3055">
        <v>1</v>
      </c>
      <c r="E3055">
        <v>0</v>
      </c>
      <c r="F3055">
        <v>0.12397698982162034</v>
      </c>
    </row>
    <row r="3056" spans="2:8">
      <c r="B3056">
        <v>3</v>
      </c>
      <c r="C3056">
        <v>97.771024959999991</v>
      </c>
      <c r="D3056">
        <v>3</v>
      </c>
      <c r="E3056">
        <v>0</v>
      </c>
      <c r="F3056">
        <v>-3.99829573998506E-3</v>
      </c>
      <c r="G3056">
        <v>0.1924201031557278</v>
      </c>
      <c r="H3056">
        <v>0.37954146102069375</v>
      </c>
    </row>
    <row r="3057" spans="2:8">
      <c r="B3057">
        <v>1</v>
      </c>
      <c r="C3057">
        <v>102</v>
      </c>
      <c r="D3057">
        <v>1</v>
      </c>
      <c r="E3057">
        <v>0</v>
      </c>
      <c r="F3057">
        <v>-2.9087088522486799E-3</v>
      </c>
      <c r="G3057">
        <v>-0.32774431932526815</v>
      </c>
      <c r="H3057">
        <v>-0.31003173903573206</v>
      </c>
    </row>
    <row r="3058" spans="2:8">
      <c r="B3058">
        <v>3</v>
      </c>
      <c r="C3058">
        <v>37.672821267288192</v>
      </c>
      <c r="D3058">
        <v>1</v>
      </c>
      <c r="E3058">
        <v>0</v>
      </c>
      <c r="F3058">
        <v>-0.22160737685384335</v>
      </c>
      <c r="G3058">
        <v>-0.40858958498107839</v>
      </c>
      <c r="H3058">
        <v>-0.59973287844256862</v>
      </c>
    </row>
    <row r="3059" spans="2:8">
      <c r="B3059">
        <v>1</v>
      </c>
      <c r="C3059">
        <v>102</v>
      </c>
      <c r="D3059">
        <v>1</v>
      </c>
      <c r="E3059">
        <v>0</v>
      </c>
      <c r="F3059">
        <v>-0.13211572787627082</v>
      </c>
      <c r="G3059">
        <v>0.26893255643106773</v>
      </c>
      <c r="H3059">
        <v>0.26649361704037317</v>
      </c>
    </row>
    <row r="3060" spans="2:8">
      <c r="B3060">
        <v>3</v>
      </c>
      <c r="C3060">
        <v>97.771024959999991</v>
      </c>
      <c r="D3060">
        <v>3</v>
      </c>
      <c r="E3060">
        <v>0</v>
      </c>
      <c r="F3060">
        <v>-3.20079674432978E-2</v>
      </c>
      <c r="G3060">
        <v>-4.1453327228901993E-2</v>
      </c>
      <c r="H3060">
        <v>8.2274022576047462E-2</v>
      </c>
    </row>
    <row r="3061" spans="2:8">
      <c r="B3061">
        <v>1</v>
      </c>
      <c r="C3061">
        <v>102</v>
      </c>
      <c r="D3061">
        <v>1</v>
      </c>
      <c r="E3061">
        <v>0</v>
      </c>
      <c r="F3061">
        <v>-0.26511846563458474</v>
      </c>
      <c r="G3061">
        <v>-0.19424398883065672</v>
      </c>
      <c r="H3061">
        <v>-0.41976741706971094</v>
      </c>
    </row>
    <row r="3062" spans="2:8">
      <c r="B3062">
        <v>3</v>
      </c>
      <c r="C3062">
        <v>97.771024959999991</v>
      </c>
      <c r="D3062">
        <v>3</v>
      </c>
      <c r="E3062">
        <v>0</v>
      </c>
      <c r="F3062">
        <v>-6.4725354651026135E-2</v>
      </c>
      <c r="G3062">
        <v>1.2004913394948866E-2</v>
      </c>
      <c r="H3062">
        <v>8.4760995742037784E-2</v>
      </c>
    </row>
    <row r="3063" spans="2:8">
      <c r="B3063">
        <v>1</v>
      </c>
      <c r="C3063">
        <v>102</v>
      </c>
      <c r="D3063">
        <v>1</v>
      </c>
      <c r="E3063">
        <v>0</v>
      </c>
      <c r="F3063">
        <v>-0.28788930037219734</v>
      </c>
      <c r="G3063">
        <v>-0.22825877014052887</v>
      </c>
      <c r="H3063">
        <v>-0.4700199282744551</v>
      </c>
    </row>
    <row r="3064" spans="2:8">
      <c r="B3064">
        <v>1</v>
      </c>
      <c r="C3064">
        <v>102</v>
      </c>
      <c r="D3064">
        <v>1</v>
      </c>
      <c r="E3064">
        <v>0</v>
      </c>
      <c r="F3064">
        <v>-3.8994137508050745E-2</v>
      </c>
      <c r="G3064">
        <v>7.7474049572444095E-2</v>
      </c>
      <c r="H3064">
        <v>0.18896338843853003</v>
      </c>
    </row>
    <row r="3065" spans="2:8">
      <c r="B3065">
        <v>1</v>
      </c>
      <c r="C3065">
        <v>102</v>
      </c>
      <c r="D3065">
        <v>1</v>
      </c>
      <c r="E3065">
        <v>0</v>
      </c>
      <c r="F3065">
        <v>0.13412396734918372</v>
      </c>
    </row>
    <row r="3066" spans="2:8">
      <c r="B3066">
        <v>3</v>
      </c>
      <c r="C3066">
        <v>55.376425722897224</v>
      </c>
      <c r="D3066">
        <v>1</v>
      </c>
      <c r="E3066">
        <v>0</v>
      </c>
      <c r="F3066">
        <v>-0.24816046582275159</v>
      </c>
      <c r="G3066">
        <v>-0.32842685369806085</v>
      </c>
      <c r="H3066">
        <v>-0.41163518471366922</v>
      </c>
    </row>
    <row r="3067" spans="2:8">
      <c r="B3067">
        <v>1</v>
      </c>
      <c r="C3067">
        <v>97.960799999999992</v>
      </c>
      <c r="D3067">
        <v>1</v>
      </c>
      <c r="E3067">
        <v>0</v>
      </c>
      <c r="F3067">
        <v>0.13737009605374281</v>
      </c>
    </row>
    <row r="3068" spans="2:8">
      <c r="B3068">
        <v>1</v>
      </c>
      <c r="C3068">
        <v>97.960799999999992</v>
      </c>
      <c r="D3068">
        <v>1</v>
      </c>
      <c r="E3068">
        <v>0</v>
      </c>
      <c r="F3068">
        <v>0.10200821647124035</v>
      </c>
    </row>
    <row r="3069" spans="2:8">
      <c r="B3069">
        <v>1</v>
      </c>
      <c r="C3069">
        <v>102</v>
      </c>
      <c r="D3069">
        <v>1</v>
      </c>
      <c r="E3069">
        <v>0</v>
      </c>
      <c r="F3069">
        <v>3.8525374985332955E-2</v>
      </c>
    </row>
    <row r="3070" spans="2:8">
      <c r="B3070">
        <v>3</v>
      </c>
      <c r="C3070">
        <v>48.026095520070953</v>
      </c>
      <c r="D3070">
        <v>1</v>
      </c>
      <c r="E3070">
        <v>0</v>
      </c>
      <c r="F3070">
        <v>-0.29099448524271099</v>
      </c>
      <c r="G3070">
        <v>-0.38885299646985616</v>
      </c>
      <c r="H3070">
        <v>-0.48973115453519622</v>
      </c>
    </row>
    <row r="3071" spans="2:8">
      <c r="B3071">
        <v>3</v>
      </c>
      <c r="C3071">
        <v>45.587128575278001</v>
      </c>
      <c r="D3071">
        <v>0</v>
      </c>
      <c r="E3071">
        <v>0</v>
      </c>
      <c r="F3071">
        <v>-0.42057040690809111</v>
      </c>
      <c r="G3071">
        <v>-0.38999240666190671</v>
      </c>
      <c r="H3071">
        <v>-0.51564475074928384</v>
      </c>
    </row>
    <row r="3072" spans="2:8">
      <c r="B3072">
        <v>3</v>
      </c>
      <c r="C3072">
        <v>97.771024959999991</v>
      </c>
      <c r="D3072">
        <v>3</v>
      </c>
      <c r="E3072">
        <v>0</v>
      </c>
      <c r="F3072">
        <v>-7.3338856271742678E-2</v>
      </c>
      <c r="G3072">
        <v>-8.1591361288112611E-3</v>
      </c>
      <c r="H3072">
        <v>5.3256884711814778E-2</v>
      </c>
    </row>
    <row r="3073" spans="2:8">
      <c r="B3073">
        <v>3</v>
      </c>
      <c r="C3073">
        <v>92.23681599999999</v>
      </c>
      <c r="D3073">
        <v>2</v>
      </c>
      <c r="E3073">
        <v>0</v>
      </c>
      <c r="F3073">
        <v>-0.22928000057527848</v>
      </c>
      <c r="G3073">
        <v>-0.1338249778139681</v>
      </c>
      <c r="H3073">
        <v>-0.33130618057767292</v>
      </c>
    </row>
    <row r="3074" spans="2:8">
      <c r="B3074">
        <v>1</v>
      </c>
      <c r="C3074">
        <v>102</v>
      </c>
      <c r="D3074">
        <v>1</v>
      </c>
      <c r="E3074">
        <v>0</v>
      </c>
      <c r="F3074">
        <v>-0.1178791075028648</v>
      </c>
      <c r="G3074">
        <v>-0.10347034659344491</v>
      </c>
      <c r="H3074">
        <v>-9.2208700178756223E-2</v>
      </c>
    </row>
    <row r="3075" spans="2:8">
      <c r="B3075">
        <v>3</v>
      </c>
      <c r="C3075">
        <v>92.23681599999999</v>
      </c>
      <c r="D3075">
        <v>3</v>
      </c>
      <c r="E3075">
        <v>0</v>
      </c>
      <c r="F3075">
        <v>-7.0657876205709486E-2</v>
      </c>
      <c r="G3075">
        <v>-0.29391997129655362</v>
      </c>
      <c r="H3075">
        <v>-0.2290448122212761</v>
      </c>
    </row>
    <row r="3076" spans="2:8">
      <c r="B3076">
        <v>3</v>
      </c>
      <c r="C3076">
        <v>92.23681599999999</v>
      </c>
      <c r="D3076">
        <v>3</v>
      </c>
      <c r="E3076">
        <v>0</v>
      </c>
      <c r="F3076">
        <v>-0.10134647216097635</v>
      </c>
      <c r="G3076">
        <v>-0.17996768940853397</v>
      </c>
      <c r="H3076">
        <v>-0.151506155294582</v>
      </c>
    </row>
    <row r="3077" spans="2:8">
      <c r="B3077">
        <v>3</v>
      </c>
      <c r="C3077">
        <v>97.771024959999991</v>
      </c>
      <c r="D3077">
        <v>3</v>
      </c>
      <c r="E3077">
        <v>0</v>
      </c>
      <c r="F3077">
        <v>-1.0149932272945384E-2</v>
      </c>
      <c r="G3077">
        <v>-0.15011008023491637</v>
      </c>
      <c r="H3077">
        <v>2.02091642707087E-2</v>
      </c>
    </row>
    <row r="3078" spans="2:8">
      <c r="B3078">
        <v>1</v>
      </c>
      <c r="C3078">
        <v>97.960799999999992</v>
      </c>
      <c r="D3078">
        <v>1</v>
      </c>
      <c r="E3078">
        <v>0</v>
      </c>
      <c r="F3078">
        <v>0.18575447083811589</v>
      </c>
    </row>
    <row r="3079" spans="2:8">
      <c r="B3079">
        <v>1</v>
      </c>
      <c r="C3079">
        <v>102</v>
      </c>
      <c r="D3079">
        <v>1</v>
      </c>
      <c r="E3079">
        <v>0</v>
      </c>
      <c r="F3079">
        <v>0.21157526082599606</v>
      </c>
    </row>
    <row r="3080" spans="2:8">
      <c r="B3080">
        <v>1</v>
      </c>
      <c r="C3080">
        <v>102</v>
      </c>
      <c r="D3080">
        <v>1</v>
      </c>
      <c r="E3080">
        <v>0</v>
      </c>
      <c r="F3080">
        <v>-0.1086737117021091</v>
      </c>
      <c r="G3080">
        <v>-8.4787264039808075E-2</v>
      </c>
      <c r="H3080">
        <v>-6.413049267209342E-2</v>
      </c>
    </row>
    <row r="3081" spans="2:8">
      <c r="B3081">
        <v>3</v>
      </c>
      <c r="C3081">
        <v>92.23681599999999</v>
      </c>
      <c r="D3081">
        <v>1</v>
      </c>
      <c r="E3081">
        <v>0</v>
      </c>
      <c r="F3081">
        <v>-9.6878400864912284E-2</v>
      </c>
      <c r="G3081">
        <v>-0.37533995562159905</v>
      </c>
      <c r="H3081">
        <v>-0.34196759855576442</v>
      </c>
    </row>
    <row r="3082" spans="2:8">
      <c r="B3082">
        <v>3</v>
      </c>
      <c r="C3082">
        <v>97.771024959999991</v>
      </c>
      <c r="D3082">
        <v>3</v>
      </c>
      <c r="E3082">
        <v>0</v>
      </c>
      <c r="F3082">
        <v>-2.3333736316943299E-2</v>
      </c>
      <c r="G3082">
        <v>-2.3820412376250353E-2</v>
      </c>
      <c r="H3082">
        <v>0.11659434295145309</v>
      </c>
    </row>
    <row r="3083" spans="2:8">
      <c r="B3083">
        <v>1</v>
      </c>
      <c r="C3083">
        <v>102</v>
      </c>
      <c r="D3083">
        <v>1</v>
      </c>
      <c r="E3083">
        <v>0</v>
      </c>
      <c r="F3083">
        <v>-0.35830496605797985</v>
      </c>
      <c r="G3083">
        <v>-0.31966600249334359</v>
      </c>
      <c r="H3083">
        <v>-0.60162183574830763</v>
      </c>
    </row>
    <row r="3084" spans="2:8">
      <c r="B3084">
        <v>1</v>
      </c>
      <c r="C3084">
        <v>97.960799999999992</v>
      </c>
      <c r="D3084">
        <v>1</v>
      </c>
      <c r="E3084">
        <v>0</v>
      </c>
      <c r="F3084">
        <v>1.430337144362435E-2</v>
      </c>
    </row>
    <row r="3085" spans="2:8">
      <c r="B3085">
        <v>3</v>
      </c>
      <c r="C3085">
        <v>92.23681599999999</v>
      </c>
      <c r="D3085">
        <v>3</v>
      </c>
      <c r="E3085">
        <v>0</v>
      </c>
      <c r="F3085">
        <v>-0.17175026728751508</v>
      </c>
      <c r="G3085">
        <v>-3.5430066743962585E-3</v>
      </c>
      <c r="H3085">
        <v>-3.9414030982593558E-2</v>
      </c>
    </row>
    <row r="3086" spans="2:8">
      <c r="B3086">
        <v>3</v>
      </c>
      <c r="C3086">
        <v>97.771024959999991</v>
      </c>
      <c r="D3086">
        <v>3</v>
      </c>
      <c r="E3086">
        <v>0</v>
      </c>
      <c r="F3086">
        <v>-4.062176095261491E-2</v>
      </c>
      <c r="G3086">
        <v>-5.889211569112849E-2</v>
      </c>
      <c r="H3086">
        <v>4.9874314958540326E-2</v>
      </c>
    </row>
    <row r="3087" spans="2:8">
      <c r="B3087">
        <v>3</v>
      </c>
      <c r="C3087">
        <v>92.23681599999999</v>
      </c>
      <c r="D3087">
        <v>3</v>
      </c>
      <c r="E3087">
        <v>0</v>
      </c>
      <c r="F3087">
        <v>-0.21430471726348232</v>
      </c>
      <c r="G3087">
        <v>-0.10515121802890015</v>
      </c>
      <c r="H3087">
        <v>-0.29016673166891666</v>
      </c>
    </row>
    <row r="3088" spans="2:8">
      <c r="B3088">
        <v>3</v>
      </c>
      <c r="C3088">
        <v>92.23681599999999</v>
      </c>
      <c r="D3088">
        <v>3</v>
      </c>
      <c r="E3088">
        <v>0</v>
      </c>
      <c r="F3088">
        <v>-0.14701169839043007</v>
      </c>
      <c r="G3088">
        <v>-0.26882683674423502</v>
      </c>
      <c r="H3088">
        <v>-0.28460684250686452</v>
      </c>
    </row>
    <row r="3089" spans="2:8">
      <c r="B3089">
        <v>1</v>
      </c>
      <c r="C3089">
        <v>97.960799999999992</v>
      </c>
      <c r="D3089">
        <v>1</v>
      </c>
      <c r="E3089">
        <v>0</v>
      </c>
      <c r="F3089">
        <v>7.9080040533488546E-3</v>
      </c>
    </row>
    <row r="3090" spans="2:8">
      <c r="B3090">
        <v>1</v>
      </c>
      <c r="C3090">
        <v>97.960799999999992</v>
      </c>
      <c r="D3090">
        <v>1</v>
      </c>
      <c r="E3090">
        <v>0</v>
      </c>
      <c r="F3090">
        <v>8.4118629740236303E-2</v>
      </c>
    </row>
    <row r="3091" spans="2:8">
      <c r="B3091">
        <v>3</v>
      </c>
      <c r="C3091">
        <v>92.23681599999999</v>
      </c>
      <c r="D3091">
        <v>1</v>
      </c>
      <c r="E3091">
        <v>0</v>
      </c>
      <c r="F3091">
        <v>-1.1828356043252188E-2</v>
      </c>
      <c r="G3091">
        <v>-0.38343050580226073</v>
      </c>
      <c r="H3091">
        <v>-0.3750415928096818</v>
      </c>
    </row>
    <row r="3092" spans="2:8">
      <c r="B3092">
        <v>3</v>
      </c>
      <c r="C3092">
        <v>47.804815435985624</v>
      </c>
      <c r="D3092">
        <v>1</v>
      </c>
      <c r="E3092">
        <v>0</v>
      </c>
      <c r="F3092">
        <v>-0.18192333816466619</v>
      </c>
      <c r="G3092">
        <v>-0.33522711906091479</v>
      </c>
      <c r="H3092">
        <v>-0.49208221663607821</v>
      </c>
    </row>
    <row r="3093" spans="2:8">
      <c r="B3093">
        <v>1</v>
      </c>
      <c r="C3093">
        <v>102</v>
      </c>
      <c r="D3093">
        <v>1</v>
      </c>
      <c r="E3093">
        <v>0</v>
      </c>
      <c r="F3093">
        <v>-0.24266334775399878</v>
      </c>
      <c r="G3093">
        <v>-0.15756243142819648</v>
      </c>
      <c r="H3093">
        <v>-0.2380646566953992</v>
      </c>
    </row>
    <row r="3094" spans="2:8">
      <c r="B3094">
        <v>1</v>
      </c>
      <c r="C3094">
        <v>102</v>
      </c>
      <c r="D3094">
        <v>1</v>
      </c>
      <c r="E3094">
        <v>0</v>
      </c>
      <c r="F3094">
        <v>-0.23425871941480922</v>
      </c>
      <c r="G3094">
        <v>-0.43139039136059093</v>
      </c>
      <c r="H3094">
        <v>-0.5075532995376858</v>
      </c>
    </row>
    <row r="3095" spans="2:8">
      <c r="B3095">
        <v>1</v>
      </c>
      <c r="C3095">
        <v>102</v>
      </c>
      <c r="D3095">
        <v>1</v>
      </c>
      <c r="E3095">
        <v>0</v>
      </c>
      <c r="F3095">
        <v>-0.26126406488434734</v>
      </c>
      <c r="G3095">
        <v>-0.18819178869864306</v>
      </c>
      <c r="H3095">
        <v>-0.27743776547843668</v>
      </c>
    </row>
    <row r="3096" spans="2:8">
      <c r="B3096">
        <v>3</v>
      </c>
      <c r="C3096">
        <v>56.086938094612123</v>
      </c>
      <c r="D3096">
        <v>1</v>
      </c>
      <c r="E3096">
        <v>0</v>
      </c>
      <c r="F3096">
        <v>-0.19179492110393961</v>
      </c>
      <c r="G3096">
        <v>-0.35371027187225201</v>
      </c>
      <c r="H3096">
        <v>-0.40408611532384331</v>
      </c>
    </row>
    <row r="3097" spans="2:8">
      <c r="B3097">
        <v>1</v>
      </c>
      <c r="C3097">
        <v>102</v>
      </c>
      <c r="D3097">
        <v>1</v>
      </c>
      <c r="E3097">
        <v>0</v>
      </c>
      <c r="F3097">
        <v>0.15598745653275836</v>
      </c>
    </row>
    <row r="3098" spans="2:8">
      <c r="B3098">
        <v>1</v>
      </c>
      <c r="C3098">
        <v>102</v>
      </c>
      <c r="D3098">
        <v>1</v>
      </c>
      <c r="E3098">
        <v>0</v>
      </c>
      <c r="F3098">
        <v>6.50531308763065E-2</v>
      </c>
    </row>
    <row r="3099" spans="2:8">
      <c r="B3099">
        <v>1</v>
      </c>
      <c r="C3099">
        <v>97.960799999999992</v>
      </c>
      <c r="D3099">
        <v>1</v>
      </c>
      <c r="E3099">
        <v>0</v>
      </c>
      <c r="F3099">
        <v>0.15984583373417527</v>
      </c>
    </row>
    <row r="3100" spans="2:8">
      <c r="B3100">
        <v>3</v>
      </c>
      <c r="C3100">
        <v>97.771024959999991</v>
      </c>
      <c r="D3100">
        <v>3</v>
      </c>
      <c r="E3100">
        <v>0</v>
      </c>
      <c r="F3100">
        <v>-5.6146588766291652E-2</v>
      </c>
      <c r="G3100">
        <v>3.285187555875433E-2</v>
      </c>
      <c r="H3100">
        <v>0.11761644286767148</v>
      </c>
    </row>
    <row r="3101" spans="2:8">
      <c r="B3101">
        <v>3</v>
      </c>
      <c r="C3101">
        <v>25.540541417759698</v>
      </c>
      <c r="D3101">
        <v>0</v>
      </c>
      <c r="E3101">
        <v>0</v>
      </c>
      <c r="F3101">
        <v>-0.44835662484470518</v>
      </c>
      <c r="G3101">
        <v>-0.41963074735878086</v>
      </c>
      <c r="H3101">
        <v>-0.7286362249385917</v>
      </c>
    </row>
    <row r="3102" spans="2:8">
      <c r="B3102">
        <v>1</v>
      </c>
      <c r="C3102">
        <v>97.960799999999992</v>
      </c>
      <c r="D3102">
        <v>1</v>
      </c>
      <c r="E3102">
        <v>0</v>
      </c>
      <c r="F3102">
        <v>4.3611986928924332E-2</v>
      </c>
    </row>
    <row r="3103" spans="2:8">
      <c r="B3103">
        <v>3</v>
      </c>
      <c r="C3103">
        <v>55.316012784220987</v>
      </c>
      <c r="D3103">
        <v>1</v>
      </c>
      <c r="E3103">
        <v>0</v>
      </c>
      <c r="F3103">
        <v>-0.34024609423249491</v>
      </c>
      <c r="G3103">
        <v>-0.29776160053635076</v>
      </c>
      <c r="H3103">
        <v>-0.41227706159613564</v>
      </c>
    </row>
    <row r="3104" spans="2:8">
      <c r="B3104">
        <v>1</v>
      </c>
      <c r="C3104">
        <v>102</v>
      </c>
      <c r="D3104">
        <v>1</v>
      </c>
      <c r="E3104">
        <v>0</v>
      </c>
      <c r="F3104">
        <v>-0.2516276495711931</v>
      </c>
      <c r="G3104">
        <v>-0.4621438098893576</v>
      </c>
      <c r="H3104">
        <v>-0.5470059024107522</v>
      </c>
    </row>
    <row r="3105" spans="2:8">
      <c r="B3105">
        <v>1</v>
      </c>
      <c r="C3105">
        <v>102</v>
      </c>
      <c r="D3105">
        <v>1</v>
      </c>
      <c r="E3105">
        <v>0</v>
      </c>
      <c r="F3105">
        <v>-0.21162548925599717</v>
      </c>
      <c r="G3105">
        <v>-9.9742303117905329E-2</v>
      </c>
      <c r="H3105">
        <v>-0.16297741664966323</v>
      </c>
    </row>
    <row r="3106" spans="2:8">
      <c r="B3106">
        <v>3</v>
      </c>
      <c r="C3106">
        <v>0</v>
      </c>
      <c r="D3106">
        <v>0</v>
      </c>
      <c r="E3106">
        <v>0</v>
      </c>
      <c r="F3106">
        <v>-0.66448480624003148</v>
      </c>
      <c r="G3106">
        <v>-0.97265559987872274</v>
      </c>
      <c r="H3106">
        <v>-1.1030942617295509</v>
      </c>
    </row>
    <row r="3107" spans="2:8">
      <c r="B3107">
        <v>3</v>
      </c>
      <c r="C3107">
        <v>92.23681599999999</v>
      </c>
      <c r="D3107">
        <v>3</v>
      </c>
      <c r="E3107">
        <v>0</v>
      </c>
      <c r="F3107">
        <v>-6.0433192274432605E-2</v>
      </c>
      <c r="G3107">
        <v>-0.26667658546020856</v>
      </c>
      <c r="H3107">
        <v>-0.18800877720886877</v>
      </c>
    </row>
    <row r="3108" spans="2:8">
      <c r="B3108">
        <v>3</v>
      </c>
      <c r="C3108">
        <v>12.306664281555541</v>
      </c>
      <c r="D3108">
        <v>0</v>
      </c>
      <c r="E3108">
        <v>0</v>
      </c>
      <c r="F3108">
        <v>-0.33516846242236648</v>
      </c>
      <c r="G3108">
        <v>-0.59865719639265802</v>
      </c>
      <c r="H3108">
        <v>-0.86924384948495592</v>
      </c>
    </row>
    <row r="3109" spans="2:8">
      <c r="B3109">
        <v>1</v>
      </c>
      <c r="C3109">
        <v>97.960799999999992</v>
      </c>
      <c r="D3109">
        <v>1</v>
      </c>
      <c r="E3109">
        <v>0</v>
      </c>
      <c r="F3109">
        <v>5.0854162664031434E-4</v>
      </c>
    </row>
    <row r="3110" spans="2:8">
      <c r="B3110">
        <v>3</v>
      </c>
      <c r="C3110">
        <v>92.23681599999999</v>
      </c>
      <c r="D3110">
        <v>3</v>
      </c>
      <c r="E3110">
        <v>0</v>
      </c>
      <c r="F3110">
        <v>-0.12550169555602436</v>
      </c>
      <c r="G3110">
        <v>-0.11860524983723061</v>
      </c>
      <c r="H3110">
        <v>-0.11479957613111463</v>
      </c>
    </row>
    <row r="3111" spans="2:8">
      <c r="B3111">
        <v>3</v>
      </c>
      <c r="C3111">
        <v>92.23681599999999</v>
      </c>
      <c r="D3111">
        <v>3</v>
      </c>
      <c r="E3111">
        <v>0</v>
      </c>
      <c r="F3111">
        <v>-0.16483963186691819</v>
      </c>
      <c r="G3111">
        <v>1.8090246578891973E-2</v>
      </c>
      <c r="H3111">
        <v>-0.12334903601375123</v>
      </c>
    </row>
    <row r="3112" spans="2:8">
      <c r="B3112">
        <v>3</v>
      </c>
      <c r="C3112">
        <v>20.804477720299012</v>
      </c>
      <c r="D3112">
        <v>0</v>
      </c>
      <c r="E3112">
        <v>0</v>
      </c>
      <c r="F3112">
        <v>-0.37671644330297338</v>
      </c>
      <c r="G3112">
        <v>-0.65802562524365305</v>
      </c>
      <c r="H3112">
        <v>-0.77895607144664414</v>
      </c>
    </row>
    <row r="3113" spans="2:8">
      <c r="B3113">
        <v>3</v>
      </c>
      <c r="C3113">
        <v>92.23681599999999</v>
      </c>
      <c r="D3113">
        <v>2</v>
      </c>
      <c r="E3113">
        <v>0</v>
      </c>
      <c r="F3113">
        <v>-8.6380437418958567E-2</v>
      </c>
      <c r="G3113">
        <v>-0.34006631765205347</v>
      </c>
      <c r="H3113">
        <v>-0.29466650013132817</v>
      </c>
    </row>
    <row r="3114" spans="2:8">
      <c r="B3114">
        <v>1</v>
      </c>
      <c r="C3114">
        <v>102</v>
      </c>
      <c r="D3114">
        <v>1</v>
      </c>
      <c r="E3114">
        <v>0</v>
      </c>
      <c r="F3114">
        <v>-0.1703840050133727</v>
      </c>
      <c r="G3114">
        <v>-0.31344899828729816</v>
      </c>
      <c r="H3114">
        <v>-0.4599289808078682</v>
      </c>
    </row>
    <row r="3115" spans="2:8">
      <c r="B3115">
        <v>3</v>
      </c>
      <c r="C3115">
        <v>92.23681599999999</v>
      </c>
      <c r="D3115">
        <v>1</v>
      </c>
      <c r="E3115">
        <v>0</v>
      </c>
      <c r="F3115">
        <v>-0.31063260354278066</v>
      </c>
      <c r="G3115">
        <v>-0.2597238968065903</v>
      </c>
      <c r="H3115">
        <v>-0.36681996450216381</v>
      </c>
    </row>
    <row r="3116" spans="2:8">
      <c r="B3116">
        <v>1</v>
      </c>
      <c r="C3116">
        <v>102</v>
      </c>
      <c r="D3116">
        <v>1</v>
      </c>
      <c r="E3116">
        <v>0</v>
      </c>
      <c r="F3116">
        <v>-0.12730563506062711</v>
      </c>
      <c r="G3116">
        <v>-0.12214459165517465</v>
      </c>
      <c r="H3116">
        <v>-0.12006240275762428</v>
      </c>
    </row>
    <row r="3117" spans="2:8">
      <c r="B3117">
        <v>1</v>
      </c>
      <c r="C3117">
        <v>102</v>
      </c>
      <c r="D3117">
        <v>1</v>
      </c>
      <c r="E3117">
        <v>0</v>
      </c>
      <c r="F3117">
        <v>-4.4914011088370905E-2</v>
      </c>
      <c r="G3117">
        <v>-0.22814783926164864</v>
      </c>
      <c r="H3117">
        <v>-0.1263562194448212</v>
      </c>
    </row>
    <row r="3118" spans="2:8">
      <c r="B3118">
        <v>3</v>
      </c>
      <c r="C3118">
        <v>44.62774012441259</v>
      </c>
      <c r="D3118">
        <v>1</v>
      </c>
      <c r="E3118">
        <v>0</v>
      </c>
      <c r="F3118">
        <v>-0.19417766415689794</v>
      </c>
      <c r="G3118">
        <v>-0.35815002020636377</v>
      </c>
      <c r="H3118">
        <v>-0.52583808484971617</v>
      </c>
    </row>
    <row r="3119" spans="2:8">
      <c r="B3119">
        <v>3</v>
      </c>
      <c r="C3119">
        <v>92.23681599999999</v>
      </c>
      <c r="D3119">
        <v>3</v>
      </c>
      <c r="E3119">
        <v>0</v>
      </c>
      <c r="F3119">
        <v>-0.19815618049154585</v>
      </c>
      <c r="G3119">
        <v>-7.0981558804181361E-2</v>
      </c>
      <c r="H3119">
        <v>-0.12564139326497484</v>
      </c>
    </row>
    <row r="3120" spans="2:8">
      <c r="B3120">
        <v>1</v>
      </c>
      <c r="C3120">
        <v>102</v>
      </c>
      <c r="D3120">
        <v>1</v>
      </c>
      <c r="E3120">
        <v>0</v>
      </c>
      <c r="F3120">
        <v>0.19079739417973771</v>
      </c>
    </row>
    <row r="3121" spans="2:8">
      <c r="B3121">
        <v>1</v>
      </c>
      <c r="C3121">
        <v>97.960799999999992</v>
      </c>
      <c r="D3121">
        <v>1</v>
      </c>
      <c r="E3121">
        <v>0</v>
      </c>
      <c r="F3121">
        <v>1.9009356341582097E-2</v>
      </c>
    </row>
    <row r="3122" spans="2:8">
      <c r="B3122">
        <v>3</v>
      </c>
      <c r="C3122">
        <v>92.23681599999999</v>
      </c>
      <c r="D3122">
        <v>3</v>
      </c>
      <c r="E3122">
        <v>0</v>
      </c>
      <c r="F3122">
        <v>-0.18944263375564557</v>
      </c>
      <c r="G3122">
        <v>-0.23530028029208294</v>
      </c>
      <c r="H3122">
        <v>-0.2840534637603061</v>
      </c>
    </row>
    <row r="3123" spans="2:8">
      <c r="B3123">
        <v>3</v>
      </c>
      <c r="C3123">
        <v>97.771024959999991</v>
      </c>
      <c r="D3123">
        <v>3</v>
      </c>
      <c r="E3123">
        <v>0</v>
      </c>
      <c r="F3123">
        <v>-1.2030200246069874E-3</v>
      </c>
      <c r="G3123">
        <v>-0.13138034504278429</v>
      </c>
      <c r="H3123">
        <v>6.426023068140102E-2</v>
      </c>
    </row>
    <row r="3124" spans="2:8">
      <c r="B3124">
        <v>1</v>
      </c>
      <c r="C3124">
        <v>102</v>
      </c>
      <c r="D3124">
        <v>1</v>
      </c>
      <c r="E3124">
        <v>0</v>
      </c>
      <c r="F3124">
        <v>0.12590165257912472</v>
      </c>
    </row>
    <row r="3125" spans="2:8">
      <c r="B3125">
        <v>1</v>
      </c>
      <c r="C3125">
        <v>102</v>
      </c>
      <c r="D3125">
        <v>1</v>
      </c>
      <c r="E3125">
        <v>0</v>
      </c>
      <c r="F3125">
        <v>-0.22343257204054223</v>
      </c>
      <c r="G3125">
        <v>-0.12292200594535042</v>
      </c>
      <c r="H3125">
        <v>-0.19312976654023042</v>
      </c>
    </row>
    <row r="3126" spans="2:8">
      <c r="B3126">
        <v>1</v>
      </c>
      <c r="C3126">
        <v>97.960799999999992</v>
      </c>
      <c r="D3126">
        <v>1</v>
      </c>
      <c r="E3126">
        <v>0</v>
      </c>
      <c r="F3126">
        <v>7.4360249153554589E-2</v>
      </c>
    </row>
    <row r="3127" spans="2:8">
      <c r="B3127">
        <v>1</v>
      </c>
      <c r="C3127">
        <v>102</v>
      </c>
      <c r="D3127">
        <v>1</v>
      </c>
      <c r="E3127">
        <v>0</v>
      </c>
      <c r="F3127">
        <v>-0.23941973794908739</v>
      </c>
      <c r="G3127">
        <v>-0.15195294569895806</v>
      </c>
      <c r="H3127">
        <v>-0.23080959352553643</v>
      </c>
    </row>
    <row r="3128" spans="2:8">
      <c r="B3128">
        <v>1</v>
      </c>
      <c r="C3128">
        <v>97.960799999999992</v>
      </c>
      <c r="D3128">
        <v>1</v>
      </c>
      <c r="E3128">
        <v>0</v>
      </c>
      <c r="F3128">
        <v>0.11349148295053101</v>
      </c>
    </row>
    <row r="3129" spans="2:8">
      <c r="B3129">
        <v>1</v>
      </c>
      <c r="C3129">
        <v>97.960799999999992</v>
      </c>
      <c r="D3129">
        <v>1</v>
      </c>
      <c r="E3129">
        <v>0</v>
      </c>
      <c r="F3129">
        <v>0.18264475242482919</v>
      </c>
    </row>
    <row r="3130" spans="2:8">
      <c r="B3130">
        <v>3</v>
      </c>
      <c r="C3130">
        <v>97.771024959999991</v>
      </c>
      <c r="D3130">
        <v>3</v>
      </c>
      <c r="E3130">
        <v>0</v>
      </c>
      <c r="F3130">
        <v>-8.2012634999681741E-2</v>
      </c>
      <c r="G3130">
        <v>-2.7799343325363695E-2</v>
      </c>
      <c r="H3130">
        <v>2.2823001148648749E-2</v>
      </c>
    </row>
    <row r="3131" spans="2:8">
      <c r="B3131">
        <v>3</v>
      </c>
      <c r="C3131">
        <v>92.23681599999999</v>
      </c>
      <c r="D3131">
        <v>3</v>
      </c>
      <c r="E3131">
        <v>0</v>
      </c>
      <c r="F3131">
        <v>-0.18795130983830294</v>
      </c>
      <c r="G3131">
        <v>-4.7054345338954418E-2</v>
      </c>
      <c r="H3131">
        <v>-0.2092631640505225</v>
      </c>
    </row>
    <row r="3132" spans="2:8">
      <c r="B3132">
        <v>3</v>
      </c>
      <c r="C3132">
        <v>49.786949491201668</v>
      </c>
      <c r="D3132">
        <v>1</v>
      </c>
      <c r="E3132">
        <v>0</v>
      </c>
      <c r="F3132">
        <v>-0.21880106674314168</v>
      </c>
      <c r="G3132">
        <v>-0.4034898057578305</v>
      </c>
      <c r="H3132">
        <v>-0.47102238978655075</v>
      </c>
    </row>
    <row r="3133" spans="2:8">
      <c r="B3133">
        <v>3</v>
      </c>
      <c r="C3133">
        <v>54.16402309333607</v>
      </c>
      <c r="D3133">
        <v>0</v>
      </c>
      <c r="E3133">
        <v>0</v>
      </c>
      <c r="F3133">
        <v>-0.34880449656678242</v>
      </c>
      <c r="G3133">
        <v>-0.30824950183720423</v>
      </c>
      <c r="H3133">
        <v>-0.42451675010692747</v>
      </c>
    </row>
    <row r="3134" spans="2:8">
      <c r="B3134">
        <v>3</v>
      </c>
      <c r="C3134">
        <v>92.23681599999999</v>
      </c>
      <c r="D3134">
        <v>3</v>
      </c>
      <c r="E3134">
        <v>0</v>
      </c>
      <c r="F3134">
        <v>-9.96500909120034E-2</v>
      </c>
      <c r="G3134">
        <v>-6.600910742888362E-2</v>
      </c>
      <c r="H3134">
        <v>-3.5697027001321012E-2</v>
      </c>
    </row>
    <row r="3135" spans="2:8">
      <c r="B3135">
        <v>3</v>
      </c>
      <c r="C3135">
        <v>45.251229533804704</v>
      </c>
      <c r="D3135">
        <v>1</v>
      </c>
      <c r="E3135">
        <v>0</v>
      </c>
      <c r="F3135">
        <v>-0.12435105506008598</v>
      </c>
      <c r="G3135">
        <v>-0.52412669893774111</v>
      </c>
      <c r="H3135">
        <v>-0.51921361917860853</v>
      </c>
    </row>
    <row r="3136" spans="2:8">
      <c r="B3136">
        <v>1</v>
      </c>
      <c r="C3136">
        <v>97.960799999999992</v>
      </c>
      <c r="D3136">
        <v>1</v>
      </c>
      <c r="E3136">
        <v>0</v>
      </c>
      <c r="F3136">
        <v>6.2936460869486455E-2</v>
      </c>
    </row>
    <row r="3137" spans="2:8">
      <c r="B3137">
        <v>1</v>
      </c>
      <c r="C3137">
        <v>102</v>
      </c>
      <c r="D3137">
        <v>1</v>
      </c>
      <c r="E3137">
        <v>0</v>
      </c>
      <c r="F3137">
        <v>-0.19572052934647219</v>
      </c>
      <c r="G3137">
        <v>-6.5460501388355144E-2</v>
      </c>
      <c r="H3137">
        <v>-0.1184979456075215</v>
      </c>
    </row>
    <row r="3138" spans="2:8">
      <c r="B3138">
        <v>1</v>
      </c>
      <c r="C3138">
        <v>97.960799999999992</v>
      </c>
      <c r="D3138">
        <v>1</v>
      </c>
      <c r="E3138">
        <v>0</v>
      </c>
      <c r="F3138">
        <v>1.2536408577792181E-2</v>
      </c>
    </row>
    <row r="3139" spans="2:8">
      <c r="B3139">
        <v>1</v>
      </c>
      <c r="C3139">
        <v>97.960799999999992</v>
      </c>
      <c r="D3139">
        <v>1</v>
      </c>
      <c r="E3139">
        <v>0</v>
      </c>
      <c r="F3139">
        <v>6.6419831414419525E-2</v>
      </c>
    </row>
    <row r="3140" spans="2:8">
      <c r="B3140">
        <v>1</v>
      </c>
      <c r="C3140">
        <v>97.960799999999992</v>
      </c>
      <c r="D3140">
        <v>1</v>
      </c>
      <c r="E3140">
        <v>0</v>
      </c>
      <c r="F3140">
        <v>2.9800694321447784E-2</v>
      </c>
    </row>
    <row r="3141" spans="2:8">
      <c r="B3141">
        <v>1</v>
      </c>
      <c r="C3141">
        <v>97.960799999999992</v>
      </c>
      <c r="D3141">
        <v>1</v>
      </c>
      <c r="E3141">
        <v>0</v>
      </c>
      <c r="F3141">
        <v>0.17346618371472586</v>
      </c>
    </row>
    <row r="3142" spans="2:8">
      <c r="B3142">
        <v>1</v>
      </c>
      <c r="C3142">
        <v>102</v>
      </c>
      <c r="D3142">
        <v>1</v>
      </c>
      <c r="E3142">
        <v>0</v>
      </c>
      <c r="F3142">
        <v>0.28556189877286436</v>
      </c>
    </row>
    <row r="3143" spans="2:8">
      <c r="B3143">
        <v>3</v>
      </c>
      <c r="C3143">
        <v>97.771024959999991</v>
      </c>
      <c r="D3143">
        <v>3</v>
      </c>
      <c r="E3143">
        <v>0</v>
      </c>
      <c r="F3143">
        <v>-0.1521576725346892</v>
      </c>
      <c r="G3143">
        <v>6.6389132137512075E-2</v>
      </c>
      <c r="H3143">
        <v>4.6223035815938507E-2</v>
      </c>
    </row>
    <row r="3144" spans="2:8">
      <c r="B3144">
        <v>1</v>
      </c>
      <c r="C3144">
        <v>97.960799999999992</v>
      </c>
      <c r="D3144">
        <v>1</v>
      </c>
      <c r="E3144">
        <v>0</v>
      </c>
      <c r="F3144">
        <v>2.1964430726436366E-2</v>
      </c>
    </row>
    <row r="3145" spans="2:8">
      <c r="B3145">
        <v>1</v>
      </c>
      <c r="C3145">
        <v>97.960799999999992</v>
      </c>
      <c r="D3145">
        <v>1</v>
      </c>
      <c r="E3145">
        <v>0</v>
      </c>
      <c r="F3145">
        <v>3.4733396027591998E-2</v>
      </c>
    </row>
    <row r="3146" spans="2:8">
      <c r="B3146">
        <v>1</v>
      </c>
      <c r="C3146">
        <v>102</v>
      </c>
      <c r="D3146">
        <v>1</v>
      </c>
      <c r="E3146">
        <v>0</v>
      </c>
      <c r="F3146">
        <v>0.14287172736563208</v>
      </c>
    </row>
    <row r="3147" spans="2:8">
      <c r="B3147">
        <v>3</v>
      </c>
      <c r="C3147">
        <v>92.23681599999999</v>
      </c>
      <c r="D3147">
        <v>2</v>
      </c>
      <c r="E3147">
        <v>0</v>
      </c>
      <c r="F3147">
        <v>-0.27872306347569226</v>
      </c>
      <c r="G3147">
        <v>-0.2149022901364607</v>
      </c>
      <c r="H3147">
        <v>-0.31131613469989594</v>
      </c>
    </row>
    <row r="3148" spans="2:8">
      <c r="B3148">
        <v>1</v>
      </c>
      <c r="C3148">
        <v>97.960799999999992</v>
      </c>
      <c r="D3148">
        <v>1</v>
      </c>
      <c r="E3148">
        <v>0</v>
      </c>
      <c r="F3148">
        <v>0.27172736083811005</v>
      </c>
    </row>
    <row r="3149" spans="2:8">
      <c r="B3149">
        <v>1</v>
      </c>
      <c r="C3149">
        <v>102</v>
      </c>
      <c r="D3149">
        <v>1</v>
      </c>
      <c r="E3149">
        <v>0</v>
      </c>
      <c r="F3149">
        <v>-3.4689055021789303E-2</v>
      </c>
      <c r="G3149">
        <v>-0.20418405702762918</v>
      </c>
      <c r="H3149">
        <v>-8.5265159931039627E-2</v>
      </c>
    </row>
    <row r="3150" spans="2:8">
      <c r="B3150">
        <v>1</v>
      </c>
      <c r="C3150">
        <v>102</v>
      </c>
      <c r="D3150">
        <v>1</v>
      </c>
      <c r="E3150">
        <v>0</v>
      </c>
      <c r="F3150">
        <v>0.11073377190799732</v>
      </c>
    </row>
    <row r="3151" spans="2:8">
      <c r="B3151">
        <v>1</v>
      </c>
      <c r="C3151">
        <v>102</v>
      </c>
      <c r="D3151">
        <v>1</v>
      </c>
      <c r="E3151">
        <v>0</v>
      </c>
      <c r="F3151">
        <v>-0.18336851848012536</v>
      </c>
      <c r="G3151">
        <v>-3.5544524715227205E-2</v>
      </c>
      <c r="H3151">
        <v>-8.0010615234037658E-2</v>
      </c>
    </row>
    <row r="3152" spans="2:8">
      <c r="B3152">
        <v>3</v>
      </c>
      <c r="C3152">
        <v>97.771024959999991</v>
      </c>
      <c r="D3152">
        <v>3</v>
      </c>
      <c r="E3152">
        <v>0</v>
      </c>
      <c r="F3152">
        <v>-1.4572259695250262E-2</v>
      </c>
      <c r="G3152">
        <v>-5.9333719929586283E-3</v>
      </c>
      <c r="H3152">
        <v>0.15358472973074228</v>
      </c>
    </row>
    <row r="3153" spans="2:8">
      <c r="B3153">
        <v>1</v>
      </c>
      <c r="C3153">
        <v>97.960799999999992</v>
      </c>
      <c r="D3153">
        <v>1</v>
      </c>
      <c r="E3153">
        <v>0</v>
      </c>
      <c r="F3153">
        <v>0.23511160630687472</v>
      </c>
    </row>
    <row r="3154" spans="2:8">
      <c r="B3154">
        <v>1</v>
      </c>
      <c r="C3154">
        <v>97.960799999999992</v>
      </c>
      <c r="D3154">
        <v>1</v>
      </c>
      <c r="E3154">
        <v>0</v>
      </c>
      <c r="F3154">
        <v>0.11629946959140557</v>
      </c>
    </row>
    <row r="3155" spans="2:8">
      <c r="B3155">
        <v>1</v>
      </c>
      <c r="C3155">
        <v>97.960799999999992</v>
      </c>
      <c r="D3155">
        <v>1</v>
      </c>
      <c r="E3155">
        <v>0</v>
      </c>
      <c r="F3155">
        <v>9.6546579994948051E-3</v>
      </c>
    </row>
    <row r="3156" spans="2:8">
      <c r="B3156">
        <v>3</v>
      </c>
      <c r="C3156">
        <v>92.23681599999999</v>
      </c>
      <c r="D3156">
        <v>3</v>
      </c>
      <c r="E3156">
        <v>0</v>
      </c>
      <c r="F3156">
        <v>-0.15540707349376834</v>
      </c>
      <c r="G3156">
        <v>-0.17533594759208698</v>
      </c>
      <c r="H3156">
        <v>-0.19821460622419632</v>
      </c>
    </row>
    <row r="3157" spans="2:8">
      <c r="B3157">
        <v>3</v>
      </c>
      <c r="C3157">
        <v>92.23681599999999</v>
      </c>
      <c r="D3157">
        <v>2</v>
      </c>
      <c r="E3157">
        <v>0</v>
      </c>
      <c r="F3157">
        <v>-7.9310131007300222E-2</v>
      </c>
      <c r="G3157">
        <v>-0.31853928595430353</v>
      </c>
      <c r="H3157">
        <v>-0.2646162663558122</v>
      </c>
    </row>
    <row r="3158" spans="2:8">
      <c r="B3158">
        <v>3</v>
      </c>
      <c r="C3158">
        <v>92.23681599999999</v>
      </c>
      <c r="D3158">
        <v>3</v>
      </c>
      <c r="E3158">
        <v>0</v>
      </c>
      <c r="F3158">
        <v>-7.4975859537019116E-2</v>
      </c>
      <c r="G3158">
        <v>-0.12778097013764619</v>
      </c>
      <c r="H3158">
        <v>-6.8447510634306957E-2</v>
      </c>
    </row>
    <row r="3159" spans="2:8">
      <c r="B3159">
        <v>3</v>
      </c>
      <c r="C3159">
        <v>92.23681599999999</v>
      </c>
      <c r="D3159">
        <v>1</v>
      </c>
      <c r="E3159">
        <v>0</v>
      </c>
      <c r="F3159">
        <v>-8.8040966443234975E-2</v>
      </c>
      <c r="G3159">
        <v>-0.34534915744648753</v>
      </c>
      <c r="H3159">
        <v>-0.30189989911191556</v>
      </c>
    </row>
    <row r="3160" spans="2:8">
      <c r="B3160">
        <v>3</v>
      </c>
      <c r="C3160">
        <v>97.771024959999991</v>
      </c>
      <c r="D3160">
        <v>3</v>
      </c>
      <c r="E3160">
        <v>0</v>
      </c>
      <c r="F3160">
        <v>-4.9200664224469809E-2</v>
      </c>
      <c r="G3160">
        <v>-7.619242222351294E-2</v>
      </c>
      <c r="H3160">
        <v>1.8906272393432077E-2</v>
      </c>
    </row>
    <row r="3161" spans="2:8">
      <c r="B3161">
        <v>3</v>
      </c>
      <c r="C3161">
        <v>92.23681599999999</v>
      </c>
      <c r="D3161">
        <v>3</v>
      </c>
      <c r="E3161">
        <v>0</v>
      </c>
      <c r="F3161">
        <v>-0.1760734413066046</v>
      </c>
      <c r="G3161">
        <v>-1.599411550875901E-2</v>
      </c>
      <c r="H3161">
        <v>-0.1676096553047817</v>
      </c>
    </row>
    <row r="3162" spans="2:8">
      <c r="B3162">
        <v>3</v>
      </c>
      <c r="C3162">
        <v>38.542943450192915</v>
      </c>
      <c r="D3162">
        <v>1</v>
      </c>
      <c r="E3162">
        <v>0</v>
      </c>
      <c r="F3162">
        <v>-0.2717228481769759</v>
      </c>
      <c r="G3162">
        <v>-0.49683050782018512</v>
      </c>
      <c r="H3162">
        <v>-0.59048798278998416</v>
      </c>
    </row>
    <row r="3163" spans="2:8">
      <c r="B3163">
        <v>3</v>
      </c>
      <c r="C3163">
        <v>92.23681599999999</v>
      </c>
      <c r="D3163">
        <v>3</v>
      </c>
      <c r="E3163">
        <v>0</v>
      </c>
      <c r="F3163">
        <v>-0.17390079332793765</v>
      </c>
      <c r="G3163">
        <v>-9.8274232266812398E-3</v>
      </c>
      <c r="H3163">
        <v>-4.7328942020745009E-2</v>
      </c>
    </row>
    <row r="3164" spans="2:8">
      <c r="B3164">
        <v>1</v>
      </c>
      <c r="C3164">
        <v>97.960799999999992</v>
      </c>
      <c r="D3164">
        <v>1</v>
      </c>
      <c r="E3164">
        <v>0</v>
      </c>
      <c r="F3164">
        <v>8.6471886773047388E-2</v>
      </c>
    </row>
    <row r="3165" spans="2:8">
      <c r="B3165">
        <v>3</v>
      </c>
      <c r="C3165">
        <v>92.23681599999999</v>
      </c>
      <c r="D3165">
        <v>1</v>
      </c>
      <c r="E3165">
        <v>0</v>
      </c>
      <c r="F3165">
        <v>-0.30485357557888559</v>
      </c>
      <c r="G3165">
        <v>-0.25193589781421227</v>
      </c>
      <c r="H3165">
        <v>-0.35731620252002455</v>
      </c>
    </row>
    <row r="3166" spans="2:8">
      <c r="B3166">
        <v>3</v>
      </c>
      <c r="C3166">
        <v>28.31948608497953</v>
      </c>
      <c r="D3166">
        <v>0</v>
      </c>
      <c r="E3166">
        <v>0</v>
      </c>
      <c r="F3166">
        <v>-0.32776832910542575</v>
      </c>
      <c r="G3166">
        <v>-0.58745298515309385</v>
      </c>
      <c r="H3166">
        <v>-0.69911042502507958</v>
      </c>
    </row>
    <row r="3167" spans="2:8">
      <c r="B3167">
        <v>3</v>
      </c>
      <c r="C3167">
        <v>53.712234784567698</v>
      </c>
      <c r="D3167">
        <v>1</v>
      </c>
      <c r="E3167">
        <v>0</v>
      </c>
      <c r="F3167">
        <v>-0.11325135081328484</v>
      </c>
      <c r="G3167">
        <v>-0.44524654575851214</v>
      </c>
      <c r="H3167">
        <v>-0.42931692168476032</v>
      </c>
    </row>
    <row r="3168" spans="2:8">
      <c r="B3168">
        <v>3</v>
      </c>
      <c r="C3168">
        <v>92.23681599999999</v>
      </c>
      <c r="D3168">
        <v>3</v>
      </c>
      <c r="E3168">
        <v>0</v>
      </c>
      <c r="F3168">
        <v>-8.3664021684692821E-2</v>
      </c>
      <c r="G3168">
        <v>-0.14504110428178743</v>
      </c>
      <c r="H3168">
        <v>-9.6409253653884128E-2</v>
      </c>
    </row>
    <row r="3169" spans="2:8">
      <c r="B3169">
        <v>1</v>
      </c>
      <c r="C3169">
        <v>102</v>
      </c>
      <c r="D3169">
        <v>1</v>
      </c>
      <c r="E3169">
        <v>0</v>
      </c>
      <c r="F3169">
        <v>-6.2057856297530099E-2</v>
      </c>
      <c r="G3169">
        <v>-0.27089248608141436</v>
      </c>
      <c r="H3169">
        <v>-0.1944842179146016</v>
      </c>
    </row>
    <row r="3170" spans="2:8">
      <c r="B3170">
        <v>1</v>
      </c>
      <c r="C3170">
        <v>102</v>
      </c>
      <c r="D3170">
        <v>1</v>
      </c>
      <c r="E3170">
        <v>0</v>
      </c>
      <c r="F3170">
        <v>-0.12911910866637039</v>
      </c>
      <c r="G3170">
        <v>-0.23425420096755112</v>
      </c>
      <c r="H3170">
        <v>-0.23388916360075307</v>
      </c>
    </row>
    <row r="3171" spans="2:8">
      <c r="B3171">
        <v>1</v>
      </c>
      <c r="C3171">
        <v>97.960799999999992</v>
      </c>
      <c r="D3171">
        <v>1</v>
      </c>
      <c r="E3171">
        <v>0</v>
      </c>
      <c r="F3171">
        <v>8.0320771005061048E-2</v>
      </c>
    </row>
    <row r="3172" spans="2:8">
      <c r="B3172">
        <v>3</v>
      </c>
      <c r="C3172">
        <v>51.893141534125064</v>
      </c>
      <c r="D3172">
        <v>1</v>
      </c>
      <c r="E3172">
        <v>0</v>
      </c>
      <c r="F3172">
        <v>-0.26765361277760913</v>
      </c>
      <c r="G3172">
        <v>-0.35666115626333417</v>
      </c>
      <c r="H3172">
        <v>-0.44864446856618984</v>
      </c>
    </row>
    <row r="3173" spans="2:8">
      <c r="B3173">
        <v>1</v>
      </c>
      <c r="C3173">
        <v>97.960799999999992</v>
      </c>
      <c r="D3173">
        <v>1</v>
      </c>
      <c r="E3173">
        <v>0</v>
      </c>
      <c r="F3173">
        <v>0.20542617480518108</v>
      </c>
    </row>
    <row r="3174" spans="2:8">
      <c r="B3174">
        <v>1</v>
      </c>
      <c r="C3174">
        <v>97.960799999999992</v>
      </c>
      <c r="D3174">
        <v>1</v>
      </c>
      <c r="E3174">
        <v>0</v>
      </c>
      <c r="F3174">
        <v>5.0580039071348171E-3</v>
      </c>
    </row>
    <row r="3175" spans="2:8">
      <c r="B3175">
        <v>3</v>
      </c>
      <c r="C3175">
        <v>97.771024959999991</v>
      </c>
      <c r="D3175">
        <v>3</v>
      </c>
      <c r="E3175">
        <v>0</v>
      </c>
      <c r="F3175">
        <v>-0.14007217592918292</v>
      </c>
      <c r="G3175">
        <v>0.13715349942216729</v>
      </c>
      <c r="H3175">
        <v>0.12746720820005691</v>
      </c>
    </row>
    <row r="3176" spans="2:8">
      <c r="B3176">
        <v>3</v>
      </c>
      <c r="C3176">
        <v>92.23681599999999</v>
      </c>
      <c r="D3176">
        <v>3</v>
      </c>
      <c r="E3176">
        <v>0</v>
      </c>
      <c r="F3176">
        <v>-0.11964580839820853</v>
      </c>
      <c r="G3176">
        <v>-0.21581853408337548</v>
      </c>
      <c r="H3176">
        <v>-0.206310369295618</v>
      </c>
    </row>
    <row r="3177" spans="2:8">
      <c r="B3177">
        <v>1</v>
      </c>
      <c r="C3177">
        <v>102</v>
      </c>
      <c r="D3177">
        <v>1</v>
      </c>
      <c r="E3177">
        <v>0</v>
      </c>
      <c r="F3177">
        <v>4.6821654137251742E-2</v>
      </c>
    </row>
    <row r="3178" spans="2:8">
      <c r="B3178">
        <v>3</v>
      </c>
      <c r="C3178">
        <v>92.23681599999999</v>
      </c>
      <c r="D3178">
        <v>3</v>
      </c>
      <c r="E3178">
        <v>0</v>
      </c>
      <c r="F3178">
        <v>-0.14508833741885413</v>
      </c>
      <c r="G3178">
        <v>-0.15621406246873668</v>
      </c>
      <c r="H3178">
        <v>-0.17032592028805671</v>
      </c>
    </row>
    <row r="3179" spans="2:8">
      <c r="B3179">
        <v>3</v>
      </c>
      <c r="C3179">
        <v>92.23681599999999</v>
      </c>
      <c r="D3179">
        <v>1</v>
      </c>
      <c r="E3179">
        <v>0</v>
      </c>
      <c r="F3179">
        <v>-0.10585281213527756</v>
      </c>
      <c r="G3179">
        <v>-0.41037276124214711</v>
      </c>
      <c r="H3179">
        <v>-0.38674674625752614</v>
      </c>
    </row>
    <row r="3180" spans="2:8">
      <c r="B3180">
        <v>1</v>
      </c>
      <c r="C3180">
        <v>97.960799999999992</v>
      </c>
      <c r="D3180">
        <v>1</v>
      </c>
      <c r="E3180">
        <v>0</v>
      </c>
      <c r="F3180">
        <v>3.3297774636286059E-3</v>
      </c>
    </row>
    <row r="3181" spans="2:8">
      <c r="B3181">
        <v>1</v>
      </c>
      <c r="C3181">
        <v>97.960799999999992</v>
      </c>
      <c r="D3181">
        <v>1</v>
      </c>
      <c r="E3181">
        <v>0</v>
      </c>
      <c r="F3181">
        <v>0.10367509571441212</v>
      </c>
    </row>
    <row r="3182" spans="2:8">
      <c r="B3182">
        <v>3</v>
      </c>
      <c r="C3182">
        <v>92.23681599999999</v>
      </c>
      <c r="D3182">
        <v>3</v>
      </c>
      <c r="E3182">
        <v>0</v>
      </c>
      <c r="F3182">
        <v>-0.166172014716961</v>
      </c>
      <c r="G3182">
        <v>-0.19480586607832484</v>
      </c>
      <c r="H3182">
        <v>-0.22636263444583463</v>
      </c>
    </row>
    <row r="3183" spans="2:8">
      <c r="B3183">
        <v>1</v>
      </c>
      <c r="C3183">
        <v>102</v>
      </c>
      <c r="D3183">
        <v>1</v>
      </c>
      <c r="E3183">
        <v>0</v>
      </c>
      <c r="F3183">
        <v>-5.3484806597154551E-2</v>
      </c>
      <c r="G3183">
        <v>-0.24906146056211617</v>
      </c>
      <c r="H3183">
        <v>-0.16040656264051964</v>
      </c>
    </row>
    <row r="3184" spans="2:8">
      <c r="B3184">
        <v>1</v>
      </c>
      <c r="C3184">
        <v>102</v>
      </c>
      <c r="D3184">
        <v>1</v>
      </c>
      <c r="E3184">
        <v>0</v>
      </c>
      <c r="F3184">
        <v>-0.15942676517883417</v>
      </c>
      <c r="G3184">
        <v>-0.29261048762547809</v>
      </c>
      <c r="H3184">
        <v>-0.42909565665948551</v>
      </c>
    </row>
    <row r="3185" spans="2:8">
      <c r="B3185">
        <v>1</v>
      </c>
      <c r="C3185">
        <v>97.960799999999992</v>
      </c>
      <c r="D3185">
        <v>1</v>
      </c>
      <c r="E3185">
        <v>0</v>
      </c>
      <c r="F3185">
        <v>0.31591568883789584</v>
      </c>
    </row>
    <row r="3186" spans="2:8">
      <c r="B3186">
        <v>1</v>
      </c>
      <c r="C3186">
        <v>102</v>
      </c>
      <c r="D3186">
        <v>1</v>
      </c>
      <c r="E3186">
        <v>0</v>
      </c>
      <c r="F3186">
        <v>-4.7577726851584769E-2</v>
      </c>
      <c r="G3186">
        <v>5.4584616970691682E-2</v>
      </c>
      <c r="H3186">
        <v>0.15218703603765354</v>
      </c>
    </row>
    <row r="3187" spans="2:8">
      <c r="B3187">
        <v>1</v>
      </c>
      <c r="C3187">
        <v>97.960799999999992</v>
      </c>
      <c r="D3187">
        <v>1</v>
      </c>
      <c r="E3187">
        <v>0</v>
      </c>
      <c r="F3187">
        <v>0.19963630312174377</v>
      </c>
    </row>
    <row r="3188" spans="2:8">
      <c r="B3188">
        <v>1</v>
      </c>
      <c r="C3188">
        <v>102</v>
      </c>
      <c r="D3188">
        <v>1</v>
      </c>
      <c r="E3188">
        <v>0</v>
      </c>
      <c r="F3188">
        <v>0.17067856711121504</v>
      </c>
    </row>
    <row r="3189" spans="2:8">
      <c r="B3189">
        <v>3</v>
      </c>
      <c r="C3189">
        <v>92.23681599999999</v>
      </c>
      <c r="D3189">
        <v>3</v>
      </c>
      <c r="E3189">
        <v>0</v>
      </c>
      <c r="F3189">
        <v>-6.9026189947287625E-2</v>
      </c>
      <c r="G3189">
        <v>-0.28945156002742412</v>
      </c>
      <c r="H3189">
        <v>-0.22244069147138273</v>
      </c>
    </row>
    <row r="3190" spans="2:8">
      <c r="B3190">
        <v>3</v>
      </c>
      <c r="C3190">
        <v>29.515425700897445</v>
      </c>
      <c r="D3190">
        <v>1</v>
      </c>
      <c r="E3190">
        <v>0</v>
      </c>
      <c r="F3190">
        <v>-0.25519085113834827</v>
      </c>
      <c r="G3190">
        <v>-0.46836760752424034</v>
      </c>
      <c r="H3190">
        <v>-0.6864037762656563</v>
      </c>
    </row>
    <row r="3191" spans="2:8">
      <c r="B3191">
        <v>3</v>
      </c>
      <c r="C3191">
        <v>92.23681599999999</v>
      </c>
      <c r="D3191">
        <v>2</v>
      </c>
      <c r="E3191">
        <v>0</v>
      </c>
      <c r="F3191">
        <v>-7.7666572366796513E-2</v>
      </c>
      <c r="G3191">
        <v>-0.31373140466078897</v>
      </c>
      <c r="H3191">
        <v>-0.25777404549028493</v>
      </c>
    </row>
    <row r="3192" spans="2:8">
      <c r="B3192">
        <v>3</v>
      </c>
      <c r="C3192">
        <v>41.265579199978141</v>
      </c>
      <c r="D3192">
        <v>1</v>
      </c>
      <c r="E3192">
        <v>0</v>
      </c>
      <c r="F3192">
        <v>-0.20732407575658493</v>
      </c>
      <c r="G3192">
        <v>-0.38248452158564122</v>
      </c>
      <c r="H3192">
        <v>-0.56156045525272058</v>
      </c>
    </row>
    <row r="3193" spans="2:8">
      <c r="B3193">
        <v>3</v>
      </c>
      <c r="C3193">
        <v>92.23681599999999</v>
      </c>
      <c r="D3193">
        <v>3</v>
      </c>
      <c r="E3193">
        <v>0</v>
      </c>
      <c r="F3193">
        <v>-0.16277493382898212</v>
      </c>
      <c r="G3193">
        <v>2.5063268094243453E-2</v>
      </c>
      <c r="H3193">
        <v>-3.8055338781024612E-3</v>
      </c>
    </row>
    <row r="3194" spans="2:8">
      <c r="B3194">
        <v>1</v>
      </c>
      <c r="C3194">
        <v>97.960799999999992</v>
      </c>
      <c r="D3194">
        <v>1</v>
      </c>
      <c r="E3194">
        <v>0</v>
      </c>
      <c r="F3194">
        <v>5.2073994043318139E-2</v>
      </c>
    </row>
    <row r="3195" spans="2:8">
      <c r="B3195">
        <v>3</v>
      </c>
      <c r="C3195">
        <v>97.771024959999991</v>
      </c>
      <c r="D3195">
        <v>3</v>
      </c>
      <c r="E3195">
        <v>0</v>
      </c>
      <c r="F3195">
        <v>-0.16072840531551638</v>
      </c>
      <c r="G3195">
        <v>3.2255537768410197E-2</v>
      </c>
      <c r="H3195">
        <v>5.0284556077032508E-3</v>
      </c>
    </row>
    <row r="3196" spans="2:8">
      <c r="B3196">
        <v>1</v>
      </c>
      <c r="C3196">
        <v>102</v>
      </c>
      <c r="D3196">
        <v>1</v>
      </c>
      <c r="E3196">
        <v>0</v>
      </c>
      <c r="F3196">
        <v>-6.6352934819965098E-2</v>
      </c>
      <c r="G3196">
        <v>-0.11058637532502277</v>
      </c>
      <c r="H3196">
        <v>-4.0024732837787652E-2</v>
      </c>
    </row>
    <row r="3197" spans="2:8">
      <c r="B3197">
        <v>3</v>
      </c>
      <c r="C3197">
        <v>52.649834110795268</v>
      </c>
      <c r="D3197">
        <v>1</v>
      </c>
      <c r="E3197">
        <v>0</v>
      </c>
      <c r="F3197">
        <v>-0.11499776673831542</v>
      </c>
      <c r="G3197">
        <v>-0.45475989241362569</v>
      </c>
      <c r="H3197">
        <v>-0.44060474259454746</v>
      </c>
    </row>
    <row r="3198" spans="2:8">
      <c r="B3198">
        <v>1</v>
      </c>
      <c r="C3198">
        <v>102</v>
      </c>
      <c r="D3198">
        <v>1</v>
      </c>
      <c r="E3198">
        <v>0</v>
      </c>
      <c r="F3198">
        <v>3.1659293499281808E-2</v>
      </c>
    </row>
    <row r="3199" spans="2:8">
      <c r="B3199">
        <v>1</v>
      </c>
      <c r="C3199">
        <v>102</v>
      </c>
      <c r="D3199">
        <v>1</v>
      </c>
      <c r="E3199">
        <v>0</v>
      </c>
      <c r="F3199">
        <v>6.1685433547930893E-3</v>
      </c>
    </row>
    <row r="3200" spans="2:8">
      <c r="B3200">
        <v>1</v>
      </c>
      <c r="C3200">
        <v>102</v>
      </c>
      <c r="D3200">
        <v>1</v>
      </c>
      <c r="E3200">
        <v>0</v>
      </c>
      <c r="F3200">
        <v>-0.27593890413141031</v>
      </c>
      <c r="G3200">
        <v>-0.50397457702304205</v>
      </c>
      <c r="H3200">
        <v>-0.7373841986076819</v>
      </c>
    </row>
    <row r="3201" spans="2:8">
      <c r="B3201">
        <v>3</v>
      </c>
      <c r="C3201">
        <v>92.23681599999999</v>
      </c>
      <c r="D3201">
        <v>3</v>
      </c>
      <c r="E3201">
        <v>0</v>
      </c>
      <c r="F3201">
        <v>-5.1862458140318042E-2</v>
      </c>
      <c r="G3201">
        <v>-0.24503806197937764</v>
      </c>
      <c r="H3201">
        <v>-0.15397028572028859</v>
      </c>
    </row>
    <row r="3202" spans="2:8">
      <c r="B3202">
        <v>1</v>
      </c>
      <c r="C3202">
        <v>97.960799999999992</v>
      </c>
      <c r="D3202">
        <v>1</v>
      </c>
      <c r="E3202">
        <v>0</v>
      </c>
      <c r="F3202">
        <v>0.25996316906334932</v>
      </c>
    </row>
    <row r="3203" spans="2:8">
      <c r="B3203">
        <v>1</v>
      </c>
      <c r="C3203">
        <v>97.960799999999992</v>
      </c>
      <c r="D3203">
        <v>1</v>
      </c>
      <c r="E3203">
        <v>0</v>
      </c>
      <c r="F3203">
        <v>9.5306888245736729E-2</v>
      </c>
    </row>
    <row r="3204" spans="2:8">
      <c r="B3204">
        <v>1</v>
      </c>
      <c r="C3204">
        <v>102</v>
      </c>
      <c r="D3204">
        <v>1</v>
      </c>
      <c r="E3204">
        <v>0</v>
      </c>
      <c r="F3204">
        <v>5.4092648252245336E-2</v>
      </c>
    </row>
    <row r="3205" spans="2:8">
      <c r="B3205">
        <v>1</v>
      </c>
      <c r="C3205">
        <v>102</v>
      </c>
      <c r="D3205">
        <v>1</v>
      </c>
      <c r="E3205">
        <v>0</v>
      </c>
      <c r="F3205">
        <v>0.25323241604636132</v>
      </c>
    </row>
    <row r="3206" spans="2:8">
      <c r="B3206">
        <v>1</v>
      </c>
      <c r="C3206">
        <v>102</v>
      </c>
      <c r="D3206">
        <v>1</v>
      </c>
      <c r="E3206">
        <v>0</v>
      </c>
      <c r="F3206">
        <v>-0.13699870133181932</v>
      </c>
      <c r="G3206">
        <v>-0.24952052815246936</v>
      </c>
      <c r="H3206">
        <v>-0.25644080936724128</v>
      </c>
    </row>
    <row r="3207" spans="2:8">
      <c r="B3207">
        <v>3</v>
      </c>
      <c r="C3207">
        <v>92.23681599999999</v>
      </c>
      <c r="D3207">
        <v>3</v>
      </c>
      <c r="E3207">
        <v>0</v>
      </c>
      <c r="F3207">
        <v>-1.8965644672302991E-2</v>
      </c>
      <c r="G3207">
        <v>-0.1690464553719615</v>
      </c>
      <c r="H3207">
        <v>-1.9440498642570071E-2</v>
      </c>
    </row>
    <row r="3208" spans="2:8">
      <c r="B3208">
        <v>1</v>
      </c>
      <c r="C3208">
        <v>97.960799999999992</v>
      </c>
      <c r="D3208">
        <v>1</v>
      </c>
      <c r="E3208">
        <v>0</v>
      </c>
      <c r="F3208">
        <v>0.37191023028088194</v>
      </c>
    </row>
    <row r="3209" spans="2:8">
      <c r="B3209">
        <v>1</v>
      </c>
      <c r="C3209">
        <v>102</v>
      </c>
      <c r="D3209">
        <v>1</v>
      </c>
      <c r="E3209">
        <v>0</v>
      </c>
      <c r="F3209">
        <v>5.9507057851274768E-2</v>
      </c>
    </row>
    <row r="3210" spans="2:8">
      <c r="B3210">
        <v>1</v>
      </c>
      <c r="C3210">
        <v>102</v>
      </c>
      <c r="D3210">
        <v>1</v>
      </c>
      <c r="E3210">
        <v>0</v>
      </c>
      <c r="F3210">
        <v>0.1960945187869248</v>
      </c>
    </row>
    <row r="3211" spans="2:8">
      <c r="B3211">
        <v>3</v>
      </c>
      <c r="C3211">
        <v>92.23681599999999</v>
      </c>
      <c r="D3211">
        <v>1</v>
      </c>
      <c r="E3211">
        <v>0</v>
      </c>
      <c r="F3211">
        <v>-9.5195437485632736E-2</v>
      </c>
      <c r="G3211">
        <v>-0.36934925848267119</v>
      </c>
      <c r="H3211">
        <v>-0.33409600199297618</v>
      </c>
    </row>
    <row r="3212" spans="2:8">
      <c r="B3212">
        <v>1</v>
      </c>
      <c r="C3212">
        <v>102</v>
      </c>
      <c r="D3212">
        <v>1</v>
      </c>
      <c r="E3212">
        <v>0</v>
      </c>
      <c r="F3212">
        <v>-0.13886837575261762</v>
      </c>
      <c r="G3212">
        <v>-0.253133576053513</v>
      </c>
      <c r="H3212">
        <v>-0.26174146662739012</v>
      </c>
    </row>
    <row r="3213" spans="2:8">
      <c r="B3213">
        <v>1</v>
      </c>
      <c r="C3213">
        <v>97.960799999999992</v>
      </c>
      <c r="D3213">
        <v>1</v>
      </c>
      <c r="E3213">
        <v>0</v>
      </c>
      <c r="F3213">
        <v>0.1210223467111107</v>
      </c>
    </row>
    <row r="3214" spans="2:8">
      <c r="B3214">
        <v>1</v>
      </c>
      <c r="C3214">
        <v>97.960799999999992</v>
      </c>
      <c r="D3214">
        <v>1</v>
      </c>
      <c r="E3214">
        <v>0</v>
      </c>
      <c r="F3214">
        <v>0.14990836628833193</v>
      </c>
    </row>
    <row r="3215" spans="2:8">
      <c r="B3215">
        <v>3</v>
      </c>
      <c r="C3215">
        <v>92.23681599999999</v>
      </c>
      <c r="D3215">
        <v>3</v>
      </c>
      <c r="E3215">
        <v>0</v>
      </c>
      <c r="F3215">
        <v>-4.32893183356165E-2</v>
      </c>
      <c r="G3215">
        <v>-0.22427308832390982</v>
      </c>
      <c r="H3215">
        <v>-0.11987516285732984</v>
      </c>
    </row>
    <row r="3216" spans="2:8">
      <c r="B3216">
        <v>1</v>
      </c>
      <c r="C3216">
        <v>102</v>
      </c>
      <c r="D3216">
        <v>1</v>
      </c>
      <c r="E3216">
        <v>0</v>
      </c>
      <c r="F3216">
        <v>0.16238370716244729</v>
      </c>
    </row>
    <row r="3217" spans="2:8">
      <c r="B3217">
        <v>3</v>
      </c>
      <c r="C3217">
        <v>47.79249101768162</v>
      </c>
      <c r="D3217">
        <v>0</v>
      </c>
      <c r="E3217">
        <v>0</v>
      </c>
      <c r="F3217">
        <v>-0.40079765805553103</v>
      </c>
      <c r="G3217">
        <v>-0.36835630787459106</v>
      </c>
      <c r="H3217">
        <v>-0.49221316141996929</v>
      </c>
    </row>
    <row r="3218" spans="2:8">
      <c r="B3218">
        <v>3</v>
      </c>
      <c r="C3218">
        <v>53.017485353914545</v>
      </c>
      <c r="D3218">
        <v>1</v>
      </c>
      <c r="E3218">
        <v>0</v>
      </c>
      <c r="F3218">
        <v>-0.20475611212201042</v>
      </c>
      <c r="G3218">
        <v>-0.37775328140550812</v>
      </c>
      <c r="H3218">
        <v>-0.43669851258920023</v>
      </c>
    </row>
    <row r="3219" spans="2:8">
      <c r="B3219">
        <v>1</v>
      </c>
      <c r="C3219">
        <v>97.960799999999992</v>
      </c>
      <c r="D3219">
        <v>1</v>
      </c>
      <c r="E3219">
        <v>0</v>
      </c>
      <c r="F3219">
        <v>0.2436972770907406</v>
      </c>
    </row>
    <row r="3220" spans="2:8">
      <c r="B3220">
        <v>3</v>
      </c>
      <c r="C3220">
        <v>97.771024959999991</v>
      </c>
      <c r="D3220">
        <v>3</v>
      </c>
      <c r="E3220">
        <v>0</v>
      </c>
      <c r="F3220">
        <v>-2.1682245172402567E-2</v>
      </c>
      <c r="G3220">
        <v>0.12844151176683286</v>
      </c>
      <c r="H3220">
        <v>0.27226092509624189</v>
      </c>
    </row>
    <row r="3221" spans="2:8">
      <c r="B3221">
        <v>1</v>
      </c>
      <c r="C3221">
        <v>97.960799999999992</v>
      </c>
      <c r="D3221">
        <v>1</v>
      </c>
      <c r="E3221">
        <v>0</v>
      </c>
      <c r="F3221">
        <v>5.5394649232385171E-2</v>
      </c>
    </row>
    <row r="3222" spans="2:8">
      <c r="B3222">
        <v>1</v>
      </c>
      <c r="C3222">
        <v>97.960799999999992</v>
      </c>
      <c r="D3222">
        <v>1</v>
      </c>
      <c r="E3222">
        <v>0</v>
      </c>
      <c r="F3222">
        <v>6.0839837910115928E-2</v>
      </c>
    </row>
    <row r="3223" spans="2:8">
      <c r="B3223">
        <v>1</v>
      </c>
      <c r="C3223">
        <v>97.960799999999992</v>
      </c>
      <c r="D3223">
        <v>1</v>
      </c>
      <c r="E3223">
        <v>0</v>
      </c>
      <c r="F3223">
        <v>4.4860507110851121E-2</v>
      </c>
    </row>
    <row r="3224" spans="2:8">
      <c r="B3224">
        <v>1</v>
      </c>
      <c r="C3224">
        <v>102</v>
      </c>
      <c r="D3224">
        <v>1</v>
      </c>
      <c r="E3224">
        <v>0</v>
      </c>
      <c r="F3224">
        <v>9.6908361882757491E-2</v>
      </c>
    </row>
    <row r="3225" spans="2:8">
      <c r="B3225">
        <v>3</v>
      </c>
      <c r="C3225">
        <v>97.771024959999991</v>
      </c>
      <c r="D3225">
        <v>3</v>
      </c>
      <c r="E3225">
        <v>0</v>
      </c>
      <c r="F3225">
        <v>-0.15019700647099532</v>
      </c>
      <c r="G3225">
        <v>7.5438625273055185E-2</v>
      </c>
      <c r="H3225">
        <v>5.693053326490579E-2</v>
      </c>
    </row>
    <row r="3226" spans="2:8">
      <c r="B3226">
        <v>3</v>
      </c>
      <c r="C3226">
        <v>92.23681599999999</v>
      </c>
      <c r="D3226">
        <v>3</v>
      </c>
      <c r="E3226">
        <v>0</v>
      </c>
      <c r="F3226">
        <v>-9.2444524353554186E-2</v>
      </c>
      <c r="G3226">
        <v>-0.16241857507361901</v>
      </c>
      <c r="H3226">
        <v>-0.1240529283193261</v>
      </c>
    </row>
    <row r="3227" spans="2:8">
      <c r="B3227">
        <v>3</v>
      </c>
      <c r="C3227">
        <v>92.23681599999999</v>
      </c>
      <c r="D3227">
        <v>3</v>
      </c>
      <c r="E3227">
        <v>0</v>
      </c>
      <c r="F3227">
        <v>-3.6320799321834012E-2</v>
      </c>
      <c r="G3227">
        <v>-0.20794379035109309</v>
      </c>
      <c r="H3227">
        <v>-9.188136912606619E-2</v>
      </c>
    </row>
    <row r="3228" spans="2:8">
      <c r="B3228">
        <v>3</v>
      </c>
      <c r="C3228">
        <v>33.786569646479172</v>
      </c>
      <c r="D3228">
        <v>1</v>
      </c>
      <c r="E3228">
        <v>0</v>
      </c>
      <c r="F3228">
        <v>-0.23738176099037128</v>
      </c>
      <c r="G3228">
        <v>-0.43696875928356854</v>
      </c>
      <c r="H3228">
        <v>-0.6410236206164186</v>
      </c>
    </row>
    <row r="3229" spans="2:8">
      <c r="B3229">
        <v>3</v>
      </c>
      <c r="C3229">
        <v>92.23681599999999</v>
      </c>
      <c r="D3229">
        <v>1</v>
      </c>
      <c r="E3229">
        <v>0</v>
      </c>
      <c r="F3229">
        <v>-0.10414144509277833</v>
      </c>
      <c r="G3229">
        <v>-0.40321103973815398</v>
      </c>
      <c r="H3229">
        <v>-0.37776219401644229</v>
      </c>
    </row>
    <row r="3230" spans="2:8">
      <c r="B3230">
        <v>3</v>
      </c>
      <c r="C3230">
        <v>92.23681599999999</v>
      </c>
      <c r="D3230">
        <v>3</v>
      </c>
      <c r="E3230">
        <v>0</v>
      </c>
      <c r="F3230">
        <v>-0.11040172251206937</v>
      </c>
      <c r="G3230">
        <v>-0.19774654405175274</v>
      </c>
      <c r="H3230">
        <v>-0.17888730875661421</v>
      </c>
    </row>
    <row r="3231" spans="2:8">
      <c r="B3231">
        <v>1</v>
      </c>
      <c r="C3231">
        <v>102</v>
      </c>
      <c r="D3231">
        <v>1</v>
      </c>
      <c r="E3231">
        <v>0</v>
      </c>
      <c r="F3231">
        <v>1.7220067092953782E-2</v>
      </c>
    </row>
    <row r="3232" spans="2:8">
      <c r="B3232">
        <v>1</v>
      </c>
      <c r="C3232">
        <v>97.960799999999992</v>
      </c>
      <c r="D3232">
        <v>1</v>
      </c>
      <c r="E3232">
        <v>0</v>
      </c>
      <c r="F3232">
        <v>5.0071881662689187E-2</v>
      </c>
    </row>
    <row r="3233" spans="2:8">
      <c r="B3233">
        <v>1</v>
      </c>
      <c r="C3233">
        <v>97.960799999999992</v>
      </c>
      <c r="D3233">
        <v>1</v>
      </c>
      <c r="E3233">
        <v>0</v>
      </c>
      <c r="F3233">
        <v>7.804214027361242E-2</v>
      </c>
    </row>
    <row r="3234" spans="2:8">
      <c r="B3234">
        <v>1</v>
      </c>
      <c r="C3234">
        <v>102</v>
      </c>
      <c r="D3234">
        <v>1</v>
      </c>
      <c r="E3234">
        <v>0</v>
      </c>
      <c r="F3234">
        <v>1.6080636093709643E-3</v>
      </c>
    </row>
    <row r="3235" spans="2:8">
      <c r="B3235">
        <v>1</v>
      </c>
      <c r="C3235">
        <v>102</v>
      </c>
      <c r="D3235">
        <v>1</v>
      </c>
      <c r="E3235">
        <v>0</v>
      </c>
      <c r="F3235">
        <v>-0.24598696618679156</v>
      </c>
      <c r="G3235">
        <v>-0.16322217290226468</v>
      </c>
      <c r="H3235">
        <v>-0.37411666983891628</v>
      </c>
    </row>
    <row r="3236" spans="2:8">
      <c r="B3236">
        <v>3</v>
      </c>
      <c r="C3236">
        <v>92.23681599999999</v>
      </c>
      <c r="D3236">
        <v>3</v>
      </c>
      <c r="E3236">
        <v>0</v>
      </c>
      <c r="F3236">
        <v>-9.0773489155798151E-2</v>
      </c>
      <c r="G3236">
        <v>-4.7045775719004819E-2</v>
      </c>
      <c r="H3236">
        <v>-6.7659886374782418E-3</v>
      </c>
    </row>
    <row r="3237" spans="2:8">
      <c r="B3237">
        <v>1</v>
      </c>
      <c r="C3237">
        <v>102</v>
      </c>
      <c r="D3237">
        <v>1</v>
      </c>
      <c r="E3237">
        <v>0</v>
      </c>
      <c r="F3237">
        <v>-0.15413338889641931</v>
      </c>
      <c r="G3237">
        <v>5.7820246079749192E-2</v>
      </c>
      <c r="H3237">
        <v>-7.3789874326418717E-2</v>
      </c>
    </row>
    <row r="3238" spans="2:8">
      <c r="B3238">
        <v>1</v>
      </c>
      <c r="C3238">
        <v>102</v>
      </c>
      <c r="D3238">
        <v>1</v>
      </c>
      <c r="E3238">
        <v>0</v>
      </c>
      <c r="F3238">
        <v>0.22259976428443515</v>
      </c>
    </row>
    <row r="3239" spans="2:8">
      <c r="B3239">
        <v>3</v>
      </c>
      <c r="C3239">
        <v>97.771024959999991</v>
      </c>
      <c r="D3239">
        <v>3</v>
      </c>
      <c r="E3239">
        <v>0</v>
      </c>
      <c r="F3239">
        <v>-8.466812924325438E-3</v>
      </c>
      <c r="G3239">
        <v>-0.14655045580775322</v>
      </c>
      <c r="H3239">
        <v>2.8137195879454738E-2</v>
      </c>
    </row>
    <row r="3240" spans="2:8">
      <c r="B3240">
        <v>1</v>
      </c>
      <c r="C3240">
        <v>102</v>
      </c>
      <c r="D3240">
        <v>1</v>
      </c>
      <c r="E3240">
        <v>0</v>
      </c>
      <c r="F3240">
        <v>1.0777366486394163E-2</v>
      </c>
    </row>
    <row r="3241" spans="2:8">
      <c r="B3241">
        <v>1</v>
      </c>
      <c r="C3241">
        <v>102</v>
      </c>
      <c r="D3241">
        <v>1</v>
      </c>
      <c r="E3241">
        <v>0</v>
      </c>
      <c r="F3241">
        <v>-0.31676917392168424</v>
      </c>
      <c r="G3241">
        <v>-0.26785323482062423</v>
      </c>
      <c r="H3241">
        <v>-0.52807549270717535</v>
      </c>
    </row>
    <row r="3242" spans="2:8">
      <c r="B3242">
        <v>3</v>
      </c>
      <c r="C3242">
        <v>97.771024959999991</v>
      </c>
      <c r="D3242">
        <v>3</v>
      </c>
      <c r="E3242">
        <v>0</v>
      </c>
      <c r="F3242">
        <v>-1.2901086434356999E-2</v>
      </c>
      <c r="G3242">
        <v>0.15803357033244306</v>
      </c>
      <c r="H3242">
        <v>0.32152666395355012</v>
      </c>
    </row>
    <row r="3243" spans="2:8">
      <c r="B3243">
        <v>1</v>
      </c>
      <c r="C3243">
        <v>97.960799999999992</v>
      </c>
      <c r="D3243">
        <v>1</v>
      </c>
      <c r="E3243">
        <v>0</v>
      </c>
      <c r="F3243">
        <v>2.4945197845702281E-2</v>
      </c>
    </row>
    <row r="3244" spans="2:8">
      <c r="B3244">
        <v>1</v>
      </c>
      <c r="C3244">
        <v>97.960799999999992</v>
      </c>
      <c r="D3244">
        <v>1</v>
      </c>
      <c r="E3244">
        <v>0</v>
      </c>
      <c r="F3244">
        <v>0.21572893663764772</v>
      </c>
    </row>
    <row r="3245" spans="2:8">
      <c r="B3245">
        <v>1</v>
      </c>
      <c r="C3245">
        <v>97.960799999999992</v>
      </c>
      <c r="D3245">
        <v>1</v>
      </c>
      <c r="E3245">
        <v>0</v>
      </c>
      <c r="F3245">
        <v>0.14069640540243994</v>
      </c>
    </row>
    <row r="3246" spans="2:8">
      <c r="B3246">
        <v>3</v>
      </c>
      <c r="C3246">
        <v>97.771024959999991</v>
      </c>
      <c r="D3246">
        <v>3</v>
      </c>
      <c r="E3246">
        <v>0</v>
      </c>
      <c r="F3246">
        <v>-3.0370891072521441E-2</v>
      </c>
      <c r="G3246">
        <v>0.10190175271038544</v>
      </c>
      <c r="H3246">
        <v>0.22863996873699483</v>
      </c>
    </row>
    <row r="3247" spans="2:8">
      <c r="B3247">
        <v>1</v>
      </c>
      <c r="C3247">
        <v>97.960799999999992</v>
      </c>
      <c r="D3247">
        <v>1</v>
      </c>
      <c r="E3247">
        <v>0</v>
      </c>
      <c r="F3247">
        <v>9.0399178780870018E-2</v>
      </c>
    </row>
    <row r="3248" spans="2:8">
      <c r="B3248">
        <v>3</v>
      </c>
      <c r="C3248">
        <v>92.23681599999999</v>
      </c>
      <c r="D3248">
        <v>3</v>
      </c>
      <c r="E3248">
        <v>0</v>
      </c>
      <c r="F3248">
        <v>-0.13514046789229953</v>
      </c>
      <c r="G3248">
        <v>-0.1373352646320605</v>
      </c>
      <c r="H3248">
        <v>-0.14256282788501912</v>
      </c>
    </row>
    <row r="3249" spans="2:8">
      <c r="B3249">
        <v>3</v>
      </c>
      <c r="C3249">
        <v>97.771024959999991</v>
      </c>
      <c r="D3249">
        <v>3</v>
      </c>
      <c r="E3249">
        <v>0</v>
      </c>
      <c r="F3249">
        <v>-0.13395602383296626</v>
      </c>
      <c r="G3249">
        <v>0.21225688154653743</v>
      </c>
      <c r="H3249">
        <v>0.20811636113478338</v>
      </c>
    </row>
    <row r="3250" spans="2:8">
      <c r="B3250">
        <v>1</v>
      </c>
      <c r="C3250">
        <v>97.960799999999992</v>
      </c>
      <c r="D3250">
        <v>1</v>
      </c>
      <c r="E3250">
        <v>0</v>
      </c>
      <c r="F3250">
        <v>9.9438967845525278E-2</v>
      </c>
    </row>
    <row r="3251" spans="2:8">
      <c r="B3251">
        <v>1</v>
      </c>
      <c r="C3251">
        <v>97.960799999999992</v>
      </c>
      <c r="D3251">
        <v>1</v>
      </c>
      <c r="E3251">
        <v>0</v>
      </c>
      <c r="F3251">
        <v>0.34408836989993191</v>
      </c>
    </row>
    <row r="3252" spans="2:8">
      <c r="B3252">
        <v>3</v>
      </c>
      <c r="C3252">
        <v>92.23681599999999</v>
      </c>
      <c r="D3252">
        <v>1</v>
      </c>
      <c r="E3252">
        <v>0</v>
      </c>
      <c r="F3252">
        <v>-0.16826799846938834</v>
      </c>
      <c r="G3252">
        <v>-0.30943644700482953</v>
      </c>
      <c r="H3252">
        <v>-0.34262870725524924</v>
      </c>
    </row>
    <row r="3253" spans="2:8">
      <c r="B3253">
        <v>1</v>
      </c>
      <c r="C3253">
        <v>97.960799999999992</v>
      </c>
      <c r="D3253">
        <v>1</v>
      </c>
      <c r="E3253">
        <v>0</v>
      </c>
      <c r="F3253">
        <v>6.8571063312504191E-2</v>
      </c>
    </row>
    <row r="3254" spans="2:8">
      <c r="B3254">
        <v>1</v>
      </c>
      <c r="C3254">
        <v>102</v>
      </c>
      <c r="D3254">
        <v>1</v>
      </c>
      <c r="E3254">
        <v>0</v>
      </c>
      <c r="F3254">
        <v>-0.21604494591184498</v>
      </c>
      <c r="G3254">
        <v>-0.27904723295380801</v>
      </c>
      <c r="H3254">
        <v>-0.34495122979212278</v>
      </c>
    </row>
    <row r="3255" spans="2:8">
      <c r="B3255">
        <v>1</v>
      </c>
      <c r="C3255">
        <v>97.960799999999992</v>
      </c>
      <c r="D3255">
        <v>1</v>
      </c>
      <c r="E3255">
        <v>0</v>
      </c>
      <c r="F3255">
        <v>5.7441758036362131E-2</v>
      </c>
    </row>
    <row r="3256" spans="2:8">
      <c r="B3256">
        <v>3</v>
      </c>
      <c r="C3256">
        <v>92.23681599999999</v>
      </c>
      <c r="D3256">
        <v>3</v>
      </c>
      <c r="E3256">
        <v>0</v>
      </c>
      <c r="F3256">
        <v>-0.17747713611908347</v>
      </c>
      <c r="G3256">
        <v>-0.21474525472140926</v>
      </c>
      <c r="H3256">
        <v>-0.25491833164044819</v>
      </c>
    </row>
    <row r="3257" spans="2:8">
      <c r="B3257">
        <v>3</v>
      </c>
      <c r="C3257">
        <v>92.23681599999999</v>
      </c>
      <c r="D3257">
        <v>3</v>
      </c>
      <c r="E3257">
        <v>0</v>
      </c>
      <c r="F3257">
        <v>-2.7680045721754667E-2</v>
      </c>
      <c r="G3257">
        <v>-0.18828724198183022</v>
      </c>
      <c r="H3257">
        <v>-5.6467103176255813E-2</v>
      </c>
    </row>
    <row r="3258" spans="2:8">
      <c r="B3258">
        <v>1</v>
      </c>
      <c r="C3258">
        <v>102</v>
      </c>
      <c r="D3258">
        <v>1</v>
      </c>
      <c r="E3258">
        <v>0</v>
      </c>
      <c r="F3258">
        <v>-0.30131800956946581</v>
      </c>
      <c r="G3258">
        <v>-0.54590243737130528</v>
      </c>
      <c r="H3258">
        <v>-0.79656471816328089</v>
      </c>
    </row>
    <row r="3259" spans="2:8">
      <c r="B3259">
        <v>1</v>
      </c>
      <c r="C3259">
        <v>102</v>
      </c>
      <c r="D3259">
        <v>1</v>
      </c>
      <c r="E3259">
        <v>0</v>
      </c>
      <c r="F3259">
        <v>-2.6036398532135061E-2</v>
      </c>
      <c r="G3259">
        <v>-0.18461561259361858</v>
      </c>
      <c r="H3259">
        <v>-4.9604235385582361E-2</v>
      </c>
    </row>
    <row r="3260" spans="2:8">
      <c r="B3260">
        <v>1</v>
      </c>
      <c r="C3260">
        <v>97.960799999999992</v>
      </c>
      <c r="D3260">
        <v>1</v>
      </c>
      <c r="E3260">
        <v>0</v>
      </c>
      <c r="F3260">
        <v>7.214862445423717E-2</v>
      </c>
    </row>
    <row r="3261" spans="2:8">
      <c r="B3261">
        <v>1</v>
      </c>
      <c r="C3261">
        <v>97.960799999999992</v>
      </c>
      <c r="D3261">
        <v>1</v>
      </c>
      <c r="E3261">
        <v>0</v>
      </c>
      <c r="F3261">
        <v>1.5439479863785192E-2</v>
      </c>
    </row>
    <row r="3262" spans="2:8">
      <c r="B3262">
        <v>3</v>
      </c>
      <c r="C3262">
        <v>2.7301007492613909</v>
      </c>
      <c r="D3262">
        <v>0</v>
      </c>
      <c r="E3262">
        <v>0</v>
      </c>
      <c r="F3262">
        <v>-0.39047071733762212</v>
      </c>
      <c r="G3262">
        <v>-0.6763759769280685</v>
      </c>
      <c r="H3262">
        <v>-0.97099315815198817</v>
      </c>
    </row>
    <row r="3263" spans="2:8">
      <c r="B3263">
        <v>1</v>
      </c>
      <c r="C3263">
        <v>97.960799999999992</v>
      </c>
      <c r="D3263">
        <v>1</v>
      </c>
      <c r="E3263">
        <v>0</v>
      </c>
      <c r="F3263">
        <v>2.8616022516593197E-2</v>
      </c>
    </row>
    <row r="3264" spans="2:8">
      <c r="B3264">
        <v>3</v>
      </c>
      <c r="C3264">
        <v>92.23681599999999</v>
      </c>
      <c r="D3264">
        <v>1</v>
      </c>
      <c r="E3264">
        <v>0</v>
      </c>
      <c r="F3264">
        <v>-0.23120336012869763</v>
      </c>
      <c r="G3264">
        <v>-0.30281016232850227</v>
      </c>
      <c r="H3264">
        <v>-0.37733439379545719</v>
      </c>
    </row>
    <row r="3265" spans="2:8">
      <c r="B3265">
        <v>1</v>
      </c>
      <c r="C3265">
        <v>97.960799999999992</v>
      </c>
      <c r="D3265">
        <v>1</v>
      </c>
      <c r="E3265">
        <v>0</v>
      </c>
      <c r="F3265">
        <v>9.2835917233642457E-2</v>
      </c>
    </row>
    <row r="3266" spans="2:8">
      <c r="B3266">
        <v>3</v>
      </c>
      <c r="C3266">
        <v>37.630568862616371</v>
      </c>
      <c r="D3266">
        <v>0</v>
      </c>
      <c r="E3266">
        <v>0</v>
      </c>
      <c r="F3266">
        <v>-0.3650080532723663</v>
      </c>
      <c r="G3266">
        <v>-0.48102396736522768</v>
      </c>
      <c r="H3266">
        <v>-0.60018180283495426</v>
      </c>
    </row>
    <row r="3267" spans="2:8">
      <c r="B3267">
        <v>1</v>
      </c>
      <c r="C3267">
        <v>102</v>
      </c>
      <c r="D3267">
        <v>1</v>
      </c>
      <c r="E3267">
        <v>0</v>
      </c>
      <c r="F3267">
        <v>-0.22632729781177899</v>
      </c>
      <c r="G3267">
        <v>-0.12836330634552862</v>
      </c>
      <c r="H3267">
        <v>-0.20020408999667638</v>
      </c>
    </row>
    <row r="3268" spans="2:8">
      <c r="B3268">
        <v>3</v>
      </c>
      <c r="C3268">
        <v>33.892031766926394</v>
      </c>
      <c r="D3268">
        <v>1</v>
      </c>
      <c r="E3268">
        <v>0</v>
      </c>
      <c r="F3268">
        <v>-0.2960296398249449</v>
      </c>
      <c r="G3268">
        <v>-0.53732461406884924</v>
      </c>
      <c r="H3268">
        <v>-0.6399031040751898</v>
      </c>
    </row>
    <row r="3269" spans="2:8">
      <c r="B3269">
        <v>3</v>
      </c>
      <c r="C3269">
        <v>97.771024959999991</v>
      </c>
      <c r="D3269">
        <v>3</v>
      </c>
      <c r="E3269">
        <v>0</v>
      </c>
      <c r="F3269">
        <v>-0.14196149330310062</v>
      </c>
      <c r="G3269">
        <v>0.12272287159972238</v>
      </c>
      <c r="H3269">
        <v>0.11135688291685393</v>
      </c>
    </row>
    <row r="3270" spans="2:8">
      <c r="B3270">
        <v>3</v>
      </c>
      <c r="C3270">
        <v>97.771024959999991</v>
      </c>
      <c r="D3270">
        <v>3</v>
      </c>
      <c r="E3270">
        <v>0</v>
      </c>
      <c r="F3270">
        <v>-5.6948517610637467E-3</v>
      </c>
      <c r="G3270">
        <v>1.2273775379045535E-2</v>
      </c>
      <c r="H3270">
        <v>0.1945186493740324</v>
      </c>
    </row>
    <row r="3271" spans="2:8">
      <c r="B3271">
        <v>1</v>
      </c>
      <c r="C3271">
        <v>97.960799999999992</v>
      </c>
      <c r="D3271">
        <v>1</v>
      </c>
      <c r="E3271">
        <v>0</v>
      </c>
      <c r="F3271">
        <v>0.15224676114186689</v>
      </c>
    </row>
    <row r="3272" spans="2:8">
      <c r="B3272">
        <v>3</v>
      </c>
      <c r="C3272">
        <v>43.512407450865588</v>
      </c>
      <c r="D3272">
        <v>0</v>
      </c>
      <c r="E3272">
        <v>0</v>
      </c>
      <c r="F3272">
        <v>-0.32091376199285182</v>
      </c>
      <c r="G3272">
        <v>-0.42776373807494178</v>
      </c>
      <c r="H3272">
        <v>-0.53768829897761994</v>
      </c>
    </row>
    <row r="3273" spans="2:8">
      <c r="B3273">
        <v>1</v>
      </c>
      <c r="C3273">
        <v>102</v>
      </c>
      <c r="D3273">
        <v>1</v>
      </c>
      <c r="E3273">
        <v>0</v>
      </c>
      <c r="F3273">
        <v>-0.2832116211995751</v>
      </c>
      <c r="G3273">
        <v>-0.22149577891521605</v>
      </c>
      <c r="H3273">
        <v>-0.31959611575907476</v>
      </c>
    </row>
    <row r="3274" spans="2:8">
      <c r="B3274">
        <v>3</v>
      </c>
      <c r="C3274">
        <v>92.23681599999999</v>
      </c>
      <c r="D3274">
        <v>2</v>
      </c>
      <c r="E3274">
        <v>0</v>
      </c>
      <c r="F3274">
        <v>-0.1574086579987363</v>
      </c>
      <c r="G3274">
        <v>-0.28875650517216261</v>
      </c>
      <c r="H3274">
        <v>-0.31328437454121649</v>
      </c>
    </row>
    <row r="3275" spans="2:8">
      <c r="B3275">
        <v>1</v>
      </c>
      <c r="C3275">
        <v>102</v>
      </c>
      <c r="D3275">
        <v>1</v>
      </c>
      <c r="E3275">
        <v>0</v>
      </c>
      <c r="F3275">
        <v>3.6623113914169093E-2</v>
      </c>
    </row>
    <row r="3276" spans="2:8">
      <c r="B3276">
        <v>3</v>
      </c>
      <c r="C3276">
        <v>97.771024959999991</v>
      </c>
      <c r="D3276">
        <v>3</v>
      </c>
      <c r="E3276">
        <v>0</v>
      </c>
      <c r="F3276">
        <v>-7.3861390808314872E-3</v>
      </c>
      <c r="G3276">
        <v>8.7982923863418674E-3</v>
      </c>
      <c r="H3276">
        <v>2.1821136616347846E-2</v>
      </c>
    </row>
    <row r="3277" spans="2:8">
      <c r="B3277">
        <v>3</v>
      </c>
      <c r="C3277">
        <v>92.23681599999999</v>
      </c>
      <c r="D3277">
        <v>3</v>
      </c>
      <c r="E3277">
        <v>0</v>
      </c>
      <c r="F3277">
        <v>-0.20062601443367617</v>
      </c>
      <c r="G3277">
        <v>-7.6471321064654874E-2</v>
      </c>
      <c r="H3277">
        <v>-0.24977693525731093</v>
      </c>
    </row>
    <row r="3278" spans="2:8">
      <c r="B3278">
        <v>3</v>
      </c>
      <c r="C3278">
        <v>92.23681599999999</v>
      </c>
      <c r="D3278">
        <v>1</v>
      </c>
      <c r="E3278">
        <v>0</v>
      </c>
      <c r="F3278">
        <v>-0.17968797904061218</v>
      </c>
      <c r="G3278">
        <v>-0.3310224133523062</v>
      </c>
      <c r="H3278">
        <v>-0.37282219216982898</v>
      </c>
    </row>
    <row r="3279" spans="2:8">
      <c r="B3279">
        <v>1</v>
      </c>
      <c r="C3279">
        <v>97.960799999999992</v>
      </c>
      <c r="D3279">
        <v>1</v>
      </c>
      <c r="E3279">
        <v>0</v>
      </c>
      <c r="F3279">
        <v>0.10631187706250048</v>
      </c>
    </row>
    <row r="3280" spans="2:8">
      <c r="B3280">
        <v>1</v>
      </c>
      <c r="C3280">
        <v>102</v>
      </c>
      <c r="D3280">
        <v>1</v>
      </c>
      <c r="E3280">
        <v>0</v>
      </c>
      <c r="F3280">
        <v>0.23001935467251722</v>
      </c>
    </row>
    <row r="3281" spans="2:8">
      <c r="B3281">
        <v>1</v>
      </c>
      <c r="C3281">
        <v>102</v>
      </c>
      <c r="D3281">
        <v>1</v>
      </c>
      <c r="E3281">
        <v>0</v>
      </c>
      <c r="F3281">
        <v>-0.12256205352154111</v>
      </c>
      <c r="G3281">
        <v>-0.50696999085341587</v>
      </c>
      <c r="H3281">
        <v>-0.50032249555679664</v>
      </c>
    </row>
    <row r="3282" spans="2:8">
      <c r="B3282">
        <v>1</v>
      </c>
      <c r="C3282">
        <v>102</v>
      </c>
      <c r="D3282">
        <v>1</v>
      </c>
      <c r="E3282">
        <v>0</v>
      </c>
      <c r="F3282">
        <v>-5.7769511810387822E-2</v>
      </c>
      <c r="G3282">
        <v>-9.3406895997608777E-2</v>
      </c>
      <c r="H3282">
        <v>-1.0974292780410448E-2</v>
      </c>
    </row>
    <row r="3283" spans="2:8">
      <c r="B3283">
        <v>1</v>
      </c>
      <c r="C3283">
        <v>102</v>
      </c>
      <c r="D3283">
        <v>1</v>
      </c>
      <c r="E3283">
        <v>0</v>
      </c>
      <c r="F3283">
        <v>-0.14386333982062974</v>
      </c>
      <c r="G3283">
        <v>0.109971801863987</v>
      </c>
      <c r="H3283">
        <v>9.6930658960048877E-2</v>
      </c>
    </row>
    <row r="3284" spans="2:8">
      <c r="B3284">
        <v>1</v>
      </c>
      <c r="C3284">
        <v>102</v>
      </c>
      <c r="D3284">
        <v>1</v>
      </c>
      <c r="E3284">
        <v>0</v>
      </c>
      <c r="F3284">
        <v>0.14634192484980285</v>
      </c>
    </row>
    <row r="3285" spans="2:8">
      <c r="B3285">
        <v>1</v>
      </c>
      <c r="C3285">
        <v>102</v>
      </c>
      <c r="D3285">
        <v>1</v>
      </c>
      <c r="E3285">
        <v>0</v>
      </c>
      <c r="F3285">
        <v>8.2626705838348635E-2</v>
      </c>
    </row>
    <row r="3286" spans="2:8">
      <c r="B3286">
        <v>1</v>
      </c>
      <c r="C3286">
        <v>97.960799999999992</v>
      </c>
      <c r="D3286">
        <v>1</v>
      </c>
      <c r="E3286">
        <v>0</v>
      </c>
      <c r="F3286">
        <v>8.885564187485169E-2</v>
      </c>
    </row>
    <row r="3287" spans="2:8">
      <c r="B3287">
        <v>1</v>
      </c>
      <c r="C3287">
        <v>102</v>
      </c>
      <c r="D3287">
        <v>1</v>
      </c>
      <c r="E3287">
        <v>0</v>
      </c>
      <c r="F3287">
        <v>7.0744444715467369E-2</v>
      </c>
    </row>
    <row r="3288" spans="2:8">
      <c r="B3288">
        <v>1</v>
      </c>
      <c r="C3288">
        <v>97.960799999999992</v>
      </c>
      <c r="D3288">
        <v>1</v>
      </c>
      <c r="E3288">
        <v>0</v>
      </c>
      <c r="F3288">
        <v>0.13208445987089124</v>
      </c>
    </row>
    <row r="3289" spans="2:8">
      <c r="B3289">
        <v>3</v>
      </c>
      <c r="C3289">
        <v>92.23681599999999</v>
      </c>
      <c r="D3289">
        <v>3</v>
      </c>
      <c r="E3289">
        <v>0</v>
      </c>
      <c r="F3289">
        <v>-1.7304994717696934E-2</v>
      </c>
      <c r="G3289">
        <v>-0.165440520846767</v>
      </c>
      <c r="H3289">
        <v>-1.2173487245824101E-2</v>
      </c>
    </row>
    <row r="3290" spans="2:8">
      <c r="B3290">
        <v>1</v>
      </c>
      <c r="C3290">
        <v>97.960799999999992</v>
      </c>
      <c r="D3290">
        <v>1</v>
      </c>
      <c r="E3290">
        <v>0</v>
      </c>
      <c r="F3290">
        <v>3.9750645740014266E-2</v>
      </c>
    </row>
    <row r="3291" spans="2:8">
      <c r="B3291">
        <v>1</v>
      </c>
      <c r="C3291">
        <v>102</v>
      </c>
      <c r="D3291">
        <v>1</v>
      </c>
      <c r="E3291">
        <v>0</v>
      </c>
      <c r="F3291">
        <v>0.1181257872327036</v>
      </c>
    </row>
    <row r="3292" spans="2:8">
      <c r="B3292">
        <v>1</v>
      </c>
      <c r="C3292">
        <v>102</v>
      </c>
      <c r="D3292">
        <v>1</v>
      </c>
      <c r="E3292">
        <v>0</v>
      </c>
      <c r="F3292">
        <v>-0.20222673208463188</v>
      </c>
      <c r="G3292">
        <v>-0.25665421772433411</v>
      </c>
      <c r="H3292">
        <v>-0.31397616469490924</v>
      </c>
    </row>
    <row r="3293" spans="2:8">
      <c r="B3293">
        <v>1</v>
      </c>
      <c r="C3293">
        <v>102</v>
      </c>
      <c r="D3293">
        <v>1</v>
      </c>
      <c r="E3293">
        <v>0</v>
      </c>
      <c r="F3293">
        <v>2.6775380901269553E-2</v>
      </c>
    </row>
    <row r="3294" spans="2:8">
      <c r="B3294">
        <v>1</v>
      </c>
      <c r="C3294">
        <v>102</v>
      </c>
      <c r="D3294">
        <v>1</v>
      </c>
      <c r="E3294">
        <v>0</v>
      </c>
      <c r="F3294">
        <v>2.0160186503921162E-2</v>
      </c>
    </row>
    <row r="3295" spans="2:8">
      <c r="B3295">
        <v>1</v>
      </c>
      <c r="C3295">
        <v>97.960799999999992</v>
      </c>
      <c r="D3295">
        <v>1</v>
      </c>
      <c r="E3295">
        <v>0</v>
      </c>
      <c r="F3295">
        <v>0.29596204975409662</v>
      </c>
    </row>
    <row r="3296" spans="2:8">
      <c r="B3296">
        <v>1</v>
      </c>
      <c r="C3296">
        <v>97.960799999999992</v>
      </c>
      <c r="D3296">
        <v>1</v>
      </c>
      <c r="E3296">
        <v>0</v>
      </c>
      <c r="F3296">
        <v>7.6596421611685839E-2</v>
      </c>
    </row>
    <row r="3297" spans="2:8">
      <c r="B3297">
        <v>1</v>
      </c>
      <c r="C3297">
        <v>97.960799999999992</v>
      </c>
      <c r="D3297">
        <v>1</v>
      </c>
      <c r="E3297">
        <v>0</v>
      </c>
      <c r="F3297">
        <v>0.10899256706834888</v>
      </c>
    </row>
    <row r="3298" spans="2:8">
      <c r="B3298">
        <v>1</v>
      </c>
      <c r="C3298">
        <v>97.960799999999992</v>
      </c>
      <c r="D3298">
        <v>1</v>
      </c>
      <c r="E3298">
        <v>0</v>
      </c>
      <c r="F3298">
        <v>2.3778219835990197E-2</v>
      </c>
    </row>
    <row r="3299" spans="2:8">
      <c r="B3299">
        <v>1</v>
      </c>
      <c r="C3299">
        <v>102</v>
      </c>
      <c r="D3299">
        <v>1</v>
      </c>
      <c r="E3299">
        <v>0</v>
      </c>
      <c r="F3299">
        <v>-0.20899009897295465</v>
      </c>
      <c r="G3299">
        <v>-9.4328461330895827E-2</v>
      </c>
      <c r="H3299">
        <v>-0.15593822846877131</v>
      </c>
    </row>
    <row r="3300" spans="2:8">
      <c r="B3300">
        <v>1</v>
      </c>
      <c r="C3300">
        <v>102</v>
      </c>
      <c r="D3300">
        <v>1</v>
      </c>
      <c r="E3300">
        <v>0</v>
      </c>
      <c r="F3300">
        <v>4.1674445445074024E-2</v>
      </c>
    </row>
    <row r="3301" spans="2:8">
      <c r="B3301">
        <v>3</v>
      </c>
      <c r="C3301">
        <v>32.882976894316627</v>
      </c>
      <c r="D3301">
        <v>1</v>
      </c>
      <c r="E3301">
        <v>0</v>
      </c>
      <c r="F3301">
        <v>-0.1302858787600478</v>
      </c>
      <c r="G3301">
        <v>-0.64989248061332461</v>
      </c>
      <c r="H3301">
        <v>-0.65062413519965501</v>
      </c>
    </row>
    <row r="3302" spans="2:8">
      <c r="B3302">
        <v>1</v>
      </c>
      <c r="C3302">
        <v>102</v>
      </c>
      <c r="D3302">
        <v>1</v>
      </c>
      <c r="E3302">
        <v>0</v>
      </c>
      <c r="F3302">
        <v>-0.14894878565348127</v>
      </c>
      <c r="G3302">
        <v>-0.27254924658494567</v>
      </c>
      <c r="H3302">
        <v>-0.39935650866061756</v>
      </c>
    </row>
    <row r="3303" spans="2:8">
      <c r="B3303">
        <v>1</v>
      </c>
      <c r="C3303">
        <v>102</v>
      </c>
      <c r="D3303">
        <v>1</v>
      </c>
      <c r="E3303">
        <v>0</v>
      </c>
      <c r="F3303">
        <v>0.17796059151914795</v>
      </c>
    </row>
    <row r="3304" spans="2:8">
      <c r="B3304">
        <v>1</v>
      </c>
      <c r="C3304">
        <v>97.960799999999992</v>
      </c>
      <c r="D3304">
        <v>1</v>
      </c>
      <c r="E3304">
        <v>0</v>
      </c>
      <c r="F3304">
        <v>3.3529346454055114E-2</v>
      </c>
    </row>
    <row r="3305" spans="2:8">
      <c r="B3305">
        <v>3</v>
      </c>
      <c r="C3305">
        <v>92.23681599999999</v>
      </c>
      <c r="D3305">
        <v>3</v>
      </c>
      <c r="E3305">
        <v>0</v>
      </c>
      <c r="F3305">
        <v>-0.2575270398073195</v>
      </c>
      <c r="G3305">
        <v>-0.18223297253005702</v>
      </c>
      <c r="H3305">
        <v>-0.26981567667196232</v>
      </c>
    </row>
    <row r="3306" spans="2:8">
      <c r="B3306">
        <v>1</v>
      </c>
      <c r="C3306">
        <v>102</v>
      </c>
      <c r="D3306">
        <v>1</v>
      </c>
      <c r="E3306">
        <v>0</v>
      </c>
      <c r="F3306">
        <v>0.1664575119862047</v>
      </c>
    </row>
    <row r="3307" spans="2:8">
      <c r="B3307">
        <v>1</v>
      </c>
      <c r="C3307">
        <v>102</v>
      </c>
      <c r="D3307">
        <v>1</v>
      </c>
      <c r="E3307">
        <v>0</v>
      </c>
      <c r="F3307">
        <v>4.8797868636337192E-2</v>
      </c>
    </row>
    <row r="3308" spans="2:8">
      <c r="B3308">
        <v>1</v>
      </c>
      <c r="C3308">
        <v>102</v>
      </c>
      <c r="D3308">
        <v>1</v>
      </c>
      <c r="E3308">
        <v>0</v>
      </c>
      <c r="F3308">
        <v>-0.47555204127181083</v>
      </c>
      <c r="G3308">
        <v>-0.60094669654015886</v>
      </c>
      <c r="H3308">
        <v>-0.72956477000774356</v>
      </c>
    </row>
    <row r="3309" spans="2:8">
      <c r="B3309">
        <v>3</v>
      </c>
      <c r="C3309">
        <v>92.23681599999999</v>
      </c>
      <c r="D3309">
        <v>3</v>
      </c>
      <c r="E3309">
        <v>0</v>
      </c>
      <c r="F3309">
        <v>-0.18564628031188402</v>
      </c>
      <c r="G3309">
        <v>-4.1331960703795863E-2</v>
      </c>
      <c r="H3309">
        <v>-8.7422146016586183E-2</v>
      </c>
    </row>
    <row r="3310" spans="2:8">
      <c r="B3310">
        <v>1</v>
      </c>
      <c r="C3310">
        <v>102</v>
      </c>
      <c r="D3310">
        <v>1</v>
      </c>
      <c r="E3310">
        <v>0</v>
      </c>
      <c r="F3310">
        <v>0.12895914804865674</v>
      </c>
    </row>
    <row r="3311" spans="2:8">
      <c r="B3311">
        <v>1</v>
      </c>
      <c r="C3311">
        <v>97.960799999999992</v>
      </c>
      <c r="D3311">
        <v>1</v>
      </c>
      <c r="E3311">
        <v>0</v>
      </c>
      <c r="F3311">
        <v>0.12397698982162034</v>
      </c>
    </row>
    <row r="3312" spans="2:8">
      <c r="B3312">
        <v>3</v>
      </c>
      <c r="C3312">
        <v>97.771024959999991</v>
      </c>
      <c r="D3312">
        <v>3</v>
      </c>
      <c r="E3312">
        <v>0</v>
      </c>
      <c r="F3312">
        <v>-3.99829573998506E-3</v>
      </c>
      <c r="G3312">
        <v>0.1924201031557278</v>
      </c>
      <c r="H3312">
        <v>0.37954146102069375</v>
      </c>
    </row>
    <row r="3313" spans="2:8">
      <c r="B3313">
        <v>1</v>
      </c>
      <c r="C3313">
        <v>102</v>
      </c>
      <c r="D3313">
        <v>1</v>
      </c>
      <c r="E3313">
        <v>0</v>
      </c>
      <c r="F3313">
        <v>-2.9087088522486799E-3</v>
      </c>
      <c r="G3313">
        <v>-0.32774431932526815</v>
      </c>
      <c r="H3313">
        <v>-0.31003173903573206</v>
      </c>
    </row>
    <row r="3314" spans="2:8">
      <c r="B3314">
        <v>3</v>
      </c>
      <c r="C3314">
        <v>37.672821267288192</v>
      </c>
      <c r="D3314">
        <v>1</v>
      </c>
      <c r="E3314">
        <v>0</v>
      </c>
      <c r="F3314">
        <v>-0.22160737685384335</v>
      </c>
      <c r="G3314">
        <v>-0.40858958498107839</v>
      </c>
      <c r="H3314">
        <v>-0.59973287844256862</v>
      </c>
    </row>
    <row r="3315" spans="2:8">
      <c r="B3315">
        <v>1</v>
      </c>
      <c r="C3315">
        <v>102</v>
      </c>
      <c r="D3315">
        <v>1</v>
      </c>
      <c r="E3315">
        <v>0</v>
      </c>
      <c r="F3315">
        <v>-0.13211572787627082</v>
      </c>
      <c r="G3315">
        <v>0.26893255643106773</v>
      </c>
      <c r="H3315">
        <v>0.26649361704037317</v>
      </c>
    </row>
    <row r="3316" spans="2:8">
      <c r="B3316">
        <v>3</v>
      </c>
      <c r="C3316">
        <v>97.771024959999991</v>
      </c>
      <c r="D3316">
        <v>3</v>
      </c>
      <c r="E3316">
        <v>0</v>
      </c>
      <c r="F3316">
        <v>-3.20079674432978E-2</v>
      </c>
      <c r="G3316">
        <v>-4.1453327228901993E-2</v>
      </c>
      <c r="H3316">
        <v>8.2274022576047462E-2</v>
      </c>
    </row>
    <row r="3317" spans="2:8">
      <c r="B3317">
        <v>1</v>
      </c>
      <c r="C3317">
        <v>102</v>
      </c>
      <c r="D3317">
        <v>1</v>
      </c>
      <c r="E3317">
        <v>0</v>
      </c>
      <c r="F3317">
        <v>-0.26511846563458474</v>
      </c>
      <c r="G3317">
        <v>-0.19424398883065672</v>
      </c>
      <c r="H3317">
        <v>-0.41976741706971094</v>
      </c>
    </row>
    <row r="3318" spans="2:8">
      <c r="B3318">
        <v>3</v>
      </c>
      <c r="C3318">
        <v>97.771024959999991</v>
      </c>
      <c r="D3318">
        <v>3</v>
      </c>
      <c r="E3318">
        <v>0</v>
      </c>
      <c r="F3318">
        <v>-6.4725354651026135E-2</v>
      </c>
      <c r="G3318">
        <v>1.2004913394948866E-2</v>
      </c>
      <c r="H3318">
        <v>8.4760995742037784E-2</v>
      </c>
    </row>
    <row r="3319" spans="2:8">
      <c r="B3319">
        <v>1</v>
      </c>
      <c r="C3319">
        <v>102</v>
      </c>
      <c r="D3319">
        <v>1</v>
      </c>
      <c r="E3319">
        <v>0</v>
      </c>
      <c r="F3319">
        <v>-0.28788930037219734</v>
      </c>
      <c r="G3319">
        <v>-0.22825877014052887</v>
      </c>
      <c r="H3319">
        <v>-0.4700199282744551</v>
      </c>
    </row>
    <row r="3320" spans="2:8">
      <c r="B3320">
        <v>1</v>
      </c>
      <c r="C3320">
        <v>102</v>
      </c>
      <c r="D3320">
        <v>1</v>
      </c>
      <c r="E3320">
        <v>0</v>
      </c>
      <c r="F3320">
        <v>-3.8994137508050745E-2</v>
      </c>
      <c r="G3320">
        <v>7.7474049572444095E-2</v>
      </c>
      <c r="H3320">
        <v>0.18896338843853003</v>
      </c>
    </row>
    <row r="3321" spans="2:8">
      <c r="B3321">
        <v>1</v>
      </c>
      <c r="C3321">
        <v>102</v>
      </c>
      <c r="D3321">
        <v>1</v>
      </c>
      <c r="E3321">
        <v>0</v>
      </c>
      <c r="F3321">
        <v>0.13412396734918372</v>
      </c>
    </row>
    <row r="3322" spans="2:8">
      <c r="B3322">
        <v>3</v>
      </c>
      <c r="C3322">
        <v>55.376425722897224</v>
      </c>
      <c r="D3322">
        <v>1</v>
      </c>
      <c r="E3322">
        <v>0</v>
      </c>
      <c r="F3322">
        <v>-0.24816046582275159</v>
      </c>
      <c r="G3322">
        <v>-0.32842685369806085</v>
      </c>
      <c r="H3322">
        <v>-0.41163518471366922</v>
      </c>
    </row>
    <row r="3323" spans="2:8">
      <c r="B3323">
        <v>1</v>
      </c>
      <c r="C3323">
        <v>97.960799999999992</v>
      </c>
      <c r="D3323">
        <v>1</v>
      </c>
      <c r="E3323">
        <v>0</v>
      </c>
      <c r="F3323">
        <v>0.13737009605374281</v>
      </c>
    </row>
    <row r="3324" spans="2:8">
      <c r="B3324">
        <v>1</v>
      </c>
      <c r="C3324">
        <v>97.960799999999992</v>
      </c>
      <c r="D3324">
        <v>1</v>
      </c>
      <c r="E3324">
        <v>0</v>
      </c>
      <c r="F3324">
        <v>0.10200821647124035</v>
      </c>
    </row>
    <row r="3325" spans="2:8">
      <c r="B3325">
        <v>1</v>
      </c>
      <c r="C3325">
        <v>102</v>
      </c>
      <c r="D3325">
        <v>1</v>
      </c>
      <c r="E3325">
        <v>0</v>
      </c>
      <c r="F3325">
        <v>3.8525374985332955E-2</v>
      </c>
    </row>
    <row r="3326" spans="2:8">
      <c r="B3326">
        <v>3</v>
      </c>
      <c r="C3326">
        <v>48.026095520070953</v>
      </c>
      <c r="D3326">
        <v>1</v>
      </c>
      <c r="E3326">
        <v>0</v>
      </c>
      <c r="F3326">
        <v>-0.29099448524271099</v>
      </c>
      <c r="G3326">
        <v>-0.38885299646985616</v>
      </c>
      <c r="H3326">
        <v>-0.48973115453519622</v>
      </c>
    </row>
    <row r="3327" spans="2:8">
      <c r="B3327">
        <v>3</v>
      </c>
      <c r="C3327">
        <v>45.587128575278001</v>
      </c>
      <c r="D3327">
        <v>0</v>
      </c>
      <c r="E3327">
        <v>0</v>
      </c>
      <c r="F3327">
        <v>-0.42057040690809111</v>
      </c>
      <c r="G3327">
        <v>-0.38999240666190671</v>
      </c>
      <c r="H3327">
        <v>-0.51564475074928384</v>
      </c>
    </row>
    <row r="3328" spans="2:8">
      <c r="B3328">
        <v>3</v>
      </c>
      <c r="C3328">
        <v>97.771024959999991</v>
      </c>
      <c r="D3328">
        <v>3</v>
      </c>
      <c r="E3328">
        <v>0</v>
      </c>
      <c r="F3328">
        <v>-7.3338856271742678E-2</v>
      </c>
      <c r="G3328">
        <v>-8.1591361288112611E-3</v>
      </c>
      <c r="H3328">
        <v>5.3256884711814778E-2</v>
      </c>
    </row>
    <row r="3329" spans="2:8">
      <c r="B3329">
        <v>3</v>
      </c>
      <c r="C3329">
        <v>92.23681599999999</v>
      </c>
      <c r="D3329">
        <v>2</v>
      </c>
      <c r="E3329">
        <v>0</v>
      </c>
      <c r="F3329">
        <v>-0.22928000057527848</v>
      </c>
      <c r="G3329">
        <v>-0.1338249778139681</v>
      </c>
      <c r="H3329">
        <v>-0.33130618057767292</v>
      </c>
    </row>
    <row r="3330" spans="2:8">
      <c r="B3330">
        <v>1</v>
      </c>
      <c r="C3330">
        <v>102</v>
      </c>
      <c r="D3330">
        <v>1</v>
      </c>
      <c r="E3330">
        <v>0</v>
      </c>
      <c r="F3330">
        <v>-0.1178791075028648</v>
      </c>
      <c r="G3330">
        <v>-0.10347034659344491</v>
      </c>
      <c r="H3330">
        <v>-9.2208700178756223E-2</v>
      </c>
    </row>
    <row r="3331" spans="2:8">
      <c r="B3331">
        <v>3</v>
      </c>
      <c r="C3331">
        <v>92.23681599999999</v>
      </c>
      <c r="D3331">
        <v>3</v>
      </c>
      <c r="E3331">
        <v>0</v>
      </c>
      <c r="F3331">
        <v>-7.0657876205709486E-2</v>
      </c>
      <c r="G3331">
        <v>-0.29391997129655362</v>
      </c>
      <c r="H3331">
        <v>-0.2290448122212761</v>
      </c>
    </row>
    <row r="3332" spans="2:8">
      <c r="B3332">
        <v>3</v>
      </c>
      <c r="C3332">
        <v>92.23681599999999</v>
      </c>
      <c r="D3332">
        <v>3</v>
      </c>
      <c r="E3332">
        <v>0</v>
      </c>
      <c r="F3332">
        <v>-0.10134647216097635</v>
      </c>
      <c r="G3332">
        <v>-0.17996768940853397</v>
      </c>
      <c r="H3332">
        <v>-0.151506155294582</v>
      </c>
    </row>
    <row r="3333" spans="2:8">
      <c r="B3333">
        <v>3</v>
      </c>
      <c r="C3333">
        <v>97.771024959999991</v>
      </c>
      <c r="D3333">
        <v>3</v>
      </c>
      <c r="E3333">
        <v>0</v>
      </c>
      <c r="F3333">
        <v>-1.0149932272945384E-2</v>
      </c>
      <c r="G3333">
        <v>-0.15011008023491637</v>
      </c>
      <c r="H3333">
        <v>2.02091642707087E-2</v>
      </c>
    </row>
    <row r="3334" spans="2:8">
      <c r="B3334">
        <v>1</v>
      </c>
      <c r="C3334">
        <v>97.960799999999992</v>
      </c>
      <c r="D3334">
        <v>1</v>
      </c>
      <c r="E3334">
        <v>0</v>
      </c>
      <c r="F3334">
        <v>0.18575447083811589</v>
      </c>
    </row>
    <row r="3335" spans="2:8">
      <c r="B3335">
        <v>1</v>
      </c>
      <c r="C3335">
        <v>102</v>
      </c>
      <c r="D3335">
        <v>1</v>
      </c>
      <c r="E3335">
        <v>0</v>
      </c>
      <c r="F3335">
        <v>0.21157526082599606</v>
      </c>
    </row>
    <row r="3336" spans="2:8">
      <c r="B3336">
        <v>1</v>
      </c>
      <c r="C3336">
        <v>102</v>
      </c>
      <c r="D3336">
        <v>1</v>
      </c>
      <c r="E3336">
        <v>0</v>
      </c>
      <c r="F3336">
        <v>-0.1086737117021091</v>
      </c>
      <c r="G3336">
        <v>-8.4787264039808075E-2</v>
      </c>
      <c r="H3336">
        <v>-6.413049267209342E-2</v>
      </c>
    </row>
    <row r="3337" spans="2:8">
      <c r="B3337">
        <v>3</v>
      </c>
      <c r="C3337">
        <v>92.23681599999999</v>
      </c>
      <c r="D3337">
        <v>1</v>
      </c>
      <c r="E3337">
        <v>0</v>
      </c>
      <c r="F3337">
        <v>-9.6878400864912284E-2</v>
      </c>
      <c r="G3337">
        <v>-0.37533995562159905</v>
      </c>
      <c r="H3337">
        <v>-0.34196759855576442</v>
      </c>
    </row>
    <row r="3338" spans="2:8">
      <c r="B3338">
        <v>3</v>
      </c>
      <c r="C3338">
        <v>97.771024959999991</v>
      </c>
      <c r="D3338">
        <v>3</v>
      </c>
      <c r="E3338">
        <v>0</v>
      </c>
      <c r="F3338">
        <v>-2.3333736316943299E-2</v>
      </c>
      <c r="G3338">
        <v>-2.3820412376250353E-2</v>
      </c>
      <c r="H3338">
        <v>0.11659434295145309</v>
      </c>
    </row>
    <row r="3339" spans="2:8">
      <c r="B3339">
        <v>1</v>
      </c>
      <c r="C3339">
        <v>102</v>
      </c>
      <c r="D3339">
        <v>1</v>
      </c>
      <c r="E3339">
        <v>0</v>
      </c>
      <c r="F3339">
        <v>-0.35830496605797985</v>
      </c>
      <c r="G3339">
        <v>-0.31966600249334359</v>
      </c>
      <c r="H3339">
        <v>-0.60162183574830763</v>
      </c>
    </row>
    <row r="3340" spans="2:8">
      <c r="B3340">
        <v>1</v>
      </c>
      <c r="C3340">
        <v>97.960799999999992</v>
      </c>
      <c r="D3340">
        <v>1</v>
      </c>
      <c r="E3340">
        <v>0</v>
      </c>
      <c r="F3340">
        <v>1.430337144362435E-2</v>
      </c>
    </row>
    <row r="3341" spans="2:8">
      <c r="B3341">
        <v>3</v>
      </c>
      <c r="C3341">
        <v>92.23681599999999</v>
      </c>
      <c r="D3341">
        <v>3</v>
      </c>
      <c r="E3341">
        <v>0</v>
      </c>
      <c r="F3341">
        <v>-0.17175026728751508</v>
      </c>
      <c r="G3341">
        <v>-3.5430066743962585E-3</v>
      </c>
      <c r="H3341">
        <v>-3.9414030982593558E-2</v>
      </c>
    </row>
    <row r="3342" spans="2:8">
      <c r="B3342">
        <v>3</v>
      </c>
      <c r="C3342">
        <v>97.771024959999991</v>
      </c>
      <c r="D3342">
        <v>3</v>
      </c>
      <c r="E3342">
        <v>0</v>
      </c>
      <c r="F3342">
        <v>-4.062176095261491E-2</v>
      </c>
      <c r="G3342">
        <v>-5.889211569112849E-2</v>
      </c>
      <c r="H3342">
        <v>4.9874314958540326E-2</v>
      </c>
    </row>
    <row r="3343" spans="2:8">
      <c r="B3343">
        <v>3</v>
      </c>
      <c r="C3343">
        <v>92.23681599999999</v>
      </c>
      <c r="D3343">
        <v>3</v>
      </c>
      <c r="E3343">
        <v>0</v>
      </c>
      <c r="F3343">
        <v>-0.21430471726348232</v>
      </c>
      <c r="G3343">
        <v>-0.10515121802890015</v>
      </c>
      <c r="H3343">
        <v>-0.29016673166891666</v>
      </c>
    </row>
    <row r="3344" spans="2:8">
      <c r="B3344">
        <v>3</v>
      </c>
      <c r="C3344">
        <v>92.23681599999999</v>
      </c>
      <c r="D3344">
        <v>3</v>
      </c>
      <c r="E3344">
        <v>0</v>
      </c>
      <c r="F3344">
        <v>-0.14701169839043007</v>
      </c>
      <c r="G3344">
        <v>-0.26882683674423502</v>
      </c>
      <c r="H3344">
        <v>-0.28460684250686452</v>
      </c>
    </row>
    <row r="3345" spans="2:8">
      <c r="B3345">
        <v>1</v>
      </c>
      <c r="C3345">
        <v>97.960799999999992</v>
      </c>
      <c r="D3345">
        <v>1</v>
      </c>
      <c r="E3345">
        <v>0</v>
      </c>
      <c r="F3345">
        <v>7.9080040533488546E-3</v>
      </c>
    </row>
    <row r="3346" spans="2:8">
      <c r="B3346">
        <v>1</v>
      </c>
      <c r="C3346">
        <v>97.960799999999992</v>
      </c>
      <c r="D3346">
        <v>1</v>
      </c>
      <c r="E3346">
        <v>0</v>
      </c>
      <c r="F3346">
        <v>8.4118629740236303E-2</v>
      </c>
    </row>
    <row r="3347" spans="2:8">
      <c r="B3347">
        <v>3</v>
      </c>
      <c r="C3347">
        <v>92.23681599999999</v>
      </c>
      <c r="D3347">
        <v>1</v>
      </c>
      <c r="E3347">
        <v>0</v>
      </c>
      <c r="F3347">
        <v>-1.1828356043252188E-2</v>
      </c>
      <c r="G3347">
        <v>-0.38343050580226073</v>
      </c>
      <c r="H3347">
        <v>-0.3750415928096818</v>
      </c>
    </row>
    <row r="3348" spans="2:8">
      <c r="B3348">
        <v>3</v>
      </c>
      <c r="C3348">
        <v>47.804815435985624</v>
      </c>
      <c r="D3348">
        <v>1</v>
      </c>
      <c r="E3348">
        <v>0</v>
      </c>
      <c r="F3348">
        <v>-0.18192333816466619</v>
      </c>
      <c r="G3348">
        <v>-0.33522711906091479</v>
      </c>
      <c r="H3348">
        <v>-0.49208221663607821</v>
      </c>
    </row>
    <row r="3349" spans="2:8">
      <c r="B3349">
        <v>1</v>
      </c>
      <c r="C3349">
        <v>102</v>
      </c>
      <c r="D3349">
        <v>1</v>
      </c>
      <c r="E3349">
        <v>0</v>
      </c>
      <c r="F3349">
        <v>-0.24266334775399878</v>
      </c>
      <c r="G3349">
        <v>-0.15756243142819648</v>
      </c>
      <c r="H3349">
        <v>-0.2380646566953992</v>
      </c>
    </row>
    <row r="3350" spans="2:8">
      <c r="B3350">
        <v>1</v>
      </c>
      <c r="C3350">
        <v>102</v>
      </c>
      <c r="D3350">
        <v>1</v>
      </c>
      <c r="E3350">
        <v>0</v>
      </c>
      <c r="F3350">
        <v>-0.23425871941480922</v>
      </c>
      <c r="G3350">
        <v>-0.43139039136059093</v>
      </c>
      <c r="H3350">
        <v>-0.5075532995376858</v>
      </c>
    </row>
    <row r="3351" spans="2:8">
      <c r="B3351">
        <v>1</v>
      </c>
      <c r="C3351">
        <v>102</v>
      </c>
      <c r="D3351">
        <v>1</v>
      </c>
      <c r="E3351">
        <v>0</v>
      </c>
      <c r="F3351">
        <v>-0.26126406488434734</v>
      </c>
      <c r="G3351">
        <v>-0.18819178869864306</v>
      </c>
      <c r="H3351">
        <v>-0.27743776547843668</v>
      </c>
    </row>
    <row r="3352" spans="2:8">
      <c r="B3352">
        <v>3</v>
      </c>
      <c r="C3352">
        <v>56.086938094612123</v>
      </c>
      <c r="D3352">
        <v>1</v>
      </c>
      <c r="E3352">
        <v>0</v>
      </c>
      <c r="F3352">
        <v>-0.19179492110393961</v>
      </c>
      <c r="G3352">
        <v>-0.35371027187225201</v>
      </c>
      <c r="H3352">
        <v>-0.40408611532384331</v>
      </c>
    </row>
    <row r="3353" spans="2:8">
      <c r="B3353">
        <v>1</v>
      </c>
      <c r="C3353">
        <v>102</v>
      </c>
      <c r="D3353">
        <v>1</v>
      </c>
      <c r="E3353">
        <v>0</v>
      </c>
      <c r="F3353">
        <v>0.15598745653275836</v>
      </c>
    </row>
    <row r="3354" spans="2:8">
      <c r="B3354">
        <v>1</v>
      </c>
      <c r="C3354">
        <v>102</v>
      </c>
      <c r="D3354">
        <v>1</v>
      </c>
      <c r="E3354">
        <v>0</v>
      </c>
      <c r="F3354">
        <v>6.50531308763065E-2</v>
      </c>
    </row>
    <row r="3355" spans="2:8">
      <c r="B3355">
        <v>1</v>
      </c>
      <c r="C3355">
        <v>97.960799999999992</v>
      </c>
      <c r="D3355">
        <v>1</v>
      </c>
      <c r="E3355">
        <v>0</v>
      </c>
      <c r="F3355">
        <v>0.15984583373417527</v>
      </c>
    </row>
    <row r="3356" spans="2:8">
      <c r="B3356">
        <v>3</v>
      </c>
      <c r="C3356">
        <v>97.771024959999991</v>
      </c>
      <c r="D3356">
        <v>3</v>
      </c>
      <c r="E3356">
        <v>0</v>
      </c>
      <c r="F3356">
        <v>-5.6146588766291652E-2</v>
      </c>
      <c r="G3356">
        <v>3.285187555875433E-2</v>
      </c>
      <c r="H3356">
        <v>0.11761644286767148</v>
      </c>
    </row>
    <row r="3357" spans="2:8">
      <c r="B3357">
        <v>3</v>
      </c>
      <c r="C3357">
        <v>25.540541417759698</v>
      </c>
      <c r="D3357">
        <v>0</v>
      </c>
      <c r="E3357">
        <v>0</v>
      </c>
      <c r="F3357">
        <v>-0.44835662484470518</v>
      </c>
      <c r="G3357">
        <v>-0.41963074735878086</v>
      </c>
      <c r="H3357">
        <v>-0.7286362249385917</v>
      </c>
    </row>
    <row r="3358" spans="2:8">
      <c r="B3358">
        <v>1</v>
      </c>
      <c r="C3358">
        <v>97.960799999999992</v>
      </c>
      <c r="D3358">
        <v>1</v>
      </c>
      <c r="E3358">
        <v>0</v>
      </c>
      <c r="F3358">
        <v>4.3611986928924332E-2</v>
      </c>
    </row>
    <row r="3359" spans="2:8">
      <c r="B3359">
        <v>3</v>
      </c>
      <c r="C3359">
        <v>55.316012784220987</v>
      </c>
      <c r="D3359">
        <v>1</v>
      </c>
      <c r="E3359">
        <v>0</v>
      </c>
      <c r="F3359">
        <v>-0.34024609423249491</v>
      </c>
      <c r="G3359">
        <v>-0.29776160053635076</v>
      </c>
      <c r="H3359">
        <v>-0.41227706159613564</v>
      </c>
    </row>
    <row r="3360" spans="2:8">
      <c r="B3360">
        <v>1</v>
      </c>
      <c r="C3360">
        <v>102</v>
      </c>
      <c r="D3360">
        <v>1</v>
      </c>
      <c r="E3360">
        <v>0</v>
      </c>
      <c r="F3360">
        <v>-0.2516276495711931</v>
      </c>
      <c r="G3360">
        <v>-0.4621438098893576</v>
      </c>
      <c r="H3360">
        <v>-0.5470059024107522</v>
      </c>
    </row>
    <row r="3361" spans="2:8">
      <c r="B3361">
        <v>1</v>
      </c>
      <c r="C3361">
        <v>102</v>
      </c>
      <c r="D3361">
        <v>1</v>
      </c>
      <c r="E3361">
        <v>0</v>
      </c>
      <c r="F3361">
        <v>-0.21162548925599717</v>
      </c>
      <c r="G3361">
        <v>-9.9742303117905329E-2</v>
      </c>
      <c r="H3361">
        <v>-0.16297741664966323</v>
      </c>
    </row>
    <row r="3362" spans="2:8">
      <c r="B3362">
        <v>3</v>
      </c>
      <c r="C3362">
        <v>0</v>
      </c>
      <c r="D3362">
        <v>0</v>
      </c>
      <c r="E3362">
        <v>0</v>
      </c>
      <c r="F3362">
        <v>-0.66448480624003148</v>
      </c>
      <c r="G3362">
        <v>-0.97265559987872274</v>
      </c>
      <c r="H3362">
        <v>-1.1030942617295509</v>
      </c>
    </row>
    <row r="3363" spans="2:8">
      <c r="B3363">
        <v>3</v>
      </c>
      <c r="C3363">
        <v>92.23681599999999</v>
      </c>
      <c r="D3363">
        <v>3</v>
      </c>
      <c r="E3363">
        <v>0</v>
      </c>
      <c r="F3363">
        <v>-6.0433192274432605E-2</v>
      </c>
      <c r="G3363">
        <v>-0.26667658546020856</v>
      </c>
      <c r="H3363">
        <v>-0.18800877720886877</v>
      </c>
    </row>
    <row r="3364" spans="2:8">
      <c r="B3364">
        <v>3</v>
      </c>
      <c r="C3364">
        <v>12.306664281555541</v>
      </c>
      <c r="D3364">
        <v>0</v>
      </c>
      <c r="E3364">
        <v>0</v>
      </c>
      <c r="F3364">
        <v>-0.33516846242236648</v>
      </c>
      <c r="G3364">
        <v>-0.59865719639265802</v>
      </c>
      <c r="H3364">
        <v>-0.86924384948495592</v>
      </c>
    </row>
    <row r="3365" spans="2:8">
      <c r="B3365">
        <v>1</v>
      </c>
      <c r="C3365">
        <v>97.960799999999992</v>
      </c>
      <c r="D3365">
        <v>1</v>
      </c>
      <c r="E3365">
        <v>0</v>
      </c>
      <c r="F3365">
        <v>5.0854162664031434E-4</v>
      </c>
    </row>
    <row r="3366" spans="2:8">
      <c r="B3366">
        <v>3</v>
      </c>
      <c r="C3366">
        <v>92.23681599999999</v>
      </c>
      <c r="D3366">
        <v>3</v>
      </c>
      <c r="E3366">
        <v>0</v>
      </c>
      <c r="F3366">
        <v>-0.12550169555602436</v>
      </c>
      <c r="G3366">
        <v>-0.11860524983723061</v>
      </c>
      <c r="H3366">
        <v>-0.11479957613111463</v>
      </c>
    </row>
    <row r="3367" spans="2:8">
      <c r="B3367">
        <v>3</v>
      </c>
      <c r="C3367">
        <v>92.23681599999999</v>
      </c>
      <c r="D3367">
        <v>3</v>
      </c>
      <c r="E3367">
        <v>0</v>
      </c>
      <c r="F3367">
        <v>-0.16483963186691819</v>
      </c>
      <c r="G3367">
        <v>1.8090246578891973E-2</v>
      </c>
      <c r="H3367">
        <v>-0.12334903601375123</v>
      </c>
    </row>
    <row r="3368" spans="2:8">
      <c r="B3368">
        <v>3</v>
      </c>
      <c r="C3368">
        <v>20.804477720299012</v>
      </c>
      <c r="D3368">
        <v>0</v>
      </c>
      <c r="E3368">
        <v>0</v>
      </c>
      <c r="F3368">
        <v>-0.37671644330297338</v>
      </c>
      <c r="G3368">
        <v>-0.65802562524365305</v>
      </c>
      <c r="H3368">
        <v>-0.77895607144664414</v>
      </c>
    </row>
    <row r="3369" spans="2:8">
      <c r="B3369">
        <v>3</v>
      </c>
      <c r="C3369">
        <v>92.23681599999999</v>
      </c>
      <c r="D3369">
        <v>2</v>
      </c>
      <c r="E3369">
        <v>0</v>
      </c>
      <c r="F3369">
        <v>-8.6380437418958567E-2</v>
      </c>
      <c r="G3369">
        <v>-0.34006631765205347</v>
      </c>
      <c r="H3369">
        <v>-0.29466650013132817</v>
      </c>
    </row>
    <row r="3370" spans="2:8">
      <c r="B3370">
        <v>1</v>
      </c>
      <c r="C3370">
        <v>102</v>
      </c>
      <c r="D3370">
        <v>1</v>
      </c>
      <c r="E3370">
        <v>0</v>
      </c>
      <c r="F3370">
        <v>-0.1703840050133727</v>
      </c>
      <c r="G3370">
        <v>-0.31344899828729816</v>
      </c>
      <c r="H3370">
        <v>-0.4599289808078682</v>
      </c>
    </row>
    <row r="3371" spans="2:8">
      <c r="B3371">
        <v>3</v>
      </c>
      <c r="C3371">
        <v>92.23681599999999</v>
      </c>
      <c r="D3371">
        <v>1</v>
      </c>
      <c r="E3371">
        <v>0</v>
      </c>
      <c r="F3371">
        <v>-0.31063260354278066</v>
      </c>
      <c r="G3371">
        <v>-0.2597238968065903</v>
      </c>
      <c r="H3371">
        <v>-0.36681996450216381</v>
      </c>
    </row>
    <row r="3372" spans="2:8">
      <c r="B3372">
        <v>1</v>
      </c>
      <c r="C3372">
        <v>102</v>
      </c>
      <c r="D3372">
        <v>1</v>
      </c>
      <c r="E3372">
        <v>0</v>
      </c>
      <c r="F3372">
        <v>-0.12730563506062711</v>
      </c>
      <c r="G3372">
        <v>-0.12214459165517465</v>
      </c>
      <c r="H3372">
        <v>-0.12006240275762428</v>
      </c>
    </row>
    <row r="3373" spans="2:8">
      <c r="B3373">
        <v>1</v>
      </c>
      <c r="C3373">
        <v>102</v>
      </c>
      <c r="D3373">
        <v>1</v>
      </c>
      <c r="E3373">
        <v>0</v>
      </c>
      <c r="F3373">
        <v>-4.4914011088370905E-2</v>
      </c>
      <c r="G3373">
        <v>-0.22814783926164864</v>
      </c>
      <c r="H3373">
        <v>-0.1263562194448212</v>
      </c>
    </row>
    <row r="3374" spans="2:8">
      <c r="B3374">
        <v>3</v>
      </c>
      <c r="C3374">
        <v>44.62774012441259</v>
      </c>
      <c r="D3374">
        <v>1</v>
      </c>
      <c r="E3374">
        <v>0</v>
      </c>
      <c r="F3374">
        <v>-0.19417766415689794</v>
      </c>
      <c r="G3374">
        <v>-0.35815002020636377</v>
      </c>
      <c r="H3374">
        <v>-0.52583808484971617</v>
      </c>
    </row>
    <row r="3375" spans="2:8">
      <c r="B3375">
        <v>3</v>
      </c>
      <c r="C3375">
        <v>92.23681599999999</v>
      </c>
      <c r="D3375">
        <v>3</v>
      </c>
      <c r="E3375">
        <v>0</v>
      </c>
      <c r="F3375">
        <v>-0.19815618049154585</v>
      </c>
      <c r="G3375">
        <v>-7.0981558804181361E-2</v>
      </c>
      <c r="H3375">
        <v>-0.12564139326497484</v>
      </c>
    </row>
    <row r="3376" spans="2:8">
      <c r="B3376">
        <v>1</v>
      </c>
      <c r="C3376">
        <v>102</v>
      </c>
      <c r="D3376">
        <v>1</v>
      </c>
      <c r="E3376">
        <v>0</v>
      </c>
      <c r="F3376">
        <v>0.19079739417973771</v>
      </c>
    </row>
    <row r="3377" spans="2:8">
      <c r="B3377">
        <v>1</v>
      </c>
      <c r="C3377">
        <v>97.960799999999992</v>
      </c>
      <c r="D3377">
        <v>1</v>
      </c>
      <c r="E3377">
        <v>0</v>
      </c>
      <c r="F3377">
        <v>1.9009356341582097E-2</v>
      </c>
    </row>
    <row r="3378" spans="2:8">
      <c r="B3378">
        <v>3</v>
      </c>
      <c r="C3378">
        <v>92.23681599999999</v>
      </c>
      <c r="D3378">
        <v>3</v>
      </c>
      <c r="E3378">
        <v>0</v>
      </c>
      <c r="F3378">
        <v>-0.18944263375564557</v>
      </c>
      <c r="G3378">
        <v>-0.23530028029208294</v>
      </c>
      <c r="H3378">
        <v>-0.2840534637603061</v>
      </c>
    </row>
    <row r="3379" spans="2:8">
      <c r="B3379">
        <v>3</v>
      </c>
      <c r="C3379">
        <v>97.771024959999991</v>
      </c>
      <c r="D3379">
        <v>3</v>
      </c>
      <c r="E3379">
        <v>0</v>
      </c>
      <c r="F3379">
        <v>-1.2030200246069874E-3</v>
      </c>
      <c r="G3379">
        <v>-0.13138034504278429</v>
      </c>
      <c r="H3379">
        <v>6.426023068140102E-2</v>
      </c>
    </row>
    <row r="3380" spans="2:8">
      <c r="B3380">
        <v>1</v>
      </c>
      <c r="C3380">
        <v>102</v>
      </c>
      <c r="D3380">
        <v>1</v>
      </c>
      <c r="E3380">
        <v>0</v>
      </c>
      <c r="F3380">
        <v>0.12590165257912472</v>
      </c>
    </row>
    <row r="3381" spans="2:8">
      <c r="B3381">
        <v>1</v>
      </c>
      <c r="C3381">
        <v>102</v>
      </c>
      <c r="D3381">
        <v>1</v>
      </c>
      <c r="E3381">
        <v>0</v>
      </c>
      <c r="F3381">
        <v>-0.22343257204054223</v>
      </c>
      <c r="G3381">
        <v>-0.12292200594535042</v>
      </c>
      <c r="H3381">
        <v>-0.19312976654023042</v>
      </c>
    </row>
    <row r="3382" spans="2:8">
      <c r="B3382">
        <v>1</v>
      </c>
      <c r="C3382">
        <v>97.960799999999992</v>
      </c>
      <c r="D3382">
        <v>1</v>
      </c>
      <c r="E3382">
        <v>0</v>
      </c>
      <c r="F3382">
        <v>7.4360249153554589E-2</v>
      </c>
    </row>
    <row r="3383" spans="2:8">
      <c r="B3383">
        <v>1</v>
      </c>
      <c r="C3383">
        <v>102</v>
      </c>
      <c r="D3383">
        <v>1</v>
      </c>
      <c r="E3383">
        <v>0</v>
      </c>
      <c r="F3383">
        <v>-0.23941973794908739</v>
      </c>
      <c r="G3383">
        <v>-0.15195294569895806</v>
      </c>
      <c r="H3383">
        <v>-0.23080959352553643</v>
      </c>
    </row>
    <row r="3384" spans="2:8">
      <c r="B3384">
        <v>1</v>
      </c>
      <c r="C3384">
        <v>97.960799999999992</v>
      </c>
      <c r="D3384">
        <v>1</v>
      </c>
      <c r="E3384">
        <v>0</v>
      </c>
      <c r="F3384">
        <v>0.11349148295053101</v>
      </c>
    </row>
    <row r="3385" spans="2:8">
      <c r="B3385">
        <v>1</v>
      </c>
      <c r="C3385">
        <v>97.960799999999992</v>
      </c>
      <c r="D3385">
        <v>1</v>
      </c>
      <c r="E3385">
        <v>0</v>
      </c>
      <c r="F3385">
        <v>0.18264475242482919</v>
      </c>
    </row>
    <row r="3386" spans="2:8">
      <c r="B3386">
        <v>3</v>
      </c>
      <c r="C3386">
        <v>97.771024959999991</v>
      </c>
      <c r="D3386">
        <v>3</v>
      </c>
      <c r="E3386">
        <v>0</v>
      </c>
      <c r="F3386">
        <v>-8.2012634999681741E-2</v>
      </c>
      <c r="G3386">
        <v>-2.7799343325363695E-2</v>
      </c>
      <c r="H3386">
        <v>2.2823001148648749E-2</v>
      </c>
    </row>
    <row r="3387" spans="2:8">
      <c r="B3387">
        <v>3</v>
      </c>
      <c r="C3387">
        <v>92.23681599999999</v>
      </c>
      <c r="D3387">
        <v>3</v>
      </c>
      <c r="E3387">
        <v>0</v>
      </c>
      <c r="F3387">
        <v>-0.18795130983830294</v>
      </c>
      <c r="G3387">
        <v>-4.7054345338954418E-2</v>
      </c>
      <c r="H3387">
        <v>-0.2092631640505225</v>
      </c>
    </row>
    <row r="3388" spans="2:8">
      <c r="B3388">
        <v>3</v>
      </c>
      <c r="C3388">
        <v>49.786949491201668</v>
      </c>
      <c r="D3388">
        <v>1</v>
      </c>
      <c r="E3388">
        <v>0</v>
      </c>
      <c r="F3388">
        <v>-0.21880106674314168</v>
      </c>
      <c r="G3388">
        <v>-0.4034898057578305</v>
      </c>
      <c r="H3388">
        <v>-0.47102238978655075</v>
      </c>
    </row>
    <row r="3389" spans="2:8">
      <c r="B3389">
        <v>3</v>
      </c>
      <c r="C3389">
        <v>54.16402309333607</v>
      </c>
      <c r="D3389">
        <v>0</v>
      </c>
      <c r="E3389">
        <v>0</v>
      </c>
      <c r="F3389">
        <v>-0.34880449656678242</v>
      </c>
      <c r="G3389">
        <v>-0.30824950183720423</v>
      </c>
      <c r="H3389">
        <v>-0.42451675010692747</v>
      </c>
    </row>
    <row r="3390" spans="2:8">
      <c r="B3390">
        <v>3</v>
      </c>
      <c r="C3390">
        <v>92.23681599999999</v>
      </c>
      <c r="D3390">
        <v>3</v>
      </c>
      <c r="E3390">
        <v>0</v>
      </c>
      <c r="F3390">
        <v>-9.96500909120034E-2</v>
      </c>
      <c r="G3390">
        <v>-6.600910742888362E-2</v>
      </c>
      <c r="H3390">
        <v>-3.5697027001321012E-2</v>
      </c>
    </row>
    <row r="3391" spans="2:8">
      <c r="B3391">
        <v>3</v>
      </c>
      <c r="C3391">
        <v>45.251229533804704</v>
      </c>
      <c r="D3391">
        <v>1</v>
      </c>
      <c r="E3391">
        <v>0</v>
      </c>
      <c r="F3391">
        <v>-0.12435105506008598</v>
      </c>
      <c r="G3391">
        <v>-0.52412669893774111</v>
      </c>
      <c r="H3391">
        <v>-0.51921361917860853</v>
      </c>
    </row>
    <row r="3392" spans="2:8">
      <c r="B3392">
        <v>1</v>
      </c>
      <c r="C3392">
        <v>97.960799999999992</v>
      </c>
      <c r="D3392">
        <v>1</v>
      </c>
      <c r="E3392">
        <v>0</v>
      </c>
      <c r="F3392">
        <v>6.2936460869486455E-2</v>
      </c>
    </row>
    <row r="3393" spans="2:8">
      <c r="B3393">
        <v>1</v>
      </c>
      <c r="C3393">
        <v>102</v>
      </c>
      <c r="D3393">
        <v>1</v>
      </c>
      <c r="E3393">
        <v>0</v>
      </c>
      <c r="F3393">
        <v>-0.19572052934647219</v>
      </c>
      <c r="G3393">
        <v>-6.5460501388355144E-2</v>
      </c>
      <c r="H3393">
        <v>-0.1184979456075215</v>
      </c>
    </row>
    <row r="3394" spans="2:8">
      <c r="B3394">
        <v>1</v>
      </c>
      <c r="C3394">
        <v>97.960799999999992</v>
      </c>
      <c r="D3394">
        <v>1</v>
      </c>
      <c r="E3394">
        <v>0</v>
      </c>
      <c r="F3394">
        <v>1.2536408577792181E-2</v>
      </c>
    </row>
    <row r="3395" spans="2:8">
      <c r="B3395">
        <v>1</v>
      </c>
      <c r="C3395">
        <v>97.960799999999992</v>
      </c>
      <c r="D3395">
        <v>1</v>
      </c>
      <c r="E3395">
        <v>0</v>
      </c>
      <c r="F3395">
        <v>6.6419831414419525E-2</v>
      </c>
    </row>
    <row r="3396" spans="2:8">
      <c r="B3396">
        <v>1</v>
      </c>
      <c r="C3396">
        <v>97.960799999999992</v>
      </c>
      <c r="D3396">
        <v>1</v>
      </c>
      <c r="E3396">
        <v>0</v>
      </c>
      <c r="F3396">
        <v>2.9800694321447784E-2</v>
      </c>
    </row>
    <row r="3397" spans="2:8">
      <c r="B3397">
        <v>1</v>
      </c>
      <c r="C3397">
        <v>97.960799999999992</v>
      </c>
      <c r="D3397">
        <v>1</v>
      </c>
      <c r="E3397">
        <v>0</v>
      </c>
      <c r="F3397">
        <v>0.17346618371472586</v>
      </c>
    </row>
    <row r="3398" spans="2:8">
      <c r="B3398">
        <v>1</v>
      </c>
      <c r="C3398">
        <v>102</v>
      </c>
      <c r="D3398">
        <v>1</v>
      </c>
      <c r="E3398">
        <v>0</v>
      </c>
      <c r="F3398">
        <v>0.28556189877286436</v>
      </c>
    </row>
    <row r="3399" spans="2:8">
      <c r="B3399">
        <v>3</v>
      </c>
      <c r="C3399">
        <v>97.771024959999991</v>
      </c>
      <c r="D3399">
        <v>3</v>
      </c>
      <c r="E3399">
        <v>0</v>
      </c>
      <c r="F3399">
        <v>-0.1521576725346892</v>
      </c>
      <c r="G3399">
        <v>6.6389132137512075E-2</v>
      </c>
      <c r="H3399">
        <v>4.6223035815938507E-2</v>
      </c>
    </row>
    <row r="3400" spans="2:8">
      <c r="B3400">
        <v>1</v>
      </c>
      <c r="C3400">
        <v>97.960799999999992</v>
      </c>
      <c r="D3400">
        <v>1</v>
      </c>
      <c r="E3400">
        <v>0</v>
      </c>
      <c r="F3400">
        <v>2.1964430726436366E-2</v>
      </c>
    </row>
    <row r="3401" spans="2:8">
      <c r="B3401">
        <v>1</v>
      </c>
      <c r="C3401">
        <v>97.960799999999992</v>
      </c>
      <c r="D3401">
        <v>1</v>
      </c>
      <c r="E3401">
        <v>0</v>
      </c>
      <c r="F3401">
        <v>3.4733396027591998E-2</v>
      </c>
    </row>
    <row r="3402" spans="2:8">
      <c r="B3402">
        <v>1</v>
      </c>
      <c r="C3402">
        <v>102</v>
      </c>
      <c r="D3402">
        <v>1</v>
      </c>
      <c r="E3402">
        <v>0</v>
      </c>
      <c r="F3402">
        <v>0.14287172736563208</v>
      </c>
    </row>
    <row r="3403" spans="2:8">
      <c r="B3403">
        <v>3</v>
      </c>
      <c r="C3403">
        <v>92.23681599999999</v>
      </c>
      <c r="D3403">
        <v>2</v>
      </c>
      <c r="E3403">
        <v>0</v>
      </c>
      <c r="F3403">
        <v>-0.27872306347569226</v>
      </c>
      <c r="G3403">
        <v>-0.2149022901364607</v>
      </c>
      <c r="H3403">
        <v>-0.31131613469989594</v>
      </c>
    </row>
    <row r="3404" spans="2:8">
      <c r="B3404">
        <v>1</v>
      </c>
      <c r="C3404">
        <v>97.960799999999992</v>
      </c>
      <c r="D3404">
        <v>1</v>
      </c>
      <c r="E3404">
        <v>0</v>
      </c>
      <c r="F3404">
        <v>0.27172736083811005</v>
      </c>
    </row>
    <row r="3405" spans="2:8">
      <c r="B3405">
        <v>1</v>
      </c>
      <c r="C3405">
        <v>102</v>
      </c>
      <c r="D3405">
        <v>1</v>
      </c>
      <c r="E3405">
        <v>0</v>
      </c>
      <c r="F3405">
        <v>-3.4689055021789303E-2</v>
      </c>
      <c r="G3405">
        <v>-0.20418405702762918</v>
      </c>
      <c r="H3405">
        <v>-8.5265159931039627E-2</v>
      </c>
    </row>
    <row r="3406" spans="2:8">
      <c r="B3406">
        <v>1</v>
      </c>
      <c r="C3406">
        <v>102</v>
      </c>
      <c r="D3406">
        <v>1</v>
      </c>
      <c r="E3406">
        <v>0</v>
      </c>
      <c r="F3406">
        <v>0.11073377190799732</v>
      </c>
    </row>
    <row r="3407" spans="2:8">
      <c r="B3407">
        <v>1</v>
      </c>
      <c r="C3407">
        <v>102</v>
      </c>
      <c r="D3407">
        <v>1</v>
      </c>
      <c r="E3407">
        <v>0</v>
      </c>
      <c r="F3407">
        <v>-0.18336851848012536</v>
      </c>
      <c r="G3407">
        <v>-3.5544524715227205E-2</v>
      </c>
      <c r="H3407">
        <v>-8.0010615234037658E-2</v>
      </c>
    </row>
    <row r="3408" spans="2:8">
      <c r="B3408">
        <v>3</v>
      </c>
      <c r="C3408">
        <v>97.771024959999991</v>
      </c>
      <c r="D3408">
        <v>3</v>
      </c>
      <c r="E3408">
        <v>0</v>
      </c>
      <c r="F3408">
        <v>-1.4572259695250262E-2</v>
      </c>
      <c r="G3408">
        <v>-5.9333719929586283E-3</v>
      </c>
      <c r="H3408">
        <v>0.15358472973074228</v>
      </c>
    </row>
    <row r="3409" spans="2:8">
      <c r="B3409">
        <v>1</v>
      </c>
      <c r="C3409">
        <v>97.960799999999992</v>
      </c>
      <c r="D3409">
        <v>1</v>
      </c>
      <c r="E3409">
        <v>0</v>
      </c>
      <c r="F3409">
        <v>0.23511160630687472</v>
      </c>
    </row>
    <row r="3410" spans="2:8">
      <c r="B3410">
        <v>1</v>
      </c>
      <c r="C3410">
        <v>97.960799999999992</v>
      </c>
      <c r="D3410">
        <v>1</v>
      </c>
      <c r="E3410">
        <v>0</v>
      </c>
      <c r="F3410">
        <v>0.11629946959140557</v>
      </c>
    </row>
    <row r="3411" spans="2:8">
      <c r="B3411">
        <v>1</v>
      </c>
      <c r="C3411">
        <v>97.960799999999992</v>
      </c>
      <c r="D3411">
        <v>1</v>
      </c>
      <c r="E3411">
        <v>0</v>
      </c>
      <c r="F3411">
        <v>9.6546579994948051E-3</v>
      </c>
    </row>
    <row r="3412" spans="2:8">
      <c r="B3412">
        <v>3</v>
      </c>
      <c r="C3412">
        <v>92.23681599999999</v>
      </c>
      <c r="D3412">
        <v>3</v>
      </c>
      <c r="E3412">
        <v>0</v>
      </c>
      <c r="F3412">
        <v>-0.15540707349376834</v>
      </c>
      <c r="G3412">
        <v>-0.17533594759208698</v>
      </c>
      <c r="H3412">
        <v>-0.19821460622419632</v>
      </c>
    </row>
    <row r="3413" spans="2:8">
      <c r="B3413">
        <v>3</v>
      </c>
      <c r="C3413">
        <v>92.23681599999999</v>
      </c>
      <c r="D3413">
        <v>2</v>
      </c>
      <c r="E3413">
        <v>0</v>
      </c>
      <c r="F3413">
        <v>-7.9310131007300222E-2</v>
      </c>
      <c r="G3413">
        <v>-0.31853928595430353</v>
      </c>
      <c r="H3413">
        <v>-0.2646162663558122</v>
      </c>
    </row>
    <row r="3414" spans="2:8">
      <c r="B3414">
        <v>3</v>
      </c>
      <c r="C3414">
        <v>92.23681599999999</v>
      </c>
      <c r="D3414">
        <v>3</v>
      </c>
      <c r="E3414">
        <v>0</v>
      </c>
      <c r="F3414">
        <v>-7.4975859537019116E-2</v>
      </c>
      <c r="G3414">
        <v>-0.12778097013764619</v>
      </c>
      <c r="H3414">
        <v>-6.8447510634306957E-2</v>
      </c>
    </row>
    <row r="3415" spans="2:8">
      <c r="B3415">
        <v>3</v>
      </c>
      <c r="C3415">
        <v>92.23681599999999</v>
      </c>
      <c r="D3415">
        <v>1</v>
      </c>
      <c r="E3415">
        <v>0</v>
      </c>
      <c r="F3415">
        <v>-8.8040966443234975E-2</v>
      </c>
      <c r="G3415">
        <v>-0.34534915744648753</v>
      </c>
      <c r="H3415">
        <v>-0.30189989911191556</v>
      </c>
    </row>
    <row r="3416" spans="2:8">
      <c r="B3416">
        <v>3</v>
      </c>
      <c r="C3416">
        <v>97.771024959999991</v>
      </c>
      <c r="D3416">
        <v>3</v>
      </c>
      <c r="E3416">
        <v>0</v>
      </c>
      <c r="F3416">
        <v>-4.9200664224469809E-2</v>
      </c>
      <c r="G3416">
        <v>-7.619242222351294E-2</v>
      </c>
      <c r="H3416">
        <v>1.8906272393432077E-2</v>
      </c>
    </row>
    <row r="3417" spans="2:8">
      <c r="B3417">
        <v>3</v>
      </c>
      <c r="C3417">
        <v>92.23681599999999</v>
      </c>
      <c r="D3417">
        <v>3</v>
      </c>
      <c r="E3417">
        <v>0</v>
      </c>
      <c r="F3417">
        <v>-0.1760734413066046</v>
      </c>
      <c r="G3417">
        <v>-1.599411550875901E-2</v>
      </c>
      <c r="H3417">
        <v>-0.1676096553047817</v>
      </c>
    </row>
    <row r="3418" spans="2:8">
      <c r="B3418">
        <v>3</v>
      </c>
      <c r="C3418">
        <v>38.542943450192915</v>
      </c>
      <c r="D3418">
        <v>1</v>
      </c>
      <c r="E3418">
        <v>0</v>
      </c>
      <c r="F3418">
        <v>-0.2717228481769759</v>
      </c>
      <c r="G3418">
        <v>-0.49683050782018512</v>
      </c>
      <c r="H3418">
        <v>-0.59048798278998416</v>
      </c>
    </row>
    <row r="3419" spans="2:8">
      <c r="B3419">
        <v>3</v>
      </c>
      <c r="C3419">
        <v>92.23681599999999</v>
      </c>
      <c r="D3419">
        <v>3</v>
      </c>
      <c r="E3419">
        <v>0</v>
      </c>
      <c r="F3419">
        <v>-0.17390079332793765</v>
      </c>
      <c r="G3419">
        <v>-9.8274232266812398E-3</v>
      </c>
      <c r="H3419">
        <v>-4.7328942020745009E-2</v>
      </c>
    </row>
    <row r="3420" spans="2:8">
      <c r="B3420">
        <v>1</v>
      </c>
      <c r="C3420">
        <v>97.960799999999992</v>
      </c>
      <c r="D3420">
        <v>1</v>
      </c>
      <c r="E3420">
        <v>0</v>
      </c>
      <c r="F3420">
        <v>8.6471886773047388E-2</v>
      </c>
    </row>
    <row r="3421" spans="2:8">
      <c r="B3421">
        <v>3</v>
      </c>
      <c r="C3421">
        <v>92.23681599999999</v>
      </c>
      <c r="D3421">
        <v>1</v>
      </c>
      <c r="E3421">
        <v>0</v>
      </c>
      <c r="F3421">
        <v>-0.30485357557888559</v>
      </c>
      <c r="G3421">
        <v>-0.25193589781421227</v>
      </c>
      <c r="H3421">
        <v>-0.35731620252002455</v>
      </c>
    </row>
    <row r="3422" spans="2:8">
      <c r="B3422">
        <v>3</v>
      </c>
      <c r="C3422">
        <v>28.31948608497953</v>
      </c>
      <c r="D3422">
        <v>0</v>
      </c>
      <c r="E3422">
        <v>0</v>
      </c>
      <c r="F3422">
        <v>-0.32776832910542575</v>
      </c>
      <c r="G3422">
        <v>-0.58745298515309385</v>
      </c>
      <c r="H3422">
        <v>-0.69911042502507958</v>
      </c>
    </row>
    <row r="3423" spans="2:8">
      <c r="B3423">
        <v>3</v>
      </c>
      <c r="C3423">
        <v>53.712234784567698</v>
      </c>
      <c r="D3423">
        <v>1</v>
      </c>
      <c r="E3423">
        <v>0</v>
      </c>
      <c r="F3423">
        <v>-0.11325135081328484</v>
      </c>
      <c r="G3423">
        <v>-0.44524654575851214</v>
      </c>
      <c r="H3423">
        <v>-0.42931692168476032</v>
      </c>
    </row>
    <row r="3424" spans="2:8">
      <c r="B3424">
        <v>3</v>
      </c>
      <c r="C3424">
        <v>92.23681599999999</v>
      </c>
      <c r="D3424">
        <v>3</v>
      </c>
      <c r="E3424">
        <v>0</v>
      </c>
      <c r="F3424">
        <v>-8.3664021684692821E-2</v>
      </c>
      <c r="G3424">
        <v>-0.14504110428178743</v>
      </c>
      <c r="H3424">
        <v>-9.6409253653884128E-2</v>
      </c>
    </row>
    <row r="3425" spans="2:8">
      <c r="B3425">
        <v>1</v>
      </c>
      <c r="C3425">
        <v>102</v>
      </c>
      <c r="D3425">
        <v>1</v>
      </c>
      <c r="E3425">
        <v>0</v>
      </c>
      <c r="F3425">
        <v>-6.2057856297530099E-2</v>
      </c>
      <c r="G3425">
        <v>-0.27089248608141436</v>
      </c>
      <c r="H3425">
        <v>-0.1944842179146016</v>
      </c>
    </row>
    <row r="3426" spans="2:8">
      <c r="B3426">
        <v>1</v>
      </c>
      <c r="C3426">
        <v>102</v>
      </c>
      <c r="D3426">
        <v>1</v>
      </c>
      <c r="E3426">
        <v>0</v>
      </c>
      <c r="F3426">
        <v>-0.12911910866637039</v>
      </c>
      <c r="G3426">
        <v>-0.23425420096755112</v>
      </c>
      <c r="H3426">
        <v>-0.23388916360075307</v>
      </c>
    </row>
    <row r="3427" spans="2:8">
      <c r="B3427">
        <v>1</v>
      </c>
      <c r="C3427">
        <v>97.960799999999992</v>
      </c>
      <c r="D3427">
        <v>1</v>
      </c>
      <c r="E3427">
        <v>0</v>
      </c>
      <c r="F3427">
        <v>8.0320771005061048E-2</v>
      </c>
    </row>
    <row r="3428" spans="2:8">
      <c r="B3428">
        <v>3</v>
      </c>
      <c r="C3428">
        <v>51.893141534125064</v>
      </c>
      <c r="D3428">
        <v>1</v>
      </c>
      <c r="E3428">
        <v>0</v>
      </c>
      <c r="F3428">
        <v>-0.26765361277760913</v>
      </c>
      <c r="G3428">
        <v>-0.35666115626333417</v>
      </c>
      <c r="H3428">
        <v>-0.44864446856618984</v>
      </c>
    </row>
    <row r="3429" spans="2:8">
      <c r="B3429">
        <v>1</v>
      </c>
      <c r="C3429">
        <v>97.960799999999992</v>
      </c>
      <c r="D3429">
        <v>1</v>
      </c>
      <c r="E3429">
        <v>0</v>
      </c>
      <c r="F3429">
        <v>0.20542617480518108</v>
      </c>
    </row>
    <row r="3430" spans="2:8">
      <c r="B3430">
        <v>1</v>
      </c>
      <c r="C3430">
        <v>97.960799999999992</v>
      </c>
      <c r="D3430">
        <v>1</v>
      </c>
      <c r="E3430">
        <v>0</v>
      </c>
      <c r="F3430">
        <v>5.0580039071348171E-3</v>
      </c>
    </row>
    <row r="3431" spans="2:8">
      <c r="B3431">
        <v>3</v>
      </c>
      <c r="C3431">
        <v>97.771024959999991</v>
      </c>
      <c r="D3431">
        <v>3</v>
      </c>
      <c r="E3431">
        <v>0</v>
      </c>
      <c r="F3431">
        <v>-0.14007217592918292</v>
      </c>
      <c r="G3431">
        <v>0.13715349942216729</v>
      </c>
      <c r="H3431">
        <v>0.12746720820005691</v>
      </c>
    </row>
    <row r="3432" spans="2:8">
      <c r="B3432">
        <v>3</v>
      </c>
      <c r="C3432">
        <v>92.23681599999999</v>
      </c>
      <c r="D3432">
        <v>3</v>
      </c>
      <c r="E3432">
        <v>0</v>
      </c>
      <c r="F3432">
        <v>-0.11964580839820853</v>
      </c>
      <c r="G3432">
        <v>-0.21581853408337548</v>
      </c>
      <c r="H3432">
        <v>-0.206310369295618</v>
      </c>
    </row>
    <row r="3433" spans="2:8">
      <c r="B3433">
        <v>1</v>
      </c>
      <c r="C3433">
        <v>102</v>
      </c>
      <c r="D3433">
        <v>1</v>
      </c>
      <c r="E3433">
        <v>0</v>
      </c>
      <c r="F3433">
        <v>4.6821654137251742E-2</v>
      </c>
    </row>
    <row r="3434" spans="2:8">
      <c r="B3434">
        <v>3</v>
      </c>
      <c r="C3434">
        <v>92.23681599999999</v>
      </c>
      <c r="D3434">
        <v>3</v>
      </c>
      <c r="E3434">
        <v>0</v>
      </c>
      <c r="F3434">
        <v>-0.14508833741885413</v>
      </c>
      <c r="G3434">
        <v>-0.15621406246873668</v>
      </c>
      <c r="H3434">
        <v>-0.17032592028805671</v>
      </c>
    </row>
    <row r="3435" spans="2:8">
      <c r="B3435">
        <v>3</v>
      </c>
      <c r="C3435">
        <v>92.23681599999999</v>
      </c>
      <c r="D3435">
        <v>1</v>
      </c>
      <c r="E3435">
        <v>0</v>
      </c>
      <c r="F3435">
        <v>-0.10585281213527756</v>
      </c>
      <c r="G3435">
        <v>-0.41037276124214711</v>
      </c>
      <c r="H3435">
        <v>-0.38674674625752614</v>
      </c>
    </row>
    <row r="3436" spans="2:8">
      <c r="B3436">
        <v>1</v>
      </c>
      <c r="C3436">
        <v>97.960799999999992</v>
      </c>
      <c r="D3436">
        <v>1</v>
      </c>
      <c r="E3436">
        <v>0</v>
      </c>
      <c r="F3436">
        <v>3.3297774636286059E-3</v>
      </c>
    </row>
    <row r="3437" spans="2:8">
      <c r="B3437">
        <v>1</v>
      </c>
      <c r="C3437">
        <v>97.960799999999992</v>
      </c>
      <c r="D3437">
        <v>1</v>
      </c>
      <c r="E3437">
        <v>0</v>
      </c>
      <c r="F3437">
        <v>0.10367509571441212</v>
      </c>
    </row>
    <row r="3438" spans="2:8">
      <c r="B3438">
        <v>3</v>
      </c>
      <c r="C3438">
        <v>92.23681599999999</v>
      </c>
      <c r="D3438">
        <v>3</v>
      </c>
      <c r="E3438">
        <v>0</v>
      </c>
      <c r="F3438">
        <v>-0.166172014716961</v>
      </c>
      <c r="G3438">
        <v>-0.19480586607832484</v>
      </c>
      <c r="H3438">
        <v>-0.22636263444583463</v>
      </c>
    </row>
    <row r="3439" spans="2:8">
      <c r="B3439">
        <v>1</v>
      </c>
      <c r="C3439">
        <v>102</v>
      </c>
      <c r="D3439">
        <v>1</v>
      </c>
      <c r="E3439">
        <v>0</v>
      </c>
      <c r="F3439">
        <v>-5.3484806597154551E-2</v>
      </c>
      <c r="G3439">
        <v>-0.24906146056211617</v>
      </c>
      <c r="H3439">
        <v>-0.16040656264051964</v>
      </c>
    </row>
    <row r="3440" spans="2:8">
      <c r="B3440">
        <v>1</v>
      </c>
      <c r="C3440">
        <v>102</v>
      </c>
      <c r="D3440">
        <v>1</v>
      </c>
      <c r="E3440">
        <v>0</v>
      </c>
      <c r="F3440">
        <v>-0.15942676517883417</v>
      </c>
      <c r="G3440">
        <v>-0.29261048762547809</v>
      </c>
      <c r="H3440">
        <v>-0.42909565665948551</v>
      </c>
    </row>
    <row r="3441" spans="2:8">
      <c r="B3441">
        <v>1</v>
      </c>
      <c r="C3441">
        <v>97.960799999999992</v>
      </c>
      <c r="D3441">
        <v>1</v>
      </c>
      <c r="E3441">
        <v>0</v>
      </c>
      <c r="F3441">
        <v>0.31591568883789584</v>
      </c>
    </row>
    <row r="3442" spans="2:8">
      <c r="B3442">
        <v>1</v>
      </c>
      <c r="C3442">
        <v>102</v>
      </c>
      <c r="D3442">
        <v>1</v>
      </c>
      <c r="E3442">
        <v>0</v>
      </c>
      <c r="F3442">
        <v>-4.7577726851584769E-2</v>
      </c>
      <c r="G3442">
        <v>5.4584616970691682E-2</v>
      </c>
      <c r="H3442">
        <v>0.15218703603765354</v>
      </c>
    </row>
    <row r="3443" spans="2:8">
      <c r="B3443">
        <v>1</v>
      </c>
      <c r="C3443">
        <v>97.960799999999992</v>
      </c>
      <c r="D3443">
        <v>1</v>
      </c>
      <c r="E3443">
        <v>0</v>
      </c>
      <c r="F3443">
        <v>0.19963630312174377</v>
      </c>
    </row>
    <row r="3444" spans="2:8">
      <c r="B3444">
        <v>1</v>
      </c>
      <c r="C3444">
        <v>102</v>
      </c>
      <c r="D3444">
        <v>1</v>
      </c>
      <c r="E3444">
        <v>0</v>
      </c>
      <c r="F3444">
        <v>0.17067856711121504</v>
      </c>
    </row>
    <row r="3445" spans="2:8">
      <c r="B3445">
        <v>3</v>
      </c>
      <c r="C3445">
        <v>92.23681599999999</v>
      </c>
      <c r="D3445">
        <v>3</v>
      </c>
      <c r="E3445">
        <v>0</v>
      </c>
      <c r="F3445">
        <v>-6.9026189947287625E-2</v>
      </c>
      <c r="G3445">
        <v>-0.28945156002742412</v>
      </c>
      <c r="H3445">
        <v>-0.22244069147138273</v>
      </c>
    </row>
    <row r="3446" spans="2:8">
      <c r="B3446">
        <v>3</v>
      </c>
      <c r="C3446">
        <v>29.515425700897445</v>
      </c>
      <c r="D3446">
        <v>1</v>
      </c>
      <c r="E3446">
        <v>0</v>
      </c>
      <c r="F3446">
        <v>-0.25519085113834827</v>
      </c>
      <c r="G3446">
        <v>-0.46836760752424034</v>
      </c>
      <c r="H3446">
        <v>-0.6864037762656563</v>
      </c>
    </row>
    <row r="3447" spans="2:8">
      <c r="B3447">
        <v>3</v>
      </c>
      <c r="C3447">
        <v>92.23681599999999</v>
      </c>
      <c r="D3447">
        <v>2</v>
      </c>
      <c r="E3447">
        <v>0</v>
      </c>
      <c r="F3447">
        <v>-7.7666572366796513E-2</v>
      </c>
      <c r="G3447">
        <v>-0.31373140466078897</v>
      </c>
      <c r="H3447">
        <v>-0.25777404549028493</v>
      </c>
    </row>
    <row r="3448" spans="2:8">
      <c r="B3448">
        <v>3</v>
      </c>
      <c r="C3448">
        <v>41.265579199978141</v>
      </c>
      <c r="D3448">
        <v>1</v>
      </c>
      <c r="E3448">
        <v>0</v>
      </c>
      <c r="F3448">
        <v>-0.20732407575658493</v>
      </c>
      <c r="G3448">
        <v>-0.38248452158564122</v>
      </c>
      <c r="H3448">
        <v>-0.56156045525272058</v>
      </c>
    </row>
    <row r="3449" spans="2:8">
      <c r="B3449">
        <v>3</v>
      </c>
      <c r="C3449">
        <v>92.23681599999999</v>
      </c>
      <c r="D3449">
        <v>3</v>
      </c>
      <c r="E3449">
        <v>0</v>
      </c>
      <c r="F3449">
        <v>-0.16277493382898212</v>
      </c>
      <c r="G3449">
        <v>2.5063268094243453E-2</v>
      </c>
      <c r="H3449">
        <v>-3.8055338781024612E-3</v>
      </c>
    </row>
    <row r="3450" spans="2:8">
      <c r="B3450">
        <v>1</v>
      </c>
      <c r="C3450">
        <v>97.960799999999992</v>
      </c>
      <c r="D3450">
        <v>1</v>
      </c>
      <c r="E3450">
        <v>0</v>
      </c>
      <c r="F3450">
        <v>5.2073994043318139E-2</v>
      </c>
    </row>
    <row r="3451" spans="2:8">
      <c r="B3451">
        <v>3</v>
      </c>
      <c r="C3451">
        <v>97.771024959999991</v>
      </c>
      <c r="D3451">
        <v>3</v>
      </c>
      <c r="E3451">
        <v>0</v>
      </c>
      <c r="F3451">
        <v>-0.16072840531551638</v>
      </c>
      <c r="G3451">
        <v>3.2255537768410197E-2</v>
      </c>
      <c r="H3451">
        <v>5.0284556077032508E-3</v>
      </c>
    </row>
    <row r="3452" spans="2:8">
      <c r="B3452">
        <v>1</v>
      </c>
      <c r="C3452">
        <v>102</v>
      </c>
      <c r="D3452">
        <v>1</v>
      </c>
      <c r="E3452">
        <v>0</v>
      </c>
      <c r="F3452">
        <v>-6.6352934819965098E-2</v>
      </c>
      <c r="G3452">
        <v>-0.11058637532502277</v>
      </c>
      <c r="H3452">
        <v>-4.0024732837787652E-2</v>
      </c>
    </row>
    <row r="3453" spans="2:8">
      <c r="B3453">
        <v>3</v>
      </c>
      <c r="C3453">
        <v>52.649834110795268</v>
      </c>
      <c r="D3453">
        <v>1</v>
      </c>
      <c r="E3453">
        <v>0</v>
      </c>
      <c r="F3453">
        <v>-0.11499776673831542</v>
      </c>
      <c r="G3453">
        <v>-0.45475989241362569</v>
      </c>
      <c r="H3453">
        <v>-0.44060474259454746</v>
      </c>
    </row>
    <row r="3454" spans="2:8">
      <c r="B3454">
        <v>1</v>
      </c>
      <c r="C3454">
        <v>102</v>
      </c>
      <c r="D3454">
        <v>1</v>
      </c>
      <c r="E3454">
        <v>0</v>
      </c>
      <c r="F3454">
        <v>3.1659293499281808E-2</v>
      </c>
    </row>
    <row r="3455" spans="2:8">
      <c r="B3455">
        <v>1</v>
      </c>
      <c r="C3455">
        <v>102</v>
      </c>
      <c r="D3455">
        <v>1</v>
      </c>
      <c r="E3455">
        <v>0</v>
      </c>
      <c r="F3455">
        <v>6.1685433547930893E-3</v>
      </c>
    </row>
    <row r="3456" spans="2:8">
      <c r="B3456">
        <v>1</v>
      </c>
      <c r="C3456">
        <v>102</v>
      </c>
      <c r="D3456">
        <v>1</v>
      </c>
      <c r="E3456">
        <v>0</v>
      </c>
      <c r="F3456">
        <v>-0.27593890413141031</v>
      </c>
      <c r="G3456">
        <v>-0.50397457702304205</v>
      </c>
      <c r="H3456">
        <v>-0.7373841986076819</v>
      </c>
    </row>
    <row r="3457" spans="2:8">
      <c r="B3457">
        <v>3</v>
      </c>
      <c r="C3457">
        <v>92.23681599999999</v>
      </c>
      <c r="D3457">
        <v>3</v>
      </c>
      <c r="E3457">
        <v>0</v>
      </c>
      <c r="F3457">
        <v>-5.1862458140318042E-2</v>
      </c>
      <c r="G3457">
        <v>-0.24503806197937764</v>
      </c>
      <c r="H3457">
        <v>-0.15397028572028859</v>
      </c>
    </row>
    <row r="3458" spans="2:8">
      <c r="B3458">
        <v>1</v>
      </c>
      <c r="C3458">
        <v>97.960799999999992</v>
      </c>
      <c r="D3458">
        <v>1</v>
      </c>
      <c r="E3458">
        <v>0</v>
      </c>
      <c r="F3458">
        <v>0.25996316906334932</v>
      </c>
    </row>
    <row r="3459" spans="2:8">
      <c r="B3459">
        <v>1</v>
      </c>
      <c r="C3459">
        <v>97.960799999999992</v>
      </c>
      <c r="D3459">
        <v>1</v>
      </c>
      <c r="E3459">
        <v>0</v>
      </c>
      <c r="F3459">
        <v>9.5306888245736729E-2</v>
      </c>
    </row>
    <row r="3460" spans="2:8">
      <c r="B3460">
        <v>1</v>
      </c>
      <c r="C3460">
        <v>102</v>
      </c>
      <c r="D3460">
        <v>1</v>
      </c>
      <c r="E3460">
        <v>0</v>
      </c>
      <c r="F3460">
        <v>5.4092648252245336E-2</v>
      </c>
    </row>
    <row r="3461" spans="2:8">
      <c r="B3461">
        <v>1</v>
      </c>
      <c r="C3461">
        <v>102</v>
      </c>
      <c r="D3461">
        <v>1</v>
      </c>
      <c r="E3461">
        <v>0</v>
      </c>
      <c r="F3461">
        <v>0.25323241604636132</v>
      </c>
    </row>
    <row r="3462" spans="2:8">
      <c r="B3462">
        <v>1</v>
      </c>
      <c r="C3462">
        <v>102</v>
      </c>
      <c r="D3462">
        <v>1</v>
      </c>
      <c r="E3462">
        <v>0</v>
      </c>
      <c r="F3462">
        <v>-0.13699870133181932</v>
      </c>
      <c r="G3462">
        <v>-0.24952052815246936</v>
      </c>
      <c r="H3462">
        <v>-0.25644080936724128</v>
      </c>
    </row>
    <row r="3463" spans="2:8">
      <c r="B3463">
        <v>3</v>
      </c>
      <c r="C3463">
        <v>92.23681599999999</v>
      </c>
      <c r="D3463">
        <v>3</v>
      </c>
      <c r="E3463">
        <v>0</v>
      </c>
      <c r="F3463">
        <v>-1.8965644672302991E-2</v>
      </c>
      <c r="G3463">
        <v>-0.1690464553719615</v>
      </c>
      <c r="H3463">
        <v>-1.9440498642570071E-2</v>
      </c>
    </row>
    <row r="3464" spans="2:8">
      <c r="B3464">
        <v>1</v>
      </c>
      <c r="C3464">
        <v>97.960799999999992</v>
      </c>
      <c r="D3464">
        <v>1</v>
      </c>
      <c r="E3464">
        <v>0</v>
      </c>
      <c r="F3464">
        <v>0.37191023028088194</v>
      </c>
    </row>
    <row r="3465" spans="2:8">
      <c r="B3465">
        <v>1</v>
      </c>
      <c r="C3465">
        <v>102</v>
      </c>
      <c r="D3465">
        <v>1</v>
      </c>
      <c r="E3465">
        <v>0</v>
      </c>
      <c r="F3465">
        <v>5.9507057851274768E-2</v>
      </c>
    </row>
    <row r="3466" spans="2:8">
      <c r="B3466">
        <v>1</v>
      </c>
      <c r="C3466">
        <v>102</v>
      </c>
      <c r="D3466">
        <v>1</v>
      </c>
      <c r="E3466">
        <v>0</v>
      </c>
      <c r="F3466">
        <v>0.1960945187869248</v>
      </c>
    </row>
    <row r="3467" spans="2:8">
      <c r="B3467">
        <v>3</v>
      </c>
      <c r="C3467">
        <v>92.23681599999999</v>
      </c>
      <c r="D3467">
        <v>1</v>
      </c>
      <c r="E3467">
        <v>0</v>
      </c>
      <c r="F3467">
        <v>-9.5195437485632736E-2</v>
      </c>
      <c r="G3467">
        <v>-0.36934925848267119</v>
      </c>
      <c r="H3467">
        <v>-0.33409600199297618</v>
      </c>
    </row>
    <row r="3468" spans="2:8">
      <c r="B3468">
        <v>1</v>
      </c>
      <c r="C3468">
        <v>102</v>
      </c>
      <c r="D3468">
        <v>1</v>
      </c>
      <c r="E3468">
        <v>0</v>
      </c>
      <c r="F3468">
        <v>-0.13886837575261762</v>
      </c>
      <c r="G3468">
        <v>-0.253133576053513</v>
      </c>
      <c r="H3468">
        <v>-0.26174146662739012</v>
      </c>
    </row>
    <row r="3469" spans="2:8">
      <c r="B3469">
        <v>1</v>
      </c>
      <c r="C3469">
        <v>97.960799999999992</v>
      </c>
      <c r="D3469">
        <v>1</v>
      </c>
      <c r="E3469">
        <v>0</v>
      </c>
      <c r="F3469">
        <v>0.1210223467111107</v>
      </c>
    </row>
    <row r="3470" spans="2:8">
      <c r="B3470">
        <v>1</v>
      </c>
      <c r="C3470">
        <v>97.960799999999992</v>
      </c>
      <c r="D3470">
        <v>1</v>
      </c>
      <c r="E3470">
        <v>0</v>
      </c>
      <c r="F3470">
        <v>0.14990836628833193</v>
      </c>
    </row>
    <row r="3471" spans="2:8">
      <c r="B3471">
        <v>3</v>
      </c>
      <c r="C3471">
        <v>92.23681599999999</v>
      </c>
      <c r="D3471">
        <v>3</v>
      </c>
      <c r="E3471">
        <v>0</v>
      </c>
      <c r="F3471">
        <v>-4.32893183356165E-2</v>
      </c>
      <c r="G3471">
        <v>-0.22427308832390982</v>
      </c>
      <c r="H3471">
        <v>-0.11987516285732984</v>
      </c>
    </row>
    <row r="3472" spans="2:8">
      <c r="B3472">
        <v>1</v>
      </c>
      <c r="C3472">
        <v>102</v>
      </c>
      <c r="D3472">
        <v>1</v>
      </c>
      <c r="E3472">
        <v>0</v>
      </c>
      <c r="F3472">
        <v>0.16238370716244729</v>
      </c>
    </row>
    <row r="3473" spans="2:8">
      <c r="B3473">
        <v>3</v>
      </c>
      <c r="C3473">
        <v>47.79249101768162</v>
      </c>
      <c r="D3473">
        <v>0</v>
      </c>
      <c r="E3473">
        <v>0</v>
      </c>
      <c r="F3473">
        <v>-0.40079765805553103</v>
      </c>
      <c r="G3473">
        <v>-0.36835630787459106</v>
      </c>
      <c r="H3473">
        <v>-0.49221316141996929</v>
      </c>
    </row>
    <row r="3474" spans="2:8">
      <c r="B3474">
        <v>3</v>
      </c>
      <c r="C3474">
        <v>53.017485353914545</v>
      </c>
      <c r="D3474">
        <v>1</v>
      </c>
      <c r="E3474">
        <v>0</v>
      </c>
      <c r="F3474">
        <v>-0.20475611212201042</v>
      </c>
      <c r="G3474">
        <v>-0.37775328140550812</v>
      </c>
      <c r="H3474">
        <v>-0.43669851258920023</v>
      </c>
    </row>
    <row r="3475" spans="2:8">
      <c r="B3475">
        <v>1</v>
      </c>
      <c r="C3475">
        <v>97.960799999999992</v>
      </c>
      <c r="D3475">
        <v>1</v>
      </c>
      <c r="E3475">
        <v>0</v>
      </c>
      <c r="F3475">
        <v>0.2436972770907406</v>
      </c>
    </row>
    <row r="3476" spans="2:8">
      <c r="B3476">
        <v>3</v>
      </c>
      <c r="C3476">
        <v>97.771024959999991</v>
      </c>
      <c r="D3476">
        <v>3</v>
      </c>
      <c r="E3476">
        <v>0</v>
      </c>
      <c r="F3476">
        <v>-2.1682245172402567E-2</v>
      </c>
      <c r="G3476">
        <v>0.12844151176683286</v>
      </c>
      <c r="H3476">
        <v>0.27226092509624189</v>
      </c>
    </row>
    <row r="3477" spans="2:8">
      <c r="B3477">
        <v>1</v>
      </c>
      <c r="C3477">
        <v>97.960799999999992</v>
      </c>
      <c r="D3477">
        <v>1</v>
      </c>
      <c r="E3477">
        <v>0</v>
      </c>
      <c r="F3477">
        <v>5.5394649232385171E-2</v>
      </c>
    </row>
    <row r="3478" spans="2:8">
      <c r="B3478">
        <v>1</v>
      </c>
      <c r="C3478">
        <v>97.960799999999992</v>
      </c>
      <c r="D3478">
        <v>1</v>
      </c>
      <c r="E3478">
        <v>0</v>
      </c>
      <c r="F3478">
        <v>6.0839837910115928E-2</v>
      </c>
    </row>
    <row r="3479" spans="2:8">
      <c r="B3479">
        <v>1</v>
      </c>
      <c r="C3479">
        <v>97.960799999999992</v>
      </c>
      <c r="D3479">
        <v>1</v>
      </c>
      <c r="E3479">
        <v>0</v>
      </c>
      <c r="F3479">
        <v>4.4860507110851121E-2</v>
      </c>
    </row>
    <row r="3480" spans="2:8">
      <c r="B3480">
        <v>1</v>
      </c>
      <c r="C3480">
        <v>102</v>
      </c>
      <c r="D3480">
        <v>1</v>
      </c>
      <c r="E3480">
        <v>0</v>
      </c>
      <c r="F3480">
        <v>9.6908361882757491E-2</v>
      </c>
    </row>
    <row r="3481" spans="2:8">
      <c r="B3481">
        <v>3</v>
      </c>
      <c r="C3481">
        <v>97.771024959999991</v>
      </c>
      <c r="D3481">
        <v>3</v>
      </c>
      <c r="E3481">
        <v>0</v>
      </c>
      <c r="F3481">
        <v>-0.15019700647099532</v>
      </c>
      <c r="G3481">
        <v>7.5438625273055185E-2</v>
      </c>
      <c r="H3481">
        <v>5.693053326490579E-2</v>
      </c>
    </row>
    <row r="3482" spans="2:8">
      <c r="B3482">
        <v>3</v>
      </c>
      <c r="C3482">
        <v>92.23681599999999</v>
      </c>
      <c r="D3482">
        <v>3</v>
      </c>
      <c r="E3482">
        <v>0</v>
      </c>
      <c r="F3482">
        <v>-9.2444524353554186E-2</v>
      </c>
      <c r="G3482">
        <v>-0.16241857507361901</v>
      </c>
      <c r="H3482">
        <v>-0.1240529283193261</v>
      </c>
    </row>
    <row r="3483" spans="2:8">
      <c r="B3483">
        <v>3</v>
      </c>
      <c r="C3483">
        <v>92.23681599999999</v>
      </c>
      <c r="D3483">
        <v>3</v>
      </c>
      <c r="E3483">
        <v>0</v>
      </c>
      <c r="F3483">
        <v>-3.6320799321834012E-2</v>
      </c>
      <c r="G3483">
        <v>-0.20794379035109309</v>
      </c>
      <c r="H3483">
        <v>-9.188136912606619E-2</v>
      </c>
    </row>
    <row r="3484" spans="2:8">
      <c r="B3484">
        <v>3</v>
      </c>
      <c r="C3484">
        <v>33.786569646479172</v>
      </c>
      <c r="D3484">
        <v>1</v>
      </c>
      <c r="E3484">
        <v>0</v>
      </c>
      <c r="F3484">
        <v>-0.23738176099037128</v>
      </c>
      <c r="G3484">
        <v>-0.43696875928356854</v>
      </c>
      <c r="H3484">
        <v>-0.6410236206164186</v>
      </c>
    </row>
    <row r="3485" spans="2:8">
      <c r="B3485">
        <v>3</v>
      </c>
      <c r="C3485">
        <v>92.23681599999999</v>
      </c>
      <c r="D3485">
        <v>1</v>
      </c>
      <c r="E3485">
        <v>0</v>
      </c>
      <c r="F3485">
        <v>-0.10414144509277833</v>
      </c>
      <c r="G3485">
        <v>-0.40321103973815398</v>
      </c>
      <c r="H3485">
        <v>-0.37776219401644229</v>
      </c>
    </row>
    <row r="3486" spans="2:8">
      <c r="B3486">
        <v>3</v>
      </c>
      <c r="C3486">
        <v>92.23681599999999</v>
      </c>
      <c r="D3486">
        <v>3</v>
      </c>
      <c r="E3486">
        <v>0</v>
      </c>
      <c r="F3486">
        <v>-0.11040172251206937</v>
      </c>
      <c r="G3486">
        <v>-0.19774654405175274</v>
      </c>
      <c r="H3486">
        <v>-0.17888730875661421</v>
      </c>
    </row>
    <row r="3487" spans="2:8">
      <c r="B3487">
        <v>1</v>
      </c>
      <c r="C3487">
        <v>102</v>
      </c>
      <c r="D3487">
        <v>1</v>
      </c>
      <c r="E3487">
        <v>0</v>
      </c>
      <c r="F3487">
        <v>1.7220067092953782E-2</v>
      </c>
    </row>
    <row r="3488" spans="2:8">
      <c r="B3488">
        <v>1</v>
      </c>
      <c r="C3488">
        <v>97.960799999999992</v>
      </c>
      <c r="D3488">
        <v>1</v>
      </c>
      <c r="E3488">
        <v>0</v>
      </c>
      <c r="F3488">
        <v>5.0071881662689187E-2</v>
      </c>
    </row>
    <row r="3489" spans="2:8">
      <c r="B3489">
        <v>1</v>
      </c>
      <c r="C3489">
        <v>97.960799999999992</v>
      </c>
      <c r="D3489">
        <v>1</v>
      </c>
      <c r="E3489">
        <v>0</v>
      </c>
      <c r="F3489">
        <v>7.804214027361242E-2</v>
      </c>
    </row>
    <row r="3490" spans="2:8">
      <c r="B3490">
        <v>1</v>
      </c>
      <c r="C3490">
        <v>102</v>
      </c>
      <c r="D3490">
        <v>1</v>
      </c>
      <c r="E3490">
        <v>0</v>
      </c>
      <c r="F3490">
        <v>1.6080636093709643E-3</v>
      </c>
    </row>
    <row r="3491" spans="2:8">
      <c r="B3491">
        <v>1</v>
      </c>
      <c r="C3491">
        <v>102</v>
      </c>
      <c r="D3491">
        <v>1</v>
      </c>
      <c r="E3491">
        <v>0</v>
      </c>
      <c r="F3491">
        <v>-0.24598696618679156</v>
      </c>
      <c r="G3491">
        <v>-0.16322217290226468</v>
      </c>
      <c r="H3491">
        <v>-0.37411666983891628</v>
      </c>
    </row>
    <row r="3492" spans="2:8">
      <c r="B3492">
        <v>3</v>
      </c>
      <c r="C3492">
        <v>92.23681599999999</v>
      </c>
      <c r="D3492">
        <v>3</v>
      </c>
      <c r="E3492">
        <v>0</v>
      </c>
      <c r="F3492">
        <v>-9.0773489155798151E-2</v>
      </c>
      <c r="G3492">
        <v>-4.7045775719004819E-2</v>
      </c>
      <c r="H3492">
        <v>-6.7659886374782418E-3</v>
      </c>
    </row>
    <row r="3493" spans="2:8">
      <c r="B3493">
        <v>1</v>
      </c>
      <c r="C3493">
        <v>102</v>
      </c>
      <c r="D3493">
        <v>1</v>
      </c>
      <c r="E3493">
        <v>0</v>
      </c>
      <c r="F3493">
        <v>-0.15413338889641931</v>
      </c>
      <c r="G3493">
        <v>5.7820246079749192E-2</v>
      </c>
      <c r="H3493">
        <v>-7.3789874326418717E-2</v>
      </c>
    </row>
    <row r="3494" spans="2:8">
      <c r="B3494">
        <v>1</v>
      </c>
      <c r="C3494">
        <v>102</v>
      </c>
      <c r="D3494">
        <v>1</v>
      </c>
      <c r="E3494">
        <v>0</v>
      </c>
      <c r="F3494">
        <v>0.22259976428443515</v>
      </c>
    </row>
    <row r="3495" spans="2:8">
      <c r="B3495">
        <v>3</v>
      </c>
      <c r="C3495">
        <v>97.771024959999991</v>
      </c>
      <c r="D3495">
        <v>3</v>
      </c>
      <c r="E3495">
        <v>0</v>
      </c>
      <c r="F3495">
        <v>-8.466812924325438E-3</v>
      </c>
      <c r="G3495">
        <v>-0.14655045580775322</v>
      </c>
      <c r="H3495">
        <v>2.8137195879454738E-2</v>
      </c>
    </row>
    <row r="3496" spans="2:8">
      <c r="B3496">
        <v>1</v>
      </c>
      <c r="C3496">
        <v>102</v>
      </c>
      <c r="D3496">
        <v>1</v>
      </c>
      <c r="E3496">
        <v>0</v>
      </c>
      <c r="F3496">
        <v>1.0777366486394163E-2</v>
      </c>
    </row>
    <row r="3497" spans="2:8">
      <c r="B3497">
        <v>1</v>
      </c>
      <c r="C3497">
        <v>102</v>
      </c>
      <c r="D3497">
        <v>1</v>
      </c>
      <c r="E3497">
        <v>0</v>
      </c>
      <c r="F3497">
        <v>-0.31676917392168424</v>
      </c>
      <c r="G3497">
        <v>-0.26785323482062423</v>
      </c>
      <c r="H3497">
        <v>-0.52807549270717535</v>
      </c>
    </row>
    <row r="3498" spans="2:8">
      <c r="B3498">
        <v>3</v>
      </c>
      <c r="C3498">
        <v>97.771024959999991</v>
      </c>
      <c r="D3498">
        <v>3</v>
      </c>
      <c r="E3498">
        <v>0</v>
      </c>
      <c r="F3498">
        <v>-1.2901086434356999E-2</v>
      </c>
      <c r="G3498">
        <v>0.15803357033244306</v>
      </c>
      <c r="H3498">
        <v>0.32152666395355012</v>
      </c>
    </row>
    <row r="3499" spans="2:8">
      <c r="B3499">
        <v>1</v>
      </c>
      <c r="C3499">
        <v>97.960799999999992</v>
      </c>
      <c r="D3499">
        <v>1</v>
      </c>
      <c r="E3499">
        <v>0</v>
      </c>
      <c r="F3499">
        <v>2.4945197845702281E-2</v>
      </c>
    </row>
    <row r="3500" spans="2:8">
      <c r="B3500">
        <v>1</v>
      </c>
      <c r="C3500">
        <v>97.960799999999992</v>
      </c>
      <c r="D3500">
        <v>1</v>
      </c>
      <c r="E3500">
        <v>0</v>
      </c>
      <c r="F3500">
        <v>0.21572893663764772</v>
      </c>
    </row>
    <row r="3501" spans="2:8">
      <c r="B3501">
        <v>1</v>
      </c>
      <c r="C3501">
        <v>97.960799999999992</v>
      </c>
      <c r="D3501">
        <v>1</v>
      </c>
      <c r="E3501">
        <v>0</v>
      </c>
      <c r="F3501">
        <v>0.14069640540243994</v>
      </c>
    </row>
    <row r="3502" spans="2:8">
      <c r="B3502">
        <v>3</v>
      </c>
      <c r="C3502">
        <v>97.771024959999991</v>
      </c>
      <c r="D3502">
        <v>3</v>
      </c>
      <c r="E3502">
        <v>0</v>
      </c>
      <c r="F3502">
        <v>-3.0370891072521441E-2</v>
      </c>
      <c r="G3502">
        <v>0.10190175271038544</v>
      </c>
      <c r="H3502">
        <v>0.22863996873699483</v>
      </c>
    </row>
    <row r="3503" spans="2:8">
      <c r="B3503">
        <v>1</v>
      </c>
      <c r="C3503">
        <v>97.960799999999992</v>
      </c>
      <c r="D3503">
        <v>1</v>
      </c>
      <c r="E3503">
        <v>0</v>
      </c>
      <c r="F3503">
        <v>9.0399178780870018E-2</v>
      </c>
    </row>
    <row r="3504" spans="2:8">
      <c r="B3504">
        <v>3</v>
      </c>
      <c r="C3504">
        <v>92.23681599999999</v>
      </c>
      <c r="D3504">
        <v>3</v>
      </c>
      <c r="E3504">
        <v>0</v>
      </c>
      <c r="F3504">
        <v>-0.13514046789229953</v>
      </c>
      <c r="G3504">
        <v>-0.1373352646320605</v>
      </c>
      <c r="H3504">
        <v>-0.14256282788501912</v>
      </c>
    </row>
    <row r="3505" spans="2:8">
      <c r="B3505">
        <v>3</v>
      </c>
      <c r="C3505">
        <v>97.771024959999991</v>
      </c>
      <c r="D3505">
        <v>3</v>
      </c>
      <c r="E3505">
        <v>0</v>
      </c>
      <c r="F3505">
        <v>-0.13395602383296626</v>
      </c>
      <c r="G3505">
        <v>0.21225688154653743</v>
      </c>
      <c r="H3505">
        <v>0.20811636113478338</v>
      </c>
    </row>
    <row r="3506" spans="2:8">
      <c r="B3506">
        <v>1</v>
      </c>
      <c r="C3506">
        <v>97.960799999999992</v>
      </c>
      <c r="D3506">
        <v>1</v>
      </c>
      <c r="E3506">
        <v>0</v>
      </c>
      <c r="F3506">
        <v>9.9438967845525278E-2</v>
      </c>
    </row>
    <row r="3507" spans="2:8">
      <c r="B3507">
        <v>1</v>
      </c>
      <c r="C3507">
        <v>97.960799999999992</v>
      </c>
      <c r="D3507">
        <v>1</v>
      </c>
      <c r="E3507">
        <v>0</v>
      </c>
      <c r="F3507">
        <v>0.34408836989993191</v>
      </c>
    </row>
    <row r="3508" spans="2:8">
      <c r="B3508">
        <v>3</v>
      </c>
      <c r="C3508">
        <v>92.23681599999999</v>
      </c>
      <c r="D3508">
        <v>1</v>
      </c>
      <c r="E3508">
        <v>0</v>
      </c>
      <c r="F3508">
        <v>-0.16826799846938834</v>
      </c>
      <c r="G3508">
        <v>-0.30943644700482953</v>
      </c>
      <c r="H3508">
        <v>-0.34262870725524924</v>
      </c>
    </row>
    <row r="3509" spans="2:8">
      <c r="B3509">
        <v>1</v>
      </c>
      <c r="C3509">
        <v>97.960799999999992</v>
      </c>
      <c r="D3509">
        <v>1</v>
      </c>
      <c r="E3509">
        <v>0</v>
      </c>
      <c r="F3509">
        <v>6.8571063312504191E-2</v>
      </c>
    </row>
    <row r="3510" spans="2:8">
      <c r="B3510">
        <v>1</v>
      </c>
      <c r="C3510">
        <v>102</v>
      </c>
      <c r="D3510">
        <v>1</v>
      </c>
      <c r="E3510">
        <v>0</v>
      </c>
      <c r="F3510">
        <v>-0.21604494591184498</v>
      </c>
      <c r="G3510">
        <v>-0.27904723295380801</v>
      </c>
      <c r="H3510">
        <v>-0.34495122979212278</v>
      </c>
    </row>
    <row r="3511" spans="2:8">
      <c r="B3511">
        <v>1</v>
      </c>
      <c r="C3511">
        <v>97.960799999999992</v>
      </c>
      <c r="D3511">
        <v>1</v>
      </c>
      <c r="E3511">
        <v>0</v>
      </c>
      <c r="F3511">
        <v>5.7441758036362131E-2</v>
      </c>
    </row>
    <row r="3512" spans="2:8">
      <c r="B3512">
        <v>3</v>
      </c>
      <c r="C3512">
        <v>92.23681599999999</v>
      </c>
      <c r="D3512">
        <v>3</v>
      </c>
      <c r="E3512">
        <v>0</v>
      </c>
      <c r="F3512">
        <v>-0.17747713611908347</v>
      </c>
      <c r="G3512">
        <v>-0.21474525472140926</v>
      </c>
      <c r="H3512">
        <v>-0.25491833164044819</v>
      </c>
    </row>
    <row r="3513" spans="2:8">
      <c r="B3513">
        <v>3</v>
      </c>
      <c r="C3513">
        <v>92.23681599999999</v>
      </c>
      <c r="D3513">
        <v>3</v>
      </c>
      <c r="E3513">
        <v>0</v>
      </c>
      <c r="F3513">
        <v>-2.7680045721754667E-2</v>
      </c>
      <c r="G3513">
        <v>-0.18828724198183022</v>
      </c>
      <c r="H3513">
        <v>-5.6467103176255813E-2</v>
      </c>
    </row>
    <row r="3514" spans="2:8">
      <c r="B3514">
        <v>1</v>
      </c>
      <c r="C3514">
        <v>102</v>
      </c>
      <c r="D3514">
        <v>1</v>
      </c>
      <c r="E3514">
        <v>0</v>
      </c>
      <c r="F3514">
        <v>-0.30131800956946581</v>
      </c>
      <c r="G3514">
        <v>-0.54590243737130528</v>
      </c>
      <c r="H3514">
        <v>-0.79656471816328089</v>
      </c>
    </row>
    <row r="3515" spans="2:8">
      <c r="B3515">
        <v>1</v>
      </c>
      <c r="C3515">
        <v>102</v>
      </c>
      <c r="D3515">
        <v>1</v>
      </c>
      <c r="E3515">
        <v>0</v>
      </c>
      <c r="F3515">
        <v>-2.6036398532135061E-2</v>
      </c>
      <c r="G3515">
        <v>-0.18461561259361858</v>
      </c>
      <c r="H3515">
        <v>-4.9604235385582361E-2</v>
      </c>
    </row>
    <row r="3516" spans="2:8">
      <c r="B3516">
        <v>1</v>
      </c>
      <c r="C3516">
        <v>97.960799999999992</v>
      </c>
      <c r="D3516">
        <v>1</v>
      </c>
      <c r="E3516">
        <v>0</v>
      </c>
      <c r="F3516">
        <v>7.214862445423717E-2</v>
      </c>
    </row>
    <row r="3517" spans="2:8">
      <c r="B3517">
        <v>1</v>
      </c>
      <c r="C3517">
        <v>97.960799999999992</v>
      </c>
      <c r="D3517">
        <v>1</v>
      </c>
      <c r="E3517">
        <v>0</v>
      </c>
      <c r="F3517">
        <v>1.5439479863785192E-2</v>
      </c>
    </row>
    <row r="3518" spans="2:8">
      <c r="B3518">
        <v>3</v>
      </c>
      <c r="C3518">
        <v>2.7301007492613909</v>
      </c>
      <c r="D3518">
        <v>0</v>
      </c>
      <c r="E3518">
        <v>0</v>
      </c>
      <c r="F3518">
        <v>-0.39047071733762212</v>
      </c>
      <c r="G3518">
        <v>-0.6763759769280685</v>
      </c>
      <c r="H3518">
        <v>-0.97099315815198817</v>
      </c>
    </row>
    <row r="3519" spans="2:8">
      <c r="B3519">
        <v>1</v>
      </c>
      <c r="C3519">
        <v>97.960799999999992</v>
      </c>
      <c r="D3519">
        <v>1</v>
      </c>
      <c r="E3519">
        <v>0</v>
      </c>
      <c r="F3519">
        <v>2.8616022516593197E-2</v>
      </c>
    </row>
    <row r="3520" spans="2:8">
      <c r="B3520">
        <v>3</v>
      </c>
      <c r="C3520">
        <v>92.23681599999999</v>
      </c>
      <c r="D3520">
        <v>1</v>
      </c>
      <c r="E3520">
        <v>0</v>
      </c>
      <c r="F3520">
        <v>-0.23120336012869763</v>
      </c>
      <c r="G3520">
        <v>-0.30281016232850227</v>
      </c>
      <c r="H3520">
        <v>-0.37733439379545719</v>
      </c>
    </row>
    <row r="3521" spans="2:8">
      <c r="B3521">
        <v>1</v>
      </c>
      <c r="C3521">
        <v>97.960799999999992</v>
      </c>
      <c r="D3521">
        <v>1</v>
      </c>
      <c r="E3521">
        <v>0</v>
      </c>
      <c r="F3521">
        <v>9.2835917233642457E-2</v>
      </c>
    </row>
    <row r="3522" spans="2:8">
      <c r="B3522">
        <v>3</v>
      </c>
      <c r="C3522">
        <v>37.630568862616371</v>
      </c>
      <c r="D3522">
        <v>0</v>
      </c>
      <c r="E3522">
        <v>0</v>
      </c>
      <c r="F3522">
        <v>-0.3650080532723663</v>
      </c>
      <c r="G3522">
        <v>-0.48102396736522768</v>
      </c>
      <c r="H3522">
        <v>-0.60018180283495426</v>
      </c>
    </row>
    <row r="3523" spans="2:8">
      <c r="B3523">
        <v>1</v>
      </c>
      <c r="C3523">
        <v>102</v>
      </c>
      <c r="D3523">
        <v>1</v>
      </c>
      <c r="E3523">
        <v>0</v>
      </c>
      <c r="F3523">
        <v>-0.22632729781177899</v>
      </c>
      <c r="G3523">
        <v>-0.12836330634552862</v>
      </c>
      <c r="H3523">
        <v>-0.20020408999667638</v>
      </c>
    </row>
    <row r="3524" spans="2:8">
      <c r="B3524">
        <v>3</v>
      </c>
      <c r="C3524">
        <v>33.892031766926394</v>
      </c>
      <c r="D3524">
        <v>1</v>
      </c>
      <c r="E3524">
        <v>0</v>
      </c>
      <c r="F3524">
        <v>-0.2960296398249449</v>
      </c>
      <c r="G3524">
        <v>-0.53732461406884924</v>
      </c>
      <c r="H3524">
        <v>-0.6399031040751898</v>
      </c>
    </row>
    <row r="3525" spans="2:8">
      <c r="B3525">
        <v>3</v>
      </c>
      <c r="C3525">
        <v>97.771024959999991</v>
      </c>
      <c r="D3525">
        <v>3</v>
      </c>
      <c r="E3525">
        <v>0</v>
      </c>
      <c r="F3525">
        <v>-0.14196149330310062</v>
      </c>
      <c r="G3525">
        <v>0.12272287159972238</v>
      </c>
      <c r="H3525">
        <v>0.11135688291685393</v>
      </c>
    </row>
    <row r="3526" spans="2:8">
      <c r="B3526">
        <v>3</v>
      </c>
      <c r="C3526">
        <v>97.771024959999991</v>
      </c>
      <c r="D3526">
        <v>3</v>
      </c>
      <c r="E3526">
        <v>0</v>
      </c>
      <c r="F3526">
        <v>-5.6948517610637467E-3</v>
      </c>
      <c r="G3526">
        <v>1.2273775379045535E-2</v>
      </c>
      <c r="H3526">
        <v>0.1945186493740324</v>
      </c>
    </row>
    <row r="3527" spans="2:8">
      <c r="B3527">
        <v>1</v>
      </c>
      <c r="C3527">
        <v>97.960799999999992</v>
      </c>
      <c r="D3527">
        <v>1</v>
      </c>
      <c r="E3527">
        <v>0</v>
      </c>
      <c r="F3527">
        <v>0.15224676114186689</v>
      </c>
    </row>
    <row r="3528" spans="2:8">
      <c r="B3528">
        <v>3</v>
      </c>
      <c r="C3528">
        <v>43.512407450865588</v>
      </c>
      <c r="D3528">
        <v>0</v>
      </c>
      <c r="E3528">
        <v>0</v>
      </c>
      <c r="F3528">
        <v>-0.32091376199285182</v>
      </c>
      <c r="G3528">
        <v>-0.42776373807494178</v>
      </c>
      <c r="H3528">
        <v>-0.53768829897761994</v>
      </c>
    </row>
    <row r="3529" spans="2:8">
      <c r="B3529">
        <v>1</v>
      </c>
      <c r="C3529">
        <v>102</v>
      </c>
      <c r="D3529">
        <v>1</v>
      </c>
      <c r="E3529">
        <v>0</v>
      </c>
      <c r="F3529">
        <v>-0.2832116211995751</v>
      </c>
      <c r="G3529">
        <v>-0.22149577891521605</v>
      </c>
      <c r="H3529">
        <v>-0.31959611575907476</v>
      </c>
    </row>
    <row r="3530" spans="2:8">
      <c r="B3530">
        <v>3</v>
      </c>
      <c r="C3530">
        <v>92.23681599999999</v>
      </c>
      <c r="D3530">
        <v>2</v>
      </c>
      <c r="E3530">
        <v>0</v>
      </c>
      <c r="F3530">
        <v>-0.1574086579987363</v>
      </c>
      <c r="G3530">
        <v>-0.28875650517216261</v>
      </c>
      <c r="H3530">
        <v>-0.31328437454121649</v>
      </c>
    </row>
    <row r="3531" spans="2:8">
      <c r="B3531">
        <v>1</v>
      </c>
      <c r="C3531">
        <v>102</v>
      </c>
      <c r="D3531">
        <v>1</v>
      </c>
      <c r="E3531">
        <v>0</v>
      </c>
      <c r="F3531">
        <v>3.6623113914169093E-2</v>
      </c>
    </row>
    <row r="3532" spans="2:8">
      <c r="B3532">
        <v>3</v>
      </c>
      <c r="C3532">
        <v>97.771024959999991</v>
      </c>
      <c r="D3532">
        <v>3</v>
      </c>
      <c r="E3532">
        <v>0</v>
      </c>
      <c r="F3532">
        <v>-7.3861390808314872E-3</v>
      </c>
      <c r="G3532">
        <v>8.7982923863418674E-3</v>
      </c>
      <c r="H3532">
        <v>2.1821136616347846E-2</v>
      </c>
    </row>
    <row r="3533" spans="2:8">
      <c r="B3533">
        <v>3</v>
      </c>
      <c r="C3533">
        <v>92.23681599999999</v>
      </c>
      <c r="D3533">
        <v>3</v>
      </c>
      <c r="E3533">
        <v>0</v>
      </c>
      <c r="F3533">
        <v>-0.20062601443367617</v>
      </c>
      <c r="G3533">
        <v>-7.6471321064654874E-2</v>
      </c>
      <c r="H3533">
        <v>-0.24977693525731093</v>
      </c>
    </row>
    <row r="3534" spans="2:8">
      <c r="B3534">
        <v>3</v>
      </c>
      <c r="C3534">
        <v>92.23681599999999</v>
      </c>
      <c r="D3534">
        <v>1</v>
      </c>
      <c r="E3534">
        <v>0</v>
      </c>
      <c r="F3534">
        <v>-0.17968797904061218</v>
      </c>
      <c r="G3534">
        <v>-0.3310224133523062</v>
      </c>
      <c r="H3534">
        <v>-0.37282219216982898</v>
      </c>
    </row>
    <row r="3535" spans="2:8">
      <c r="B3535">
        <v>1</v>
      </c>
      <c r="C3535">
        <v>97.960799999999992</v>
      </c>
      <c r="D3535">
        <v>1</v>
      </c>
      <c r="E3535">
        <v>0</v>
      </c>
      <c r="F3535">
        <v>0.10631187706250048</v>
      </c>
    </row>
    <row r="3536" spans="2:8">
      <c r="B3536">
        <v>1</v>
      </c>
      <c r="C3536">
        <v>102</v>
      </c>
      <c r="D3536">
        <v>1</v>
      </c>
      <c r="E3536">
        <v>0</v>
      </c>
      <c r="F3536">
        <v>0.23001935467251722</v>
      </c>
    </row>
    <row r="3537" spans="2:8">
      <c r="B3537">
        <v>1</v>
      </c>
      <c r="C3537">
        <v>102</v>
      </c>
      <c r="D3537">
        <v>1</v>
      </c>
      <c r="E3537">
        <v>0</v>
      </c>
      <c r="F3537">
        <v>-0.12256205352154111</v>
      </c>
      <c r="G3537">
        <v>-0.50696999085341587</v>
      </c>
      <c r="H3537">
        <v>-0.50032249555679664</v>
      </c>
    </row>
    <row r="3538" spans="2:8">
      <c r="B3538">
        <v>1</v>
      </c>
      <c r="C3538">
        <v>102</v>
      </c>
      <c r="D3538">
        <v>1</v>
      </c>
      <c r="E3538">
        <v>0</v>
      </c>
      <c r="F3538">
        <v>-5.7769511810387822E-2</v>
      </c>
      <c r="G3538">
        <v>-9.3406895997608777E-2</v>
      </c>
      <c r="H3538">
        <v>-1.0974292780410448E-2</v>
      </c>
    </row>
    <row r="3539" spans="2:8">
      <c r="B3539">
        <v>1</v>
      </c>
      <c r="C3539">
        <v>102</v>
      </c>
      <c r="D3539">
        <v>1</v>
      </c>
      <c r="E3539">
        <v>0</v>
      </c>
      <c r="F3539">
        <v>-0.14386333982062974</v>
      </c>
      <c r="G3539">
        <v>0.109971801863987</v>
      </c>
      <c r="H3539">
        <v>9.6930658960048877E-2</v>
      </c>
    </row>
    <row r="3540" spans="2:8">
      <c r="B3540">
        <v>1</v>
      </c>
      <c r="C3540">
        <v>102</v>
      </c>
      <c r="D3540">
        <v>1</v>
      </c>
      <c r="E3540">
        <v>0</v>
      </c>
      <c r="F3540">
        <v>0.14634192484980285</v>
      </c>
    </row>
    <row r="3541" spans="2:8">
      <c r="B3541">
        <v>1</v>
      </c>
      <c r="C3541">
        <v>102</v>
      </c>
      <c r="D3541">
        <v>1</v>
      </c>
      <c r="E3541">
        <v>0</v>
      </c>
      <c r="F3541">
        <v>8.2626705838348635E-2</v>
      </c>
    </row>
    <row r="3542" spans="2:8">
      <c r="B3542">
        <v>1</v>
      </c>
      <c r="C3542">
        <v>97.960799999999992</v>
      </c>
      <c r="D3542">
        <v>1</v>
      </c>
      <c r="E3542">
        <v>0</v>
      </c>
      <c r="F3542">
        <v>8.885564187485169E-2</v>
      </c>
    </row>
    <row r="3543" spans="2:8">
      <c r="B3543">
        <v>1</v>
      </c>
      <c r="C3543">
        <v>102</v>
      </c>
      <c r="D3543">
        <v>1</v>
      </c>
      <c r="E3543">
        <v>0</v>
      </c>
      <c r="F3543">
        <v>7.0744444715467369E-2</v>
      </c>
    </row>
    <row r="3544" spans="2:8">
      <c r="B3544">
        <v>1</v>
      </c>
      <c r="C3544">
        <v>97.960799999999992</v>
      </c>
      <c r="D3544">
        <v>1</v>
      </c>
      <c r="E3544">
        <v>0</v>
      </c>
      <c r="F3544">
        <v>0.13208445987089124</v>
      </c>
    </row>
    <row r="3545" spans="2:8">
      <c r="B3545">
        <v>3</v>
      </c>
      <c r="C3545">
        <v>92.23681599999999</v>
      </c>
      <c r="D3545">
        <v>3</v>
      </c>
      <c r="E3545">
        <v>0</v>
      </c>
      <c r="F3545">
        <v>-1.7304994717696934E-2</v>
      </c>
      <c r="G3545">
        <v>-0.165440520846767</v>
      </c>
      <c r="H3545">
        <v>-1.2173487245824101E-2</v>
      </c>
    </row>
    <row r="3546" spans="2:8">
      <c r="B3546">
        <v>1</v>
      </c>
      <c r="C3546">
        <v>97.960799999999992</v>
      </c>
      <c r="D3546">
        <v>1</v>
      </c>
      <c r="E3546">
        <v>0</v>
      </c>
      <c r="F3546">
        <v>3.9750645740014266E-2</v>
      </c>
    </row>
    <row r="3547" spans="2:8">
      <c r="B3547">
        <v>1</v>
      </c>
      <c r="C3547">
        <v>102</v>
      </c>
      <c r="D3547">
        <v>1</v>
      </c>
      <c r="E3547">
        <v>0</v>
      </c>
      <c r="F3547">
        <v>0.1181257872327036</v>
      </c>
    </row>
    <row r="3548" spans="2:8">
      <c r="B3548">
        <v>1</v>
      </c>
      <c r="C3548">
        <v>102</v>
      </c>
      <c r="D3548">
        <v>1</v>
      </c>
      <c r="E3548">
        <v>0</v>
      </c>
      <c r="F3548">
        <v>-0.20222673208463188</v>
      </c>
      <c r="G3548">
        <v>-0.25665421772433411</v>
      </c>
      <c r="H3548">
        <v>-0.31397616469490924</v>
      </c>
    </row>
    <row r="3549" spans="2:8">
      <c r="B3549">
        <v>1</v>
      </c>
      <c r="C3549">
        <v>102</v>
      </c>
      <c r="D3549">
        <v>1</v>
      </c>
      <c r="E3549">
        <v>0</v>
      </c>
      <c r="F3549">
        <v>2.6775380901269553E-2</v>
      </c>
    </row>
    <row r="3550" spans="2:8">
      <c r="B3550">
        <v>1</v>
      </c>
      <c r="C3550">
        <v>102</v>
      </c>
      <c r="D3550">
        <v>1</v>
      </c>
      <c r="E3550">
        <v>0</v>
      </c>
      <c r="F3550">
        <v>2.0160186503921162E-2</v>
      </c>
    </row>
    <row r="3551" spans="2:8">
      <c r="B3551">
        <v>1</v>
      </c>
      <c r="C3551">
        <v>97.960799999999992</v>
      </c>
      <c r="D3551">
        <v>1</v>
      </c>
      <c r="E3551">
        <v>0</v>
      </c>
      <c r="F3551">
        <v>0.29596204975409662</v>
      </c>
    </row>
    <row r="3552" spans="2:8">
      <c r="B3552">
        <v>1</v>
      </c>
      <c r="C3552">
        <v>97.960799999999992</v>
      </c>
      <c r="D3552">
        <v>1</v>
      </c>
      <c r="E3552">
        <v>0</v>
      </c>
      <c r="F3552">
        <v>7.6596421611685839E-2</v>
      </c>
    </row>
    <row r="3553" spans="2:8">
      <c r="B3553">
        <v>1</v>
      </c>
      <c r="C3553">
        <v>97.960799999999992</v>
      </c>
      <c r="D3553">
        <v>1</v>
      </c>
      <c r="E3553">
        <v>0</v>
      </c>
      <c r="F3553">
        <v>0.10899256706834888</v>
      </c>
    </row>
    <row r="3554" spans="2:8">
      <c r="B3554">
        <v>1</v>
      </c>
      <c r="C3554">
        <v>97.960799999999992</v>
      </c>
      <c r="D3554">
        <v>1</v>
      </c>
      <c r="E3554">
        <v>0</v>
      </c>
      <c r="F3554">
        <v>2.3778219835990197E-2</v>
      </c>
    </row>
    <row r="3555" spans="2:8">
      <c r="B3555">
        <v>1</v>
      </c>
      <c r="C3555">
        <v>102</v>
      </c>
      <c r="D3555">
        <v>1</v>
      </c>
      <c r="E3555">
        <v>0</v>
      </c>
      <c r="F3555">
        <v>-0.20899009897295465</v>
      </c>
      <c r="G3555">
        <v>-9.4328461330895827E-2</v>
      </c>
      <c r="H3555">
        <v>-0.15593822846877131</v>
      </c>
    </row>
    <row r="3556" spans="2:8">
      <c r="B3556">
        <v>1</v>
      </c>
      <c r="C3556">
        <v>102</v>
      </c>
      <c r="D3556">
        <v>1</v>
      </c>
      <c r="E3556">
        <v>0</v>
      </c>
      <c r="F3556">
        <v>4.1674445445074024E-2</v>
      </c>
    </row>
    <row r="3557" spans="2:8">
      <c r="B3557">
        <v>3</v>
      </c>
      <c r="C3557">
        <v>32.882976894316627</v>
      </c>
      <c r="D3557">
        <v>1</v>
      </c>
      <c r="E3557">
        <v>0</v>
      </c>
      <c r="F3557">
        <v>-0.1302858787600478</v>
      </c>
      <c r="G3557">
        <v>-0.64989248061332461</v>
      </c>
      <c r="H3557">
        <v>-0.65062413519965501</v>
      </c>
    </row>
    <row r="3558" spans="2:8">
      <c r="B3558">
        <v>1</v>
      </c>
      <c r="C3558">
        <v>102</v>
      </c>
      <c r="D3558">
        <v>1</v>
      </c>
      <c r="E3558">
        <v>0</v>
      </c>
      <c r="F3558">
        <v>-0.14894878565348127</v>
      </c>
      <c r="G3558">
        <v>-0.27254924658494567</v>
      </c>
      <c r="H3558">
        <v>-0.39935650866061756</v>
      </c>
    </row>
    <row r="3559" spans="2:8">
      <c r="B3559">
        <v>1</v>
      </c>
      <c r="C3559">
        <v>102</v>
      </c>
      <c r="D3559">
        <v>1</v>
      </c>
      <c r="E3559">
        <v>0</v>
      </c>
      <c r="F3559">
        <v>0.17796059151914795</v>
      </c>
    </row>
    <row r="3560" spans="2:8">
      <c r="B3560">
        <v>1</v>
      </c>
      <c r="C3560">
        <v>97.960799999999992</v>
      </c>
      <c r="D3560">
        <v>1</v>
      </c>
      <c r="E3560">
        <v>0</v>
      </c>
      <c r="F3560">
        <v>3.3529346454055114E-2</v>
      </c>
    </row>
    <row r="3561" spans="2:8">
      <c r="B3561">
        <v>3</v>
      </c>
      <c r="C3561">
        <v>92.23681599999999</v>
      </c>
      <c r="D3561">
        <v>3</v>
      </c>
      <c r="E3561">
        <v>0</v>
      </c>
      <c r="F3561">
        <v>-0.2575270398073195</v>
      </c>
      <c r="G3561">
        <v>-0.18223297253005702</v>
      </c>
      <c r="H3561">
        <v>-0.26981567667196232</v>
      </c>
    </row>
    <row r="3562" spans="2:8">
      <c r="B3562">
        <v>1</v>
      </c>
      <c r="C3562">
        <v>102</v>
      </c>
      <c r="D3562">
        <v>1</v>
      </c>
      <c r="E3562">
        <v>0</v>
      </c>
      <c r="F3562">
        <v>0.1664575119862047</v>
      </c>
    </row>
    <row r="3563" spans="2:8">
      <c r="B3563">
        <v>1</v>
      </c>
      <c r="C3563">
        <v>102</v>
      </c>
      <c r="D3563">
        <v>1</v>
      </c>
      <c r="E3563">
        <v>0</v>
      </c>
      <c r="F3563">
        <v>4.8797868636337192E-2</v>
      </c>
    </row>
    <row r="3564" spans="2:8">
      <c r="B3564">
        <v>1</v>
      </c>
      <c r="C3564">
        <v>102</v>
      </c>
      <c r="D3564">
        <v>1</v>
      </c>
      <c r="E3564">
        <v>0</v>
      </c>
      <c r="F3564">
        <v>-0.47555204127181083</v>
      </c>
      <c r="G3564">
        <v>-0.60094669654015886</v>
      </c>
      <c r="H3564">
        <v>-0.72956477000774356</v>
      </c>
    </row>
    <row r="3565" spans="2:8">
      <c r="B3565">
        <v>3</v>
      </c>
      <c r="C3565">
        <v>92.23681599999999</v>
      </c>
      <c r="D3565">
        <v>3</v>
      </c>
      <c r="E3565">
        <v>0</v>
      </c>
      <c r="F3565">
        <v>-0.18564628031188402</v>
      </c>
      <c r="G3565">
        <v>-4.1331960703795863E-2</v>
      </c>
      <c r="H3565">
        <v>-8.7422146016586183E-2</v>
      </c>
    </row>
    <row r="3566" spans="2:8">
      <c r="B3566">
        <v>1</v>
      </c>
      <c r="C3566">
        <v>102</v>
      </c>
      <c r="D3566">
        <v>1</v>
      </c>
      <c r="E3566">
        <v>0</v>
      </c>
      <c r="F3566">
        <v>0.12895914804865674</v>
      </c>
    </row>
    <row r="3567" spans="2:8">
      <c r="B3567">
        <v>1</v>
      </c>
      <c r="C3567">
        <v>97.960799999999992</v>
      </c>
      <c r="D3567">
        <v>1</v>
      </c>
      <c r="E3567">
        <v>0</v>
      </c>
      <c r="F3567">
        <v>0.12397698982162034</v>
      </c>
    </row>
    <row r="3568" spans="2:8">
      <c r="B3568">
        <v>3</v>
      </c>
      <c r="C3568">
        <v>97.771024959999991</v>
      </c>
      <c r="D3568">
        <v>3</v>
      </c>
      <c r="E3568">
        <v>0</v>
      </c>
      <c r="F3568">
        <v>-3.99829573998506E-3</v>
      </c>
      <c r="G3568">
        <v>0.1924201031557278</v>
      </c>
      <c r="H3568">
        <v>0.37954146102069375</v>
      </c>
    </row>
    <row r="3569" spans="2:8">
      <c r="B3569">
        <v>1</v>
      </c>
      <c r="C3569">
        <v>102</v>
      </c>
      <c r="D3569">
        <v>1</v>
      </c>
      <c r="E3569">
        <v>0</v>
      </c>
      <c r="F3569">
        <v>-2.9087088522486799E-3</v>
      </c>
      <c r="G3569">
        <v>-0.32774431932526815</v>
      </c>
      <c r="H3569">
        <v>-0.31003173903573206</v>
      </c>
    </row>
    <row r="3570" spans="2:8">
      <c r="B3570">
        <v>3</v>
      </c>
      <c r="C3570">
        <v>37.672821267288192</v>
      </c>
      <c r="D3570">
        <v>1</v>
      </c>
      <c r="E3570">
        <v>0</v>
      </c>
      <c r="F3570">
        <v>-0.22160737685384335</v>
      </c>
      <c r="G3570">
        <v>-0.40858958498107839</v>
      </c>
      <c r="H3570">
        <v>-0.59973287844256862</v>
      </c>
    </row>
    <row r="3571" spans="2:8">
      <c r="B3571">
        <v>1</v>
      </c>
      <c r="C3571">
        <v>102</v>
      </c>
      <c r="D3571">
        <v>1</v>
      </c>
      <c r="E3571">
        <v>0</v>
      </c>
      <c r="F3571">
        <v>-0.13211572787627082</v>
      </c>
      <c r="G3571">
        <v>0.26893255643106773</v>
      </c>
      <c r="H3571">
        <v>0.26649361704037317</v>
      </c>
    </row>
    <row r="3572" spans="2:8">
      <c r="B3572">
        <v>3</v>
      </c>
      <c r="C3572">
        <v>97.771024959999991</v>
      </c>
      <c r="D3572">
        <v>3</v>
      </c>
      <c r="E3572">
        <v>0</v>
      </c>
      <c r="F3572">
        <v>-3.20079674432978E-2</v>
      </c>
      <c r="G3572">
        <v>-4.1453327228901993E-2</v>
      </c>
      <c r="H3572">
        <v>8.2274022576047462E-2</v>
      </c>
    </row>
    <row r="3573" spans="2:8">
      <c r="B3573">
        <v>1</v>
      </c>
      <c r="C3573">
        <v>102</v>
      </c>
      <c r="D3573">
        <v>1</v>
      </c>
      <c r="E3573">
        <v>0</v>
      </c>
      <c r="F3573">
        <v>-0.26511846563458474</v>
      </c>
      <c r="G3573">
        <v>-0.19424398883065672</v>
      </c>
      <c r="H3573">
        <v>-0.41976741706971094</v>
      </c>
    </row>
    <row r="3574" spans="2:8">
      <c r="B3574">
        <v>3</v>
      </c>
      <c r="C3574">
        <v>97.771024959999991</v>
      </c>
      <c r="D3574">
        <v>3</v>
      </c>
      <c r="E3574">
        <v>0</v>
      </c>
      <c r="F3574">
        <v>-6.4725354651026135E-2</v>
      </c>
      <c r="G3574">
        <v>1.2004913394948866E-2</v>
      </c>
      <c r="H3574">
        <v>8.4760995742037784E-2</v>
      </c>
    </row>
    <row r="3575" spans="2:8">
      <c r="B3575">
        <v>1</v>
      </c>
      <c r="C3575">
        <v>102</v>
      </c>
      <c r="D3575">
        <v>1</v>
      </c>
      <c r="E3575">
        <v>0</v>
      </c>
      <c r="F3575">
        <v>-0.28788930037219734</v>
      </c>
      <c r="G3575">
        <v>-0.22825877014052887</v>
      </c>
      <c r="H3575">
        <v>-0.4700199282744551</v>
      </c>
    </row>
    <row r="3576" spans="2:8">
      <c r="B3576">
        <v>1</v>
      </c>
      <c r="C3576">
        <v>102</v>
      </c>
      <c r="D3576">
        <v>1</v>
      </c>
      <c r="E3576">
        <v>0</v>
      </c>
      <c r="F3576">
        <v>-3.8994137508050745E-2</v>
      </c>
      <c r="G3576">
        <v>7.7474049572444095E-2</v>
      </c>
      <c r="H3576">
        <v>0.18896338843853003</v>
      </c>
    </row>
    <row r="3577" spans="2:8">
      <c r="B3577">
        <v>1</v>
      </c>
      <c r="C3577">
        <v>102</v>
      </c>
      <c r="D3577">
        <v>1</v>
      </c>
      <c r="E3577">
        <v>0</v>
      </c>
      <c r="F3577">
        <v>0.13412396734918372</v>
      </c>
    </row>
    <row r="3578" spans="2:8">
      <c r="B3578">
        <v>3</v>
      </c>
      <c r="C3578">
        <v>55.376425722897224</v>
      </c>
      <c r="D3578">
        <v>1</v>
      </c>
      <c r="E3578">
        <v>0</v>
      </c>
      <c r="F3578">
        <v>-0.24816046582275159</v>
      </c>
      <c r="G3578">
        <v>-0.32842685369806085</v>
      </c>
      <c r="H3578">
        <v>-0.41163518471366922</v>
      </c>
    </row>
    <row r="3579" spans="2:8">
      <c r="B3579">
        <v>1</v>
      </c>
      <c r="C3579">
        <v>97.960799999999992</v>
      </c>
      <c r="D3579">
        <v>1</v>
      </c>
      <c r="E3579">
        <v>0</v>
      </c>
      <c r="F3579">
        <v>0.13737009605374281</v>
      </c>
    </row>
    <row r="3580" spans="2:8">
      <c r="B3580">
        <v>1</v>
      </c>
      <c r="C3580">
        <v>97.960799999999992</v>
      </c>
      <c r="D3580">
        <v>1</v>
      </c>
      <c r="E3580">
        <v>0</v>
      </c>
      <c r="F3580">
        <v>0.10200821647124035</v>
      </c>
    </row>
    <row r="3581" spans="2:8">
      <c r="B3581">
        <v>1</v>
      </c>
      <c r="C3581">
        <v>102</v>
      </c>
      <c r="D3581">
        <v>1</v>
      </c>
      <c r="E3581">
        <v>0</v>
      </c>
      <c r="F3581">
        <v>3.8525374985332955E-2</v>
      </c>
    </row>
    <row r="3582" spans="2:8">
      <c r="B3582">
        <v>3</v>
      </c>
      <c r="C3582">
        <v>48.026095520070953</v>
      </c>
      <c r="D3582">
        <v>1</v>
      </c>
      <c r="E3582">
        <v>0</v>
      </c>
      <c r="F3582">
        <v>-0.29099448524271099</v>
      </c>
      <c r="G3582">
        <v>-0.38885299646985616</v>
      </c>
      <c r="H3582">
        <v>-0.48973115453519622</v>
      </c>
    </row>
    <row r="3583" spans="2:8">
      <c r="B3583">
        <v>3</v>
      </c>
      <c r="C3583">
        <v>45.587128575278001</v>
      </c>
      <c r="D3583">
        <v>0</v>
      </c>
      <c r="E3583">
        <v>0</v>
      </c>
      <c r="F3583">
        <v>-0.42057040690809111</v>
      </c>
      <c r="G3583">
        <v>-0.38999240666190671</v>
      </c>
      <c r="H3583">
        <v>-0.51564475074928384</v>
      </c>
    </row>
    <row r="3584" spans="2:8">
      <c r="B3584">
        <v>3</v>
      </c>
      <c r="C3584">
        <v>97.771024959999991</v>
      </c>
      <c r="D3584">
        <v>3</v>
      </c>
      <c r="E3584">
        <v>0</v>
      </c>
      <c r="F3584">
        <v>-7.3338856271742678E-2</v>
      </c>
      <c r="G3584">
        <v>-8.1591361288112611E-3</v>
      </c>
      <c r="H3584">
        <v>5.3256884711814778E-2</v>
      </c>
    </row>
    <row r="3585" spans="2:8">
      <c r="B3585">
        <v>3</v>
      </c>
      <c r="C3585">
        <v>92.23681599999999</v>
      </c>
      <c r="D3585">
        <v>2</v>
      </c>
      <c r="E3585">
        <v>0</v>
      </c>
      <c r="F3585">
        <v>-0.22928000057527848</v>
      </c>
      <c r="G3585">
        <v>-0.1338249778139681</v>
      </c>
      <c r="H3585">
        <v>-0.33130618057767292</v>
      </c>
    </row>
    <row r="3586" spans="2:8">
      <c r="B3586">
        <v>1</v>
      </c>
      <c r="C3586">
        <v>102</v>
      </c>
      <c r="D3586">
        <v>1</v>
      </c>
      <c r="E3586">
        <v>0</v>
      </c>
      <c r="F3586">
        <v>-0.1178791075028648</v>
      </c>
      <c r="G3586">
        <v>-0.10347034659344491</v>
      </c>
      <c r="H3586">
        <v>-9.2208700178756223E-2</v>
      </c>
    </row>
    <row r="3587" spans="2:8">
      <c r="B3587">
        <v>3</v>
      </c>
      <c r="C3587">
        <v>92.23681599999999</v>
      </c>
      <c r="D3587">
        <v>3</v>
      </c>
      <c r="E3587">
        <v>0</v>
      </c>
      <c r="F3587">
        <v>-7.0657876205709486E-2</v>
      </c>
      <c r="G3587">
        <v>-0.29391997129655362</v>
      </c>
      <c r="H3587">
        <v>-0.2290448122212761</v>
      </c>
    </row>
    <row r="3588" spans="2:8">
      <c r="B3588">
        <v>3</v>
      </c>
      <c r="C3588">
        <v>92.23681599999999</v>
      </c>
      <c r="D3588">
        <v>3</v>
      </c>
      <c r="E3588">
        <v>0</v>
      </c>
      <c r="F3588">
        <v>-0.10134647216097635</v>
      </c>
      <c r="G3588">
        <v>-0.17996768940853397</v>
      </c>
      <c r="H3588">
        <v>-0.151506155294582</v>
      </c>
    </row>
    <row r="3589" spans="2:8">
      <c r="B3589">
        <v>3</v>
      </c>
      <c r="C3589">
        <v>97.771024959999991</v>
      </c>
      <c r="D3589">
        <v>3</v>
      </c>
      <c r="E3589">
        <v>0</v>
      </c>
      <c r="F3589">
        <v>-1.0149932272945384E-2</v>
      </c>
      <c r="G3589">
        <v>-0.15011008023491637</v>
      </c>
      <c r="H3589">
        <v>2.02091642707087E-2</v>
      </c>
    </row>
    <row r="3590" spans="2:8">
      <c r="B3590">
        <v>1</v>
      </c>
      <c r="C3590">
        <v>97.960799999999992</v>
      </c>
      <c r="D3590">
        <v>1</v>
      </c>
      <c r="E3590">
        <v>0</v>
      </c>
      <c r="F3590">
        <v>0.18575447083811589</v>
      </c>
    </row>
    <row r="3591" spans="2:8">
      <c r="B3591">
        <v>1</v>
      </c>
      <c r="C3591">
        <v>102</v>
      </c>
      <c r="D3591">
        <v>1</v>
      </c>
      <c r="E3591">
        <v>0</v>
      </c>
      <c r="F3591">
        <v>0.21157526082599606</v>
      </c>
    </row>
    <row r="3592" spans="2:8">
      <c r="B3592">
        <v>1</v>
      </c>
      <c r="C3592">
        <v>102</v>
      </c>
      <c r="D3592">
        <v>1</v>
      </c>
      <c r="E3592">
        <v>0</v>
      </c>
      <c r="F3592">
        <v>-0.1086737117021091</v>
      </c>
      <c r="G3592">
        <v>-8.4787264039808075E-2</v>
      </c>
      <c r="H3592">
        <v>-6.413049267209342E-2</v>
      </c>
    </row>
    <row r="3593" spans="2:8">
      <c r="B3593">
        <v>3</v>
      </c>
      <c r="C3593">
        <v>92.23681599999999</v>
      </c>
      <c r="D3593">
        <v>1</v>
      </c>
      <c r="E3593">
        <v>0</v>
      </c>
      <c r="F3593">
        <v>-9.6878400864912284E-2</v>
      </c>
      <c r="G3593">
        <v>-0.37533995562159905</v>
      </c>
      <c r="H3593">
        <v>-0.34196759855576442</v>
      </c>
    </row>
    <row r="3594" spans="2:8">
      <c r="B3594">
        <v>3</v>
      </c>
      <c r="C3594">
        <v>97.771024959999991</v>
      </c>
      <c r="D3594">
        <v>3</v>
      </c>
      <c r="E3594">
        <v>0</v>
      </c>
      <c r="F3594">
        <v>-2.3333736316943299E-2</v>
      </c>
      <c r="G3594">
        <v>-2.3820412376250353E-2</v>
      </c>
      <c r="H3594">
        <v>0.11659434295145309</v>
      </c>
    </row>
    <row r="3595" spans="2:8">
      <c r="B3595">
        <v>1</v>
      </c>
      <c r="C3595">
        <v>102</v>
      </c>
      <c r="D3595">
        <v>1</v>
      </c>
      <c r="E3595">
        <v>0</v>
      </c>
      <c r="F3595">
        <v>-0.35830496605797985</v>
      </c>
      <c r="G3595">
        <v>-0.31966600249334359</v>
      </c>
      <c r="H3595">
        <v>-0.60162183574830763</v>
      </c>
    </row>
    <row r="3596" spans="2:8">
      <c r="B3596">
        <v>1</v>
      </c>
      <c r="C3596">
        <v>97.960799999999992</v>
      </c>
      <c r="D3596">
        <v>1</v>
      </c>
      <c r="E3596">
        <v>0</v>
      </c>
      <c r="F3596">
        <v>1.430337144362435E-2</v>
      </c>
    </row>
    <row r="3597" spans="2:8">
      <c r="B3597">
        <v>3</v>
      </c>
      <c r="C3597">
        <v>92.23681599999999</v>
      </c>
      <c r="D3597">
        <v>3</v>
      </c>
      <c r="E3597">
        <v>0</v>
      </c>
      <c r="F3597">
        <v>-0.17175026728751508</v>
      </c>
      <c r="G3597">
        <v>-3.5430066743962585E-3</v>
      </c>
      <c r="H3597">
        <v>-3.9414030982593558E-2</v>
      </c>
    </row>
    <row r="3598" spans="2:8">
      <c r="B3598">
        <v>3</v>
      </c>
      <c r="C3598">
        <v>97.771024959999991</v>
      </c>
      <c r="D3598">
        <v>3</v>
      </c>
      <c r="E3598">
        <v>0</v>
      </c>
      <c r="F3598">
        <v>-4.062176095261491E-2</v>
      </c>
      <c r="G3598">
        <v>-5.889211569112849E-2</v>
      </c>
      <c r="H3598">
        <v>4.9874314958540326E-2</v>
      </c>
    </row>
    <row r="3599" spans="2:8">
      <c r="B3599">
        <v>3</v>
      </c>
      <c r="C3599">
        <v>92.23681599999999</v>
      </c>
      <c r="D3599">
        <v>3</v>
      </c>
      <c r="E3599">
        <v>0</v>
      </c>
      <c r="F3599">
        <v>-0.21430471726348232</v>
      </c>
      <c r="G3599">
        <v>-0.10515121802890015</v>
      </c>
      <c r="H3599">
        <v>-0.29016673166891666</v>
      </c>
    </row>
    <row r="3600" spans="2:8">
      <c r="B3600">
        <v>3</v>
      </c>
      <c r="C3600">
        <v>92.23681599999999</v>
      </c>
      <c r="D3600">
        <v>3</v>
      </c>
      <c r="E3600">
        <v>0</v>
      </c>
      <c r="F3600">
        <v>-0.14701169839043007</v>
      </c>
      <c r="G3600">
        <v>-0.26882683674423502</v>
      </c>
      <c r="H3600">
        <v>-0.28460684250686452</v>
      </c>
    </row>
    <row r="3601" spans="2:8">
      <c r="B3601">
        <v>1</v>
      </c>
      <c r="C3601">
        <v>97.960799999999992</v>
      </c>
      <c r="D3601">
        <v>1</v>
      </c>
      <c r="E3601">
        <v>0</v>
      </c>
      <c r="F3601">
        <v>7.9080040533488546E-3</v>
      </c>
    </row>
    <row r="3602" spans="2:8">
      <c r="B3602">
        <v>1</v>
      </c>
      <c r="C3602">
        <v>97.960799999999992</v>
      </c>
      <c r="D3602">
        <v>1</v>
      </c>
      <c r="E3602">
        <v>0</v>
      </c>
      <c r="F3602">
        <v>8.4118629740236303E-2</v>
      </c>
    </row>
    <row r="3603" spans="2:8">
      <c r="B3603">
        <v>3</v>
      </c>
      <c r="C3603">
        <v>92.23681599999999</v>
      </c>
      <c r="D3603">
        <v>1</v>
      </c>
      <c r="E3603">
        <v>0</v>
      </c>
      <c r="F3603">
        <v>-1.1828356043252188E-2</v>
      </c>
      <c r="G3603">
        <v>-0.38343050580226073</v>
      </c>
      <c r="H3603">
        <v>-0.3750415928096818</v>
      </c>
    </row>
    <row r="3604" spans="2:8">
      <c r="B3604">
        <v>3</v>
      </c>
      <c r="C3604">
        <v>47.804815435985624</v>
      </c>
      <c r="D3604">
        <v>1</v>
      </c>
      <c r="E3604">
        <v>0</v>
      </c>
      <c r="F3604">
        <v>-0.18192333816466619</v>
      </c>
      <c r="G3604">
        <v>-0.33522711906091479</v>
      </c>
      <c r="H3604">
        <v>-0.49208221663607821</v>
      </c>
    </row>
    <row r="3605" spans="2:8">
      <c r="B3605">
        <v>1</v>
      </c>
      <c r="C3605">
        <v>102</v>
      </c>
      <c r="D3605">
        <v>1</v>
      </c>
      <c r="E3605">
        <v>0</v>
      </c>
      <c r="F3605">
        <v>-0.24266334775399878</v>
      </c>
      <c r="G3605">
        <v>-0.15756243142819648</v>
      </c>
      <c r="H3605">
        <v>-0.2380646566953992</v>
      </c>
    </row>
    <row r="3606" spans="2:8">
      <c r="B3606">
        <v>1</v>
      </c>
      <c r="C3606">
        <v>102</v>
      </c>
      <c r="D3606">
        <v>1</v>
      </c>
      <c r="E3606">
        <v>0</v>
      </c>
      <c r="F3606">
        <v>-0.23425871941480922</v>
      </c>
      <c r="G3606">
        <v>-0.43139039136059093</v>
      </c>
      <c r="H3606">
        <v>-0.5075532995376858</v>
      </c>
    </row>
    <row r="3607" spans="2:8">
      <c r="B3607">
        <v>1</v>
      </c>
      <c r="C3607">
        <v>102</v>
      </c>
      <c r="D3607">
        <v>1</v>
      </c>
      <c r="E3607">
        <v>0</v>
      </c>
      <c r="F3607">
        <v>-0.26126406488434734</v>
      </c>
      <c r="G3607">
        <v>-0.18819178869864306</v>
      </c>
      <c r="H3607">
        <v>-0.27743776547843668</v>
      </c>
    </row>
    <row r="3608" spans="2:8">
      <c r="B3608">
        <v>3</v>
      </c>
      <c r="C3608">
        <v>56.086938094612123</v>
      </c>
      <c r="D3608">
        <v>1</v>
      </c>
      <c r="E3608">
        <v>0</v>
      </c>
      <c r="F3608">
        <v>-0.19179492110393961</v>
      </c>
      <c r="G3608">
        <v>-0.35371027187225201</v>
      </c>
      <c r="H3608">
        <v>-0.40408611532384331</v>
      </c>
    </row>
    <row r="3609" spans="2:8">
      <c r="B3609">
        <v>1</v>
      </c>
      <c r="C3609">
        <v>102</v>
      </c>
      <c r="D3609">
        <v>1</v>
      </c>
      <c r="E3609">
        <v>0</v>
      </c>
      <c r="F3609">
        <v>0.15598745653275836</v>
      </c>
    </row>
    <row r="3610" spans="2:8">
      <c r="B3610">
        <v>1</v>
      </c>
      <c r="C3610">
        <v>102</v>
      </c>
      <c r="D3610">
        <v>1</v>
      </c>
      <c r="E3610">
        <v>0</v>
      </c>
      <c r="F3610">
        <v>6.50531308763065E-2</v>
      </c>
    </row>
    <row r="3611" spans="2:8">
      <c r="B3611">
        <v>1</v>
      </c>
      <c r="C3611">
        <v>97.960799999999992</v>
      </c>
      <c r="D3611">
        <v>1</v>
      </c>
      <c r="E3611">
        <v>0</v>
      </c>
      <c r="F3611">
        <v>0.15984583373417527</v>
      </c>
    </row>
    <row r="3612" spans="2:8">
      <c r="B3612">
        <v>3</v>
      </c>
      <c r="C3612">
        <v>97.771024959999991</v>
      </c>
      <c r="D3612">
        <v>3</v>
      </c>
      <c r="E3612">
        <v>0</v>
      </c>
      <c r="F3612">
        <v>-5.6146588766291652E-2</v>
      </c>
      <c r="G3612">
        <v>3.285187555875433E-2</v>
      </c>
      <c r="H3612">
        <v>0.11761644286767148</v>
      </c>
    </row>
    <row r="3613" spans="2:8">
      <c r="B3613">
        <v>3</v>
      </c>
      <c r="C3613">
        <v>25.540541417759698</v>
      </c>
      <c r="D3613">
        <v>0</v>
      </c>
      <c r="E3613">
        <v>0</v>
      </c>
      <c r="F3613">
        <v>-0.44835662484470518</v>
      </c>
      <c r="G3613">
        <v>-0.41963074735878086</v>
      </c>
      <c r="H3613">
        <v>-0.7286362249385917</v>
      </c>
    </row>
    <row r="3614" spans="2:8">
      <c r="B3614">
        <v>1</v>
      </c>
      <c r="C3614">
        <v>97.960799999999992</v>
      </c>
      <c r="D3614">
        <v>1</v>
      </c>
      <c r="E3614">
        <v>0</v>
      </c>
      <c r="F3614">
        <v>4.3611986928924332E-2</v>
      </c>
    </row>
    <row r="3615" spans="2:8">
      <c r="B3615">
        <v>3</v>
      </c>
      <c r="C3615">
        <v>55.316012784220987</v>
      </c>
      <c r="D3615">
        <v>1</v>
      </c>
      <c r="E3615">
        <v>0</v>
      </c>
      <c r="F3615">
        <v>-0.34024609423249491</v>
      </c>
      <c r="G3615">
        <v>-0.29776160053635076</v>
      </c>
      <c r="H3615">
        <v>-0.41227706159613564</v>
      </c>
    </row>
    <row r="3616" spans="2:8">
      <c r="B3616">
        <v>1</v>
      </c>
      <c r="C3616">
        <v>102</v>
      </c>
      <c r="D3616">
        <v>1</v>
      </c>
      <c r="E3616">
        <v>0</v>
      </c>
      <c r="F3616">
        <v>-0.2516276495711931</v>
      </c>
      <c r="G3616">
        <v>-0.4621438098893576</v>
      </c>
      <c r="H3616">
        <v>-0.5470059024107522</v>
      </c>
    </row>
    <row r="3617" spans="2:8">
      <c r="B3617">
        <v>1</v>
      </c>
      <c r="C3617">
        <v>102</v>
      </c>
      <c r="D3617">
        <v>1</v>
      </c>
      <c r="E3617">
        <v>0</v>
      </c>
      <c r="F3617">
        <v>-0.21162548925599717</v>
      </c>
      <c r="G3617">
        <v>-9.9742303117905329E-2</v>
      </c>
      <c r="H3617">
        <v>-0.16297741664966323</v>
      </c>
    </row>
    <row r="3618" spans="2:8">
      <c r="B3618">
        <v>3</v>
      </c>
      <c r="C3618">
        <v>0</v>
      </c>
      <c r="D3618">
        <v>0</v>
      </c>
      <c r="E3618">
        <v>0</v>
      </c>
      <c r="F3618">
        <v>-0.66448480624003148</v>
      </c>
      <c r="G3618">
        <v>-0.97265559987872274</v>
      </c>
      <c r="H3618">
        <v>-1.1030942617295509</v>
      </c>
    </row>
    <row r="3619" spans="2:8">
      <c r="B3619">
        <v>3</v>
      </c>
      <c r="C3619">
        <v>92.23681599999999</v>
      </c>
      <c r="D3619">
        <v>3</v>
      </c>
      <c r="E3619">
        <v>0</v>
      </c>
      <c r="F3619">
        <v>-6.0433192274432605E-2</v>
      </c>
      <c r="G3619">
        <v>-0.26667658546020856</v>
      </c>
      <c r="H3619">
        <v>-0.18800877720886877</v>
      </c>
    </row>
    <row r="3620" spans="2:8">
      <c r="B3620">
        <v>3</v>
      </c>
      <c r="C3620">
        <v>12.306664281555541</v>
      </c>
      <c r="D3620">
        <v>0</v>
      </c>
      <c r="E3620">
        <v>0</v>
      </c>
      <c r="F3620">
        <v>-0.33516846242236648</v>
      </c>
      <c r="G3620">
        <v>-0.59865719639265802</v>
      </c>
      <c r="H3620">
        <v>-0.86924384948495592</v>
      </c>
    </row>
    <row r="3621" spans="2:8">
      <c r="B3621">
        <v>1</v>
      </c>
      <c r="C3621">
        <v>102</v>
      </c>
      <c r="D3621">
        <v>1</v>
      </c>
      <c r="E3621">
        <v>0</v>
      </c>
      <c r="F3621">
        <v>5.0854162664031434E-4</v>
      </c>
    </row>
    <row r="3622" spans="2:8">
      <c r="B3622">
        <v>3</v>
      </c>
      <c r="C3622">
        <v>92.23681599999999</v>
      </c>
      <c r="D3622">
        <v>3</v>
      </c>
      <c r="E3622">
        <v>0</v>
      </c>
      <c r="F3622">
        <v>-0.12550169555602436</v>
      </c>
      <c r="G3622">
        <v>-0.11860524983723061</v>
      </c>
      <c r="H3622">
        <v>-0.11479957613111463</v>
      </c>
    </row>
    <row r="3623" spans="2:8">
      <c r="B3623">
        <v>3</v>
      </c>
      <c r="C3623">
        <v>92.23681599999999</v>
      </c>
      <c r="D3623">
        <v>3</v>
      </c>
      <c r="E3623">
        <v>0</v>
      </c>
      <c r="F3623">
        <v>-0.16483963186691819</v>
      </c>
      <c r="G3623">
        <v>1.8090246578891973E-2</v>
      </c>
      <c r="H3623">
        <v>-0.12334903601375123</v>
      </c>
    </row>
    <row r="3624" spans="2:8">
      <c r="B3624">
        <v>1</v>
      </c>
      <c r="C3624">
        <v>102</v>
      </c>
      <c r="D3624">
        <v>1</v>
      </c>
      <c r="E3624">
        <v>0</v>
      </c>
      <c r="F3624">
        <v>-0.37671644330297338</v>
      </c>
      <c r="G3624">
        <v>-0.65802562524365305</v>
      </c>
      <c r="H3624">
        <v>-0.77895607144664414</v>
      </c>
    </row>
    <row r="3625" spans="2:8">
      <c r="B3625">
        <v>3</v>
      </c>
      <c r="C3625">
        <v>92.23681599999999</v>
      </c>
      <c r="D3625">
        <v>2</v>
      </c>
      <c r="E3625">
        <v>0</v>
      </c>
      <c r="F3625">
        <v>-8.6380437418958567E-2</v>
      </c>
      <c r="G3625">
        <v>-0.34006631765205347</v>
      </c>
      <c r="H3625">
        <v>-0.29466650013132817</v>
      </c>
    </row>
    <row r="3626" spans="2:8">
      <c r="B3626">
        <v>3</v>
      </c>
      <c r="C3626">
        <v>50.831052269548081</v>
      </c>
      <c r="D3626">
        <v>1</v>
      </c>
      <c r="E3626">
        <v>0</v>
      </c>
      <c r="F3626">
        <v>-0.1703840050133727</v>
      </c>
      <c r="G3626">
        <v>-0.31344899828729816</v>
      </c>
      <c r="H3626">
        <v>-0.4599289808078682</v>
      </c>
    </row>
    <row r="3627" spans="2:8">
      <c r="B3627">
        <v>3</v>
      </c>
      <c r="C3627">
        <v>92.23681599999999</v>
      </c>
      <c r="D3627">
        <v>1</v>
      </c>
      <c r="E3627">
        <v>0</v>
      </c>
      <c r="F3627">
        <v>-0.31063260354278066</v>
      </c>
      <c r="G3627">
        <v>-0.2597238968065903</v>
      </c>
      <c r="H3627">
        <v>-0.36681996450216381</v>
      </c>
    </row>
    <row r="3628" spans="2:8">
      <c r="B3628">
        <v>1</v>
      </c>
      <c r="C3628">
        <v>102</v>
      </c>
      <c r="D3628">
        <v>1</v>
      </c>
      <c r="E3628">
        <v>0</v>
      </c>
      <c r="F3628">
        <v>-0.12730563506062711</v>
      </c>
      <c r="G3628">
        <v>-0.12214459165517465</v>
      </c>
      <c r="H3628">
        <v>-0.12006240275762428</v>
      </c>
    </row>
    <row r="3629" spans="2:8">
      <c r="B3629">
        <v>1</v>
      </c>
      <c r="C3629">
        <v>102</v>
      </c>
      <c r="D3629">
        <v>1</v>
      </c>
      <c r="E3629">
        <v>0</v>
      </c>
      <c r="F3629">
        <v>-4.4914011088370905E-2</v>
      </c>
      <c r="G3629">
        <v>-0.22814783926164864</v>
      </c>
      <c r="H3629">
        <v>-0.1263562194448212</v>
      </c>
    </row>
    <row r="3630" spans="2:8">
      <c r="B3630">
        <v>3</v>
      </c>
      <c r="C3630">
        <v>44.62774012441259</v>
      </c>
      <c r="D3630">
        <v>1</v>
      </c>
      <c r="E3630">
        <v>0</v>
      </c>
      <c r="F3630">
        <v>-0.19417766415689794</v>
      </c>
      <c r="G3630">
        <v>-0.35815002020636377</v>
      </c>
      <c r="H3630">
        <v>-0.52583808484971617</v>
      </c>
    </row>
    <row r="3631" spans="2:8">
      <c r="B3631">
        <v>1</v>
      </c>
      <c r="C3631">
        <v>102</v>
      </c>
      <c r="D3631">
        <v>1</v>
      </c>
      <c r="E3631">
        <v>0</v>
      </c>
      <c r="F3631">
        <v>-0.19815618049154585</v>
      </c>
      <c r="G3631">
        <v>-7.0981558804181361E-2</v>
      </c>
      <c r="H3631">
        <v>-0.12564139326497484</v>
      </c>
    </row>
    <row r="3632" spans="2:8">
      <c r="B3632">
        <v>1</v>
      </c>
      <c r="C3632">
        <v>102</v>
      </c>
      <c r="D3632">
        <v>1</v>
      </c>
      <c r="E3632">
        <v>0</v>
      </c>
      <c r="F3632">
        <v>0.19079739417973771</v>
      </c>
    </row>
    <row r="3633" spans="2:8">
      <c r="B3633">
        <v>1</v>
      </c>
      <c r="C3633">
        <v>97.960799999999992</v>
      </c>
      <c r="D3633">
        <v>1</v>
      </c>
      <c r="E3633">
        <v>0</v>
      </c>
      <c r="F3633">
        <v>1.9009356341582097E-2</v>
      </c>
    </row>
    <row r="3634" spans="2:8">
      <c r="B3634">
        <v>1</v>
      </c>
      <c r="C3634">
        <v>102</v>
      </c>
      <c r="D3634">
        <v>1</v>
      </c>
      <c r="E3634">
        <v>0</v>
      </c>
      <c r="F3634">
        <v>-0.18944263375564557</v>
      </c>
      <c r="G3634">
        <v>-0.23530028029208294</v>
      </c>
      <c r="H3634">
        <v>-0.2840534637603061</v>
      </c>
    </row>
    <row r="3635" spans="2:8">
      <c r="B3635">
        <v>3</v>
      </c>
      <c r="C3635">
        <v>97.771024959999991</v>
      </c>
      <c r="D3635">
        <v>3</v>
      </c>
      <c r="E3635">
        <v>0</v>
      </c>
      <c r="F3635">
        <v>-1.2030200246069874E-3</v>
      </c>
      <c r="G3635">
        <v>-0.13138034504278429</v>
      </c>
      <c r="H3635">
        <v>6.426023068140102E-2</v>
      </c>
    </row>
    <row r="3636" spans="2:8">
      <c r="B3636">
        <v>1</v>
      </c>
      <c r="C3636">
        <v>102</v>
      </c>
      <c r="D3636">
        <v>1</v>
      </c>
      <c r="E3636">
        <v>0</v>
      </c>
      <c r="F3636">
        <v>0.12590165257912472</v>
      </c>
    </row>
    <row r="3637" spans="2:8">
      <c r="B3637">
        <v>3</v>
      </c>
      <c r="C3637">
        <v>92.23681599999999</v>
      </c>
      <c r="D3637">
        <v>3</v>
      </c>
      <c r="E3637">
        <v>0</v>
      </c>
      <c r="F3637">
        <v>-0.22343257204054223</v>
      </c>
      <c r="G3637">
        <v>-0.12292200594535042</v>
      </c>
      <c r="H3637">
        <v>-0.19312976654023042</v>
      </c>
    </row>
    <row r="3638" spans="2:8">
      <c r="B3638">
        <v>1</v>
      </c>
      <c r="C3638">
        <v>102</v>
      </c>
      <c r="D3638">
        <v>1</v>
      </c>
      <c r="E3638">
        <v>0</v>
      </c>
      <c r="F3638">
        <v>7.4360249153554589E-2</v>
      </c>
    </row>
    <row r="3639" spans="2:8">
      <c r="B3639">
        <v>3</v>
      </c>
      <c r="C3639">
        <v>92.23681599999999</v>
      </c>
      <c r="D3639">
        <v>3</v>
      </c>
      <c r="E3639">
        <v>0</v>
      </c>
      <c r="F3639">
        <v>-0.23941973794908739</v>
      </c>
      <c r="G3639">
        <v>-0.15195294569895806</v>
      </c>
      <c r="H3639">
        <v>-0.23080959352553643</v>
      </c>
    </row>
    <row r="3640" spans="2:8">
      <c r="B3640">
        <v>1</v>
      </c>
      <c r="C3640">
        <v>97.960799999999992</v>
      </c>
      <c r="D3640">
        <v>1</v>
      </c>
      <c r="E3640">
        <v>0</v>
      </c>
      <c r="F3640">
        <v>0.11349148295053101</v>
      </c>
    </row>
    <row r="3641" spans="2:8">
      <c r="B3641">
        <v>1</v>
      </c>
      <c r="C3641">
        <v>97.960799999999992</v>
      </c>
      <c r="D3641">
        <v>1</v>
      </c>
      <c r="E3641">
        <v>0</v>
      </c>
      <c r="F3641">
        <v>0.18264475242482919</v>
      </c>
    </row>
    <row r="3642" spans="2:8">
      <c r="B3642">
        <v>1</v>
      </c>
      <c r="C3642">
        <v>102</v>
      </c>
      <c r="D3642">
        <v>1</v>
      </c>
      <c r="E3642">
        <v>0</v>
      </c>
      <c r="F3642">
        <v>-8.2012634999681741E-2</v>
      </c>
      <c r="G3642">
        <v>-2.7799343325363695E-2</v>
      </c>
      <c r="H3642">
        <v>2.2823001148648749E-2</v>
      </c>
    </row>
    <row r="3643" spans="2:8">
      <c r="B3643">
        <v>3</v>
      </c>
      <c r="C3643">
        <v>92.23681599999999</v>
      </c>
      <c r="D3643">
        <v>3</v>
      </c>
      <c r="E3643">
        <v>0</v>
      </c>
      <c r="F3643">
        <v>-0.18795130983830294</v>
      </c>
      <c r="G3643">
        <v>-4.7054345338954418E-2</v>
      </c>
      <c r="H3643">
        <v>-0.2092631640505225</v>
      </c>
    </row>
    <row r="3644" spans="2:8">
      <c r="B3644">
        <v>1</v>
      </c>
      <c r="C3644">
        <v>102</v>
      </c>
      <c r="D3644">
        <v>1</v>
      </c>
      <c r="E3644">
        <v>0</v>
      </c>
      <c r="F3644">
        <v>-0.21880106674314168</v>
      </c>
      <c r="G3644">
        <v>-0.4034898057578305</v>
      </c>
      <c r="H3644">
        <v>-0.47102238978655075</v>
      </c>
    </row>
    <row r="3645" spans="2:8">
      <c r="B3645">
        <v>3</v>
      </c>
      <c r="C3645">
        <v>54.16402309333607</v>
      </c>
      <c r="D3645">
        <v>0</v>
      </c>
      <c r="E3645">
        <v>0</v>
      </c>
      <c r="F3645">
        <v>-0.34880449656678242</v>
      </c>
      <c r="G3645">
        <v>-0.30824950183720423</v>
      </c>
      <c r="H3645">
        <v>-0.42451675010692747</v>
      </c>
    </row>
    <row r="3646" spans="2:8">
      <c r="B3646">
        <v>1</v>
      </c>
      <c r="C3646">
        <v>102</v>
      </c>
      <c r="D3646">
        <v>1</v>
      </c>
      <c r="E3646">
        <v>0</v>
      </c>
      <c r="F3646">
        <v>-9.96500909120034E-2</v>
      </c>
      <c r="G3646">
        <v>-6.600910742888362E-2</v>
      </c>
      <c r="H3646">
        <v>-3.5697027001321012E-2</v>
      </c>
    </row>
    <row r="3647" spans="2:8">
      <c r="B3647">
        <v>1</v>
      </c>
      <c r="C3647">
        <v>102</v>
      </c>
      <c r="D3647">
        <v>1</v>
      </c>
      <c r="E3647">
        <v>0</v>
      </c>
      <c r="F3647">
        <v>-0.12435105506008598</v>
      </c>
      <c r="G3647">
        <v>-0.52412669893774111</v>
      </c>
      <c r="H3647">
        <v>-0.51921361917860853</v>
      </c>
    </row>
    <row r="3648" spans="2:8">
      <c r="B3648">
        <v>1</v>
      </c>
      <c r="C3648">
        <v>102</v>
      </c>
      <c r="D3648">
        <v>1</v>
      </c>
      <c r="E3648">
        <v>0</v>
      </c>
      <c r="F3648">
        <v>6.2936460869486455E-2</v>
      </c>
    </row>
    <row r="3649" spans="2:8">
      <c r="B3649">
        <v>1</v>
      </c>
      <c r="C3649">
        <v>102</v>
      </c>
      <c r="D3649">
        <v>1</v>
      </c>
      <c r="E3649">
        <v>0</v>
      </c>
      <c r="F3649">
        <v>-0.19572052934647219</v>
      </c>
      <c r="G3649">
        <v>-6.5460501388355144E-2</v>
      </c>
      <c r="H3649">
        <v>-0.1184979456075215</v>
      </c>
    </row>
    <row r="3650" spans="2:8">
      <c r="B3650">
        <v>1</v>
      </c>
      <c r="C3650">
        <v>97.960799999999992</v>
      </c>
      <c r="D3650">
        <v>1</v>
      </c>
      <c r="E3650">
        <v>0</v>
      </c>
      <c r="F3650">
        <v>1.2536408577792181E-2</v>
      </c>
    </row>
    <row r="3651" spans="2:8">
      <c r="B3651">
        <v>1</v>
      </c>
      <c r="C3651">
        <v>97.960799999999992</v>
      </c>
      <c r="D3651">
        <v>1</v>
      </c>
      <c r="E3651">
        <v>0</v>
      </c>
      <c r="F3651">
        <v>6.6419831414419525E-2</v>
      </c>
    </row>
    <row r="3652" spans="2:8">
      <c r="B3652">
        <v>1</v>
      </c>
      <c r="C3652">
        <v>102</v>
      </c>
      <c r="D3652">
        <v>1</v>
      </c>
      <c r="E3652">
        <v>0</v>
      </c>
      <c r="F3652">
        <v>2.9800694321447784E-2</v>
      </c>
    </row>
    <row r="3653" spans="2:8">
      <c r="B3653">
        <v>1</v>
      </c>
      <c r="C3653">
        <v>102</v>
      </c>
      <c r="D3653">
        <v>1</v>
      </c>
      <c r="E3653">
        <v>0</v>
      </c>
      <c r="F3653">
        <v>0.17346618371472586</v>
      </c>
    </row>
    <row r="3654" spans="2:8">
      <c r="B3654">
        <v>1</v>
      </c>
      <c r="C3654">
        <v>102</v>
      </c>
      <c r="D3654">
        <v>1</v>
      </c>
      <c r="E3654">
        <v>0</v>
      </c>
      <c r="F3654">
        <v>0.28556189877286436</v>
      </c>
    </row>
    <row r="3655" spans="2:8">
      <c r="B3655">
        <v>3</v>
      </c>
      <c r="C3655">
        <v>97.771024959999991</v>
      </c>
      <c r="D3655">
        <v>3</v>
      </c>
      <c r="E3655">
        <v>0</v>
      </c>
      <c r="F3655">
        <v>-0.1521576725346892</v>
      </c>
      <c r="G3655">
        <v>6.6389132137512075E-2</v>
      </c>
      <c r="H3655">
        <v>4.6223035815938507E-2</v>
      </c>
    </row>
    <row r="3656" spans="2:8">
      <c r="B3656">
        <v>1</v>
      </c>
      <c r="C3656">
        <v>97.960799999999992</v>
      </c>
      <c r="D3656">
        <v>1</v>
      </c>
      <c r="E3656">
        <v>0</v>
      </c>
      <c r="F3656">
        <v>2.1964430726436366E-2</v>
      </c>
    </row>
    <row r="3657" spans="2:8">
      <c r="B3657">
        <v>1</v>
      </c>
      <c r="C3657">
        <v>102</v>
      </c>
      <c r="D3657">
        <v>1</v>
      </c>
      <c r="E3657">
        <v>0</v>
      </c>
      <c r="F3657">
        <v>3.4733396027591998E-2</v>
      </c>
    </row>
    <row r="3658" spans="2:8">
      <c r="B3658">
        <v>1</v>
      </c>
      <c r="C3658">
        <v>102</v>
      </c>
      <c r="D3658">
        <v>1</v>
      </c>
      <c r="E3658">
        <v>0</v>
      </c>
      <c r="F3658">
        <v>0.14287172736563208</v>
      </c>
    </row>
    <row r="3659" spans="2:8">
      <c r="B3659">
        <v>3</v>
      </c>
      <c r="C3659">
        <v>92.23681599999999</v>
      </c>
      <c r="D3659">
        <v>2</v>
      </c>
      <c r="E3659">
        <v>0</v>
      </c>
      <c r="F3659">
        <v>-0.27872306347569226</v>
      </c>
      <c r="G3659">
        <v>-0.2149022901364607</v>
      </c>
      <c r="H3659">
        <v>-0.31131613469989594</v>
      </c>
    </row>
    <row r="3660" spans="2:8">
      <c r="B3660">
        <v>1</v>
      </c>
      <c r="C3660">
        <v>102</v>
      </c>
      <c r="D3660">
        <v>1</v>
      </c>
      <c r="E3660">
        <v>0</v>
      </c>
      <c r="F3660">
        <v>0.27172736083811005</v>
      </c>
    </row>
    <row r="3661" spans="2:8">
      <c r="B3661">
        <v>3</v>
      </c>
      <c r="C3661">
        <v>92.23681599999999</v>
      </c>
      <c r="D3661">
        <v>3</v>
      </c>
      <c r="E3661">
        <v>0</v>
      </c>
      <c r="F3661">
        <v>-3.4689055021789303E-2</v>
      </c>
      <c r="G3661">
        <v>-0.20418405702762918</v>
      </c>
      <c r="H3661">
        <v>-8.5265159931039627E-2</v>
      </c>
    </row>
    <row r="3662" spans="2:8">
      <c r="B3662">
        <v>1</v>
      </c>
      <c r="C3662">
        <v>97.960799999999992</v>
      </c>
      <c r="D3662">
        <v>1</v>
      </c>
      <c r="E3662">
        <v>0</v>
      </c>
      <c r="F3662">
        <v>0.11073377190799732</v>
      </c>
    </row>
    <row r="3663" spans="2:8">
      <c r="B3663">
        <v>1</v>
      </c>
      <c r="C3663">
        <v>102</v>
      </c>
      <c r="D3663">
        <v>1</v>
      </c>
      <c r="E3663">
        <v>0</v>
      </c>
      <c r="F3663">
        <v>-0.18336851848012536</v>
      </c>
      <c r="G3663">
        <v>-3.5544524715227205E-2</v>
      </c>
      <c r="H3663">
        <v>-8.0010615234037658E-2</v>
      </c>
    </row>
    <row r="3664" spans="2:8">
      <c r="B3664">
        <v>3</v>
      </c>
      <c r="C3664">
        <v>97.771024959999991</v>
      </c>
      <c r="D3664">
        <v>3</v>
      </c>
      <c r="E3664">
        <v>0</v>
      </c>
      <c r="F3664">
        <v>-1.4572259695250262E-2</v>
      </c>
      <c r="G3664">
        <v>-5.9333719929586283E-3</v>
      </c>
      <c r="H3664">
        <v>0.15358472973074228</v>
      </c>
    </row>
    <row r="3665" spans="2:8">
      <c r="B3665">
        <v>1</v>
      </c>
      <c r="C3665">
        <v>97.960799999999992</v>
      </c>
      <c r="D3665">
        <v>1</v>
      </c>
      <c r="E3665">
        <v>0</v>
      </c>
      <c r="F3665">
        <v>0.23511160630687472</v>
      </c>
    </row>
    <row r="3666" spans="2:8">
      <c r="B3666">
        <v>1</v>
      </c>
      <c r="C3666">
        <v>97.960799999999992</v>
      </c>
      <c r="D3666">
        <v>1</v>
      </c>
      <c r="E3666">
        <v>0</v>
      </c>
      <c r="F3666">
        <v>0.11629946959140557</v>
      </c>
    </row>
    <row r="3667" spans="2:8">
      <c r="B3667">
        <v>1</v>
      </c>
      <c r="C3667">
        <v>97.960799999999992</v>
      </c>
      <c r="D3667">
        <v>1</v>
      </c>
      <c r="E3667">
        <v>0</v>
      </c>
      <c r="F3667">
        <v>9.6546579994948051E-3</v>
      </c>
    </row>
    <row r="3668" spans="2:8">
      <c r="B3668">
        <v>3</v>
      </c>
      <c r="C3668">
        <v>92.23681599999999</v>
      </c>
      <c r="D3668">
        <v>3</v>
      </c>
      <c r="E3668">
        <v>0</v>
      </c>
      <c r="F3668">
        <v>-0.15540707349376834</v>
      </c>
      <c r="G3668">
        <v>-0.17533594759208698</v>
      </c>
      <c r="H3668">
        <v>-0.19821460622419632</v>
      </c>
    </row>
    <row r="3669" spans="2:8">
      <c r="B3669">
        <v>3</v>
      </c>
      <c r="C3669">
        <v>92.23681599999999</v>
      </c>
      <c r="D3669">
        <v>2</v>
      </c>
      <c r="E3669">
        <v>0</v>
      </c>
      <c r="F3669">
        <v>-7.9310131007300222E-2</v>
      </c>
      <c r="G3669">
        <v>-0.31853928595430353</v>
      </c>
      <c r="H3669">
        <v>-0.2646162663558122</v>
      </c>
    </row>
    <row r="3670" spans="2:8">
      <c r="B3670">
        <v>3</v>
      </c>
      <c r="C3670">
        <v>92.23681599999999</v>
      </c>
      <c r="D3670">
        <v>3</v>
      </c>
      <c r="E3670">
        <v>0</v>
      </c>
      <c r="F3670">
        <v>-7.4975859537019116E-2</v>
      </c>
      <c r="G3670">
        <v>-0.12778097013764619</v>
      </c>
      <c r="H3670">
        <v>-6.8447510634306957E-2</v>
      </c>
    </row>
    <row r="3671" spans="2:8">
      <c r="B3671">
        <v>3</v>
      </c>
      <c r="C3671">
        <v>92.23681599999999</v>
      </c>
      <c r="D3671">
        <v>1</v>
      </c>
      <c r="E3671">
        <v>0</v>
      </c>
      <c r="F3671">
        <v>-8.8040966443234975E-2</v>
      </c>
      <c r="G3671">
        <v>-0.34534915744648753</v>
      </c>
      <c r="H3671">
        <v>-0.30189989911191556</v>
      </c>
    </row>
    <row r="3672" spans="2:8">
      <c r="B3672">
        <v>1</v>
      </c>
      <c r="C3672">
        <v>102</v>
      </c>
      <c r="D3672">
        <v>1</v>
      </c>
      <c r="E3672">
        <v>0</v>
      </c>
      <c r="F3672">
        <v>-4.9200664224469809E-2</v>
      </c>
      <c r="G3672">
        <v>-7.619242222351294E-2</v>
      </c>
      <c r="H3672">
        <v>1.8906272393432077E-2</v>
      </c>
    </row>
    <row r="3673" spans="2:8">
      <c r="B3673">
        <v>3</v>
      </c>
      <c r="C3673">
        <v>92.23681599999999</v>
      </c>
      <c r="D3673">
        <v>3</v>
      </c>
      <c r="E3673">
        <v>0</v>
      </c>
      <c r="F3673">
        <v>-0.1760734413066046</v>
      </c>
      <c r="G3673">
        <v>-1.599411550875901E-2</v>
      </c>
      <c r="H3673">
        <v>-0.1676096553047817</v>
      </c>
    </row>
    <row r="3674" spans="2:8">
      <c r="B3674">
        <v>3</v>
      </c>
      <c r="C3674">
        <v>38.542943450192915</v>
      </c>
      <c r="D3674">
        <v>1</v>
      </c>
      <c r="E3674">
        <v>0</v>
      </c>
      <c r="F3674">
        <v>-0.2717228481769759</v>
      </c>
      <c r="G3674">
        <v>-0.49683050782018512</v>
      </c>
      <c r="H3674">
        <v>-0.59048798278998416</v>
      </c>
    </row>
    <row r="3675" spans="2:8">
      <c r="B3675">
        <v>1</v>
      </c>
      <c r="C3675">
        <v>102</v>
      </c>
      <c r="D3675">
        <v>1</v>
      </c>
      <c r="E3675">
        <v>0</v>
      </c>
      <c r="F3675">
        <v>-0.17390079332793765</v>
      </c>
      <c r="G3675">
        <v>-9.8274232266812398E-3</v>
      </c>
      <c r="H3675">
        <v>-4.7328942020745009E-2</v>
      </c>
    </row>
    <row r="3676" spans="2:8">
      <c r="B3676">
        <v>1</v>
      </c>
      <c r="C3676">
        <v>97.960799999999992</v>
      </c>
      <c r="D3676">
        <v>1</v>
      </c>
      <c r="E3676">
        <v>0</v>
      </c>
      <c r="F3676">
        <v>8.6471886773047388E-2</v>
      </c>
    </row>
    <row r="3677" spans="2:8">
      <c r="B3677">
        <v>3</v>
      </c>
      <c r="C3677">
        <v>92.23681599999999</v>
      </c>
      <c r="D3677">
        <v>1</v>
      </c>
      <c r="E3677">
        <v>0</v>
      </c>
      <c r="F3677">
        <v>-0.30485357557888559</v>
      </c>
      <c r="G3677">
        <v>-0.25193589781421227</v>
      </c>
      <c r="H3677">
        <v>-0.35731620252002455</v>
      </c>
    </row>
    <row r="3678" spans="2:8">
      <c r="B3678">
        <v>3</v>
      </c>
      <c r="C3678">
        <v>28.31948608497953</v>
      </c>
      <c r="D3678">
        <v>0</v>
      </c>
      <c r="E3678">
        <v>0</v>
      </c>
      <c r="F3678">
        <v>-0.32776832910542575</v>
      </c>
      <c r="G3678">
        <v>-0.58745298515309385</v>
      </c>
      <c r="H3678">
        <v>-0.69911042502507958</v>
      </c>
    </row>
    <row r="3679" spans="2:8">
      <c r="B3679">
        <v>1</v>
      </c>
      <c r="C3679">
        <v>102</v>
      </c>
      <c r="D3679">
        <v>1</v>
      </c>
      <c r="E3679">
        <v>0</v>
      </c>
      <c r="F3679">
        <v>-0.11325135081328484</v>
      </c>
      <c r="G3679">
        <v>-0.44524654575851214</v>
      </c>
      <c r="H3679">
        <v>-0.42931692168476032</v>
      </c>
    </row>
    <row r="3680" spans="2:8">
      <c r="B3680">
        <v>3</v>
      </c>
      <c r="C3680">
        <v>92.23681599999999</v>
      </c>
      <c r="D3680">
        <v>3</v>
      </c>
      <c r="E3680">
        <v>0</v>
      </c>
      <c r="F3680">
        <v>-8.3664021684692821E-2</v>
      </c>
      <c r="G3680">
        <v>-0.14504110428178743</v>
      </c>
      <c r="H3680">
        <v>-9.6409253653884128E-2</v>
      </c>
    </row>
    <row r="3681" spans="2:8">
      <c r="B3681">
        <v>3</v>
      </c>
      <c r="C3681">
        <v>92.23681599999999</v>
      </c>
      <c r="D3681">
        <v>3</v>
      </c>
      <c r="E3681">
        <v>0</v>
      </c>
      <c r="F3681">
        <v>-6.2057856297530099E-2</v>
      </c>
      <c r="G3681">
        <v>-0.27089248608141436</v>
      </c>
      <c r="H3681">
        <v>-0.1944842179146016</v>
      </c>
    </row>
    <row r="3682" spans="2:8">
      <c r="B3682">
        <v>1</v>
      </c>
      <c r="C3682">
        <v>102</v>
      </c>
      <c r="D3682">
        <v>1</v>
      </c>
      <c r="E3682">
        <v>0</v>
      </c>
      <c r="F3682">
        <v>-0.12911910866637039</v>
      </c>
      <c r="G3682">
        <v>-0.23425420096755112</v>
      </c>
      <c r="H3682">
        <v>-0.23388916360075307</v>
      </c>
    </row>
    <row r="3683" spans="2:8">
      <c r="B3683">
        <v>1</v>
      </c>
      <c r="C3683">
        <v>97.960799999999992</v>
      </c>
      <c r="D3683">
        <v>1</v>
      </c>
      <c r="E3683">
        <v>0</v>
      </c>
      <c r="F3683">
        <v>8.0320771005061048E-2</v>
      </c>
    </row>
    <row r="3684" spans="2:8">
      <c r="B3684">
        <v>3</v>
      </c>
      <c r="C3684">
        <v>51.893141534125064</v>
      </c>
      <c r="D3684">
        <v>1</v>
      </c>
      <c r="E3684">
        <v>0</v>
      </c>
      <c r="F3684">
        <v>-0.26765361277760913</v>
      </c>
      <c r="G3684">
        <v>-0.35666115626333417</v>
      </c>
      <c r="H3684">
        <v>-0.44864446856618984</v>
      </c>
    </row>
    <row r="3685" spans="2:8">
      <c r="B3685">
        <v>1</v>
      </c>
      <c r="C3685">
        <v>102</v>
      </c>
      <c r="D3685">
        <v>1</v>
      </c>
      <c r="E3685">
        <v>0</v>
      </c>
      <c r="F3685">
        <v>0.20542617480518108</v>
      </c>
    </row>
    <row r="3686" spans="2:8">
      <c r="B3686">
        <v>1</v>
      </c>
      <c r="C3686">
        <v>97.960799999999992</v>
      </c>
      <c r="D3686">
        <v>1</v>
      </c>
      <c r="E3686">
        <v>0</v>
      </c>
      <c r="F3686">
        <v>5.0580039071348171E-3</v>
      </c>
    </row>
    <row r="3687" spans="2:8">
      <c r="B3687">
        <v>3</v>
      </c>
      <c r="C3687">
        <v>97.771024959999991</v>
      </c>
      <c r="D3687">
        <v>3</v>
      </c>
      <c r="E3687">
        <v>0</v>
      </c>
      <c r="F3687">
        <v>-0.14007217592918292</v>
      </c>
      <c r="G3687">
        <v>0.13715349942216729</v>
      </c>
      <c r="H3687">
        <v>0.12746720820005691</v>
      </c>
    </row>
    <row r="3688" spans="2:8">
      <c r="B3688">
        <v>1</v>
      </c>
      <c r="C3688">
        <v>102</v>
      </c>
      <c r="D3688">
        <v>1</v>
      </c>
      <c r="E3688">
        <v>0</v>
      </c>
      <c r="F3688">
        <v>-0.11964580839820853</v>
      </c>
      <c r="G3688">
        <v>-0.21581853408337548</v>
      </c>
      <c r="H3688">
        <v>-0.206310369295618</v>
      </c>
    </row>
    <row r="3689" spans="2:8">
      <c r="B3689">
        <v>1</v>
      </c>
      <c r="C3689">
        <v>102</v>
      </c>
      <c r="D3689">
        <v>1</v>
      </c>
      <c r="E3689">
        <v>0</v>
      </c>
      <c r="F3689">
        <v>4.6821654137251742E-2</v>
      </c>
    </row>
    <row r="3690" spans="2:8">
      <c r="B3690">
        <v>3</v>
      </c>
      <c r="C3690">
        <v>92.23681599999999</v>
      </c>
      <c r="D3690">
        <v>3</v>
      </c>
      <c r="E3690">
        <v>0</v>
      </c>
      <c r="F3690">
        <v>-0.14508833741885413</v>
      </c>
      <c r="G3690">
        <v>-0.15621406246873668</v>
      </c>
      <c r="H3690">
        <v>-0.17032592028805671</v>
      </c>
    </row>
    <row r="3691" spans="2:8">
      <c r="B3691">
        <v>3</v>
      </c>
      <c r="C3691">
        <v>92.23681599999999</v>
      </c>
      <c r="D3691">
        <v>1</v>
      </c>
      <c r="E3691">
        <v>0</v>
      </c>
      <c r="F3691">
        <v>-0.10585281213527756</v>
      </c>
      <c r="G3691">
        <v>-0.41037276124214711</v>
      </c>
      <c r="H3691">
        <v>-0.38674674625752614</v>
      </c>
    </row>
    <row r="3692" spans="2:8">
      <c r="B3692">
        <v>1</v>
      </c>
      <c r="C3692">
        <v>97.960799999999992</v>
      </c>
      <c r="D3692">
        <v>1</v>
      </c>
      <c r="E3692">
        <v>0</v>
      </c>
      <c r="F3692">
        <v>3.3297774636286059E-3</v>
      </c>
    </row>
    <row r="3693" spans="2:8">
      <c r="B3693">
        <v>1</v>
      </c>
      <c r="C3693">
        <v>97.960799999999992</v>
      </c>
      <c r="D3693">
        <v>1</v>
      </c>
      <c r="E3693">
        <v>0</v>
      </c>
      <c r="F3693">
        <v>0.10367509571441212</v>
      </c>
    </row>
    <row r="3694" spans="2:8">
      <c r="B3694">
        <v>1</v>
      </c>
      <c r="C3694">
        <v>102</v>
      </c>
      <c r="D3694">
        <v>1</v>
      </c>
      <c r="E3694">
        <v>0</v>
      </c>
      <c r="F3694">
        <v>-0.166172014716961</v>
      </c>
      <c r="G3694">
        <v>-0.19480586607832484</v>
      </c>
      <c r="H3694">
        <v>-0.22636263444583463</v>
      </c>
    </row>
    <row r="3695" spans="2:8">
      <c r="B3695">
        <v>3</v>
      </c>
      <c r="C3695">
        <v>92.23681599999999</v>
      </c>
      <c r="D3695">
        <v>3</v>
      </c>
      <c r="E3695">
        <v>0</v>
      </c>
      <c r="F3695">
        <v>-5.3484806597154551E-2</v>
      </c>
      <c r="G3695">
        <v>-0.24906146056211617</v>
      </c>
      <c r="H3695">
        <v>-0.16040656264051964</v>
      </c>
    </row>
    <row r="3696" spans="2:8">
      <c r="B3696">
        <v>3</v>
      </c>
      <c r="C3696">
        <v>53.733060071734549</v>
      </c>
      <c r="D3696">
        <v>2</v>
      </c>
      <c r="E3696">
        <v>0</v>
      </c>
      <c r="F3696">
        <v>-0.15942676517883417</v>
      </c>
      <c r="G3696">
        <v>-0.29261048762547809</v>
      </c>
      <c r="H3696">
        <v>-0.42909565665948551</v>
      </c>
    </row>
    <row r="3697" spans="2:8">
      <c r="B3697">
        <v>1</v>
      </c>
      <c r="C3697">
        <v>102</v>
      </c>
      <c r="D3697">
        <v>1</v>
      </c>
      <c r="E3697">
        <v>0</v>
      </c>
      <c r="F3697">
        <v>0.31591568883789584</v>
      </c>
    </row>
    <row r="3698" spans="2:8">
      <c r="B3698">
        <v>3</v>
      </c>
      <c r="C3698">
        <v>97.771024959999991</v>
      </c>
      <c r="D3698">
        <v>3</v>
      </c>
      <c r="E3698">
        <v>0</v>
      </c>
      <c r="F3698">
        <v>-4.7577726851584769E-2</v>
      </c>
      <c r="G3698">
        <v>5.4584616970691682E-2</v>
      </c>
      <c r="H3698">
        <v>0.15218703603765354</v>
      </c>
    </row>
    <row r="3699" spans="2:8">
      <c r="B3699">
        <v>1</v>
      </c>
      <c r="C3699">
        <v>102</v>
      </c>
      <c r="D3699">
        <v>1</v>
      </c>
      <c r="E3699">
        <v>0</v>
      </c>
      <c r="F3699">
        <v>0.19963630312174377</v>
      </c>
    </row>
    <row r="3700" spans="2:8">
      <c r="B3700">
        <v>1</v>
      </c>
      <c r="C3700">
        <v>97.960799999999992</v>
      </c>
      <c r="D3700">
        <v>1</v>
      </c>
      <c r="E3700">
        <v>0</v>
      </c>
      <c r="F3700">
        <v>0.17067856711121504</v>
      </c>
    </row>
    <row r="3701" spans="2:8">
      <c r="B3701">
        <v>3</v>
      </c>
      <c r="C3701">
        <v>92.23681599999999</v>
      </c>
      <c r="D3701">
        <v>3</v>
      </c>
      <c r="E3701">
        <v>0</v>
      </c>
      <c r="F3701">
        <v>-6.9026189947287625E-2</v>
      </c>
      <c r="G3701">
        <v>-0.28945156002742412</v>
      </c>
      <c r="H3701">
        <v>-0.22244069147138273</v>
      </c>
    </row>
    <row r="3702" spans="2:8">
      <c r="B3702">
        <v>1</v>
      </c>
      <c r="C3702">
        <v>102</v>
      </c>
      <c r="D3702">
        <v>1</v>
      </c>
      <c r="E3702">
        <v>0</v>
      </c>
      <c r="F3702">
        <v>-0.25519085113834827</v>
      </c>
      <c r="G3702">
        <v>-0.46836760752424034</v>
      </c>
      <c r="H3702">
        <v>-0.6864037762656563</v>
      </c>
    </row>
    <row r="3703" spans="2:8">
      <c r="B3703">
        <v>3</v>
      </c>
      <c r="C3703">
        <v>92.23681599999999</v>
      </c>
      <c r="D3703">
        <v>2</v>
      </c>
      <c r="E3703">
        <v>0</v>
      </c>
      <c r="F3703">
        <v>-7.7666572366796513E-2</v>
      </c>
      <c r="G3703">
        <v>-0.31373140466078897</v>
      </c>
      <c r="H3703">
        <v>-0.25777404549028493</v>
      </c>
    </row>
    <row r="3704" spans="2:8">
      <c r="B3704">
        <v>3</v>
      </c>
      <c r="C3704">
        <v>41.265579199978141</v>
      </c>
      <c r="D3704">
        <v>1</v>
      </c>
      <c r="E3704">
        <v>0</v>
      </c>
      <c r="F3704">
        <v>-0.20732407575658493</v>
      </c>
      <c r="G3704">
        <v>-0.38248452158564122</v>
      </c>
      <c r="H3704">
        <v>-0.56156045525272058</v>
      </c>
    </row>
    <row r="3705" spans="2:8">
      <c r="B3705">
        <v>3</v>
      </c>
      <c r="C3705">
        <v>92.23681599999999</v>
      </c>
      <c r="D3705">
        <v>3</v>
      </c>
      <c r="E3705">
        <v>0</v>
      </c>
      <c r="F3705">
        <v>-0.16277493382898212</v>
      </c>
      <c r="G3705">
        <v>2.5063268094243453E-2</v>
      </c>
      <c r="H3705">
        <v>-3.8055338781024612E-3</v>
      </c>
    </row>
    <row r="3706" spans="2:8">
      <c r="B3706">
        <v>1</v>
      </c>
      <c r="C3706">
        <v>102</v>
      </c>
      <c r="D3706">
        <v>1</v>
      </c>
      <c r="E3706">
        <v>0</v>
      </c>
      <c r="F3706">
        <v>5.2073994043318139E-2</v>
      </c>
    </row>
    <row r="3707" spans="2:8">
      <c r="B3707">
        <v>1</v>
      </c>
      <c r="C3707">
        <v>102</v>
      </c>
      <c r="D3707">
        <v>1</v>
      </c>
      <c r="E3707">
        <v>0</v>
      </c>
      <c r="F3707">
        <v>-0.16072840531551638</v>
      </c>
      <c r="G3707">
        <v>3.2255537768410197E-2</v>
      </c>
      <c r="H3707">
        <v>5.0284556077032508E-3</v>
      </c>
    </row>
    <row r="3708" spans="2:8">
      <c r="B3708">
        <v>3</v>
      </c>
      <c r="C3708">
        <v>92.23681599999999</v>
      </c>
      <c r="D3708">
        <v>3</v>
      </c>
      <c r="E3708">
        <v>0</v>
      </c>
      <c r="F3708">
        <v>-6.6352934819965098E-2</v>
      </c>
      <c r="G3708">
        <v>-0.11058637532502277</v>
      </c>
      <c r="H3708">
        <v>-4.0024732837787652E-2</v>
      </c>
    </row>
    <row r="3709" spans="2:8">
      <c r="B3709">
        <v>1</v>
      </c>
      <c r="C3709">
        <v>102</v>
      </c>
      <c r="D3709">
        <v>1</v>
      </c>
      <c r="E3709">
        <v>0</v>
      </c>
      <c r="F3709">
        <v>-0.11499776673831542</v>
      </c>
      <c r="G3709">
        <v>-0.45475989241362569</v>
      </c>
      <c r="H3709">
        <v>-0.44060474259454746</v>
      </c>
    </row>
    <row r="3710" spans="2:8">
      <c r="B3710">
        <v>1</v>
      </c>
      <c r="C3710">
        <v>97.960799999999992</v>
      </c>
      <c r="D3710">
        <v>1</v>
      </c>
      <c r="E3710">
        <v>0</v>
      </c>
      <c r="F3710">
        <v>3.1659293499281808E-2</v>
      </c>
    </row>
    <row r="3711" spans="2:8">
      <c r="B3711">
        <v>1</v>
      </c>
      <c r="C3711">
        <v>97.960799999999992</v>
      </c>
      <c r="D3711">
        <v>1</v>
      </c>
      <c r="E3711">
        <v>0</v>
      </c>
      <c r="F3711">
        <v>6.1685433547930893E-3</v>
      </c>
    </row>
    <row r="3712" spans="2:8">
      <c r="B3712">
        <v>3</v>
      </c>
      <c r="C3712">
        <v>24.717189134403863</v>
      </c>
      <c r="D3712">
        <v>1</v>
      </c>
      <c r="E3712">
        <v>0</v>
      </c>
      <c r="F3712">
        <v>-0.27593890413141031</v>
      </c>
      <c r="G3712">
        <v>-0.50397457702304205</v>
      </c>
      <c r="H3712">
        <v>-0.7373841986076819</v>
      </c>
    </row>
    <row r="3713" spans="2:8">
      <c r="B3713">
        <v>3</v>
      </c>
      <c r="C3713">
        <v>92.23681599999999</v>
      </c>
      <c r="D3713">
        <v>3</v>
      </c>
      <c r="E3713">
        <v>0</v>
      </c>
      <c r="F3713">
        <v>-5.1862458140318042E-2</v>
      </c>
      <c r="G3713">
        <v>-0.24503806197937764</v>
      </c>
      <c r="H3713">
        <v>-0.15397028572028859</v>
      </c>
    </row>
    <row r="3714" spans="2:8">
      <c r="B3714">
        <v>1</v>
      </c>
      <c r="C3714">
        <v>97.960799999999992</v>
      </c>
      <c r="D3714">
        <v>1</v>
      </c>
      <c r="E3714">
        <v>0</v>
      </c>
      <c r="F3714">
        <v>0.25996316906334932</v>
      </c>
    </row>
    <row r="3715" spans="2:8">
      <c r="B3715">
        <v>1</v>
      </c>
      <c r="C3715">
        <v>102</v>
      </c>
      <c r="D3715">
        <v>1</v>
      </c>
      <c r="E3715">
        <v>0</v>
      </c>
      <c r="F3715">
        <v>9.5306888245736729E-2</v>
      </c>
    </row>
    <row r="3716" spans="2:8">
      <c r="B3716">
        <v>1</v>
      </c>
      <c r="C3716">
        <v>97.960799999999992</v>
      </c>
      <c r="D3716">
        <v>1</v>
      </c>
      <c r="E3716">
        <v>0</v>
      </c>
      <c r="F3716">
        <v>5.4092648252245336E-2</v>
      </c>
    </row>
    <row r="3717" spans="2:8">
      <c r="B3717">
        <v>1</v>
      </c>
      <c r="C3717">
        <v>97.960799999999992</v>
      </c>
      <c r="D3717">
        <v>1</v>
      </c>
      <c r="E3717">
        <v>0</v>
      </c>
      <c r="F3717">
        <v>0.25323241604636132</v>
      </c>
    </row>
    <row r="3718" spans="2:8">
      <c r="B3718">
        <v>3</v>
      </c>
      <c r="C3718">
        <v>92.23681599999999</v>
      </c>
      <c r="D3718">
        <v>3</v>
      </c>
      <c r="E3718">
        <v>0</v>
      </c>
      <c r="F3718">
        <v>-0.13699870133181932</v>
      </c>
      <c r="G3718">
        <v>-0.24952052815246936</v>
      </c>
      <c r="H3718">
        <v>-0.25644080936724128</v>
      </c>
    </row>
    <row r="3719" spans="2:8">
      <c r="B3719">
        <v>1</v>
      </c>
      <c r="C3719">
        <v>102</v>
      </c>
      <c r="D3719">
        <v>1</v>
      </c>
      <c r="E3719">
        <v>0</v>
      </c>
      <c r="F3719">
        <v>-1.8965644672302991E-2</v>
      </c>
      <c r="G3719">
        <v>-0.1690464553719615</v>
      </c>
      <c r="H3719">
        <v>-1.9440498642570071E-2</v>
      </c>
    </row>
    <row r="3720" spans="2:8">
      <c r="B3720">
        <v>1</v>
      </c>
      <c r="C3720">
        <v>97.960799999999992</v>
      </c>
      <c r="D3720">
        <v>1</v>
      </c>
      <c r="E3720">
        <v>0</v>
      </c>
      <c r="F3720">
        <v>0.37191023028088194</v>
      </c>
    </row>
    <row r="3721" spans="2:8">
      <c r="B3721">
        <v>1</v>
      </c>
      <c r="C3721">
        <v>102</v>
      </c>
      <c r="D3721">
        <v>1</v>
      </c>
      <c r="E3721">
        <v>0</v>
      </c>
      <c r="F3721">
        <v>5.9507057851274768E-2</v>
      </c>
    </row>
    <row r="3722" spans="2:8">
      <c r="B3722">
        <v>1</v>
      </c>
      <c r="C3722">
        <v>97.960799999999992</v>
      </c>
      <c r="D3722">
        <v>1</v>
      </c>
      <c r="E3722">
        <v>0</v>
      </c>
      <c r="F3722">
        <v>0.1960945187869248</v>
      </c>
    </row>
    <row r="3723" spans="2:8">
      <c r="B3723">
        <v>1</v>
      </c>
      <c r="C3723">
        <v>102</v>
      </c>
      <c r="D3723">
        <v>1</v>
      </c>
      <c r="E3723">
        <v>0</v>
      </c>
      <c r="F3723">
        <v>-9.5195437485632736E-2</v>
      </c>
      <c r="G3723">
        <v>-0.36934925848267119</v>
      </c>
      <c r="H3723">
        <v>-0.33409600199297618</v>
      </c>
    </row>
    <row r="3724" spans="2:8">
      <c r="B3724">
        <v>1</v>
      </c>
      <c r="C3724">
        <v>102</v>
      </c>
      <c r="D3724">
        <v>1</v>
      </c>
      <c r="E3724">
        <v>0</v>
      </c>
      <c r="F3724">
        <v>-0.13886837575261762</v>
      </c>
      <c r="G3724">
        <v>-0.253133576053513</v>
      </c>
      <c r="H3724">
        <v>-0.26174146662739012</v>
      </c>
    </row>
    <row r="3725" spans="2:8">
      <c r="B3725">
        <v>1</v>
      </c>
      <c r="C3725">
        <v>97.960799999999992</v>
      </c>
      <c r="D3725">
        <v>1</v>
      </c>
      <c r="E3725">
        <v>0</v>
      </c>
      <c r="F3725">
        <v>0.1210223467111107</v>
      </c>
    </row>
    <row r="3726" spans="2:8">
      <c r="B3726">
        <v>1</v>
      </c>
      <c r="C3726">
        <v>97.960799999999992</v>
      </c>
      <c r="D3726">
        <v>1</v>
      </c>
      <c r="E3726">
        <v>0</v>
      </c>
      <c r="F3726">
        <v>0.14990836628833193</v>
      </c>
    </row>
    <row r="3727" spans="2:8">
      <c r="B3727">
        <v>3</v>
      </c>
      <c r="C3727">
        <v>92.23681599999999</v>
      </c>
      <c r="D3727">
        <v>3</v>
      </c>
      <c r="E3727">
        <v>0</v>
      </c>
      <c r="F3727">
        <v>-4.32893183356165E-2</v>
      </c>
      <c r="G3727">
        <v>-0.22427308832390982</v>
      </c>
      <c r="H3727">
        <v>-0.11987516285732984</v>
      </c>
    </row>
    <row r="3728" spans="2:8">
      <c r="B3728">
        <v>1</v>
      </c>
      <c r="C3728">
        <v>102</v>
      </c>
      <c r="D3728">
        <v>1</v>
      </c>
      <c r="E3728">
        <v>0</v>
      </c>
      <c r="F3728">
        <v>0.16238370716244729</v>
      </c>
    </row>
    <row r="3729" spans="2:8">
      <c r="B3729">
        <v>1</v>
      </c>
      <c r="C3729">
        <v>102</v>
      </c>
      <c r="D3729">
        <v>1</v>
      </c>
      <c r="E3729">
        <v>0</v>
      </c>
      <c r="F3729">
        <v>-0.40079765805553103</v>
      </c>
      <c r="G3729">
        <v>-0.36835630787459106</v>
      </c>
      <c r="H3729">
        <v>-0.49221316141996929</v>
      </c>
    </row>
    <row r="3730" spans="2:8">
      <c r="B3730">
        <v>1</v>
      </c>
      <c r="C3730">
        <v>102</v>
      </c>
      <c r="D3730">
        <v>1</v>
      </c>
      <c r="E3730">
        <v>0</v>
      </c>
      <c r="F3730">
        <v>-0.20475611212201042</v>
      </c>
      <c r="G3730">
        <v>-0.37775328140550812</v>
      </c>
      <c r="H3730">
        <v>-0.43669851258920023</v>
      </c>
    </row>
    <row r="3731" spans="2:8">
      <c r="B3731">
        <v>1</v>
      </c>
      <c r="C3731">
        <v>102</v>
      </c>
      <c r="D3731">
        <v>1</v>
      </c>
      <c r="E3731">
        <v>0</v>
      </c>
      <c r="F3731">
        <v>0.2436972770907406</v>
      </c>
    </row>
    <row r="3732" spans="2:8">
      <c r="B3732">
        <v>1</v>
      </c>
      <c r="C3732">
        <v>102</v>
      </c>
      <c r="D3732">
        <v>1</v>
      </c>
      <c r="E3732">
        <v>0</v>
      </c>
      <c r="F3732">
        <v>-2.1682245172402567E-2</v>
      </c>
      <c r="G3732">
        <v>0.12844151176683286</v>
      </c>
      <c r="H3732">
        <v>0.27226092509624189</v>
      </c>
    </row>
    <row r="3733" spans="2:8">
      <c r="B3733">
        <v>1</v>
      </c>
      <c r="C3733">
        <v>97.960799999999992</v>
      </c>
      <c r="D3733">
        <v>1</v>
      </c>
      <c r="E3733">
        <v>0</v>
      </c>
      <c r="F3733">
        <v>5.5394649232385171E-2</v>
      </c>
    </row>
    <row r="3734" spans="2:8">
      <c r="B3734">
        <v>1</v>
      </c>
      <c r="C3734">
        <v>97.960799999999992</v>
      </c>
      <c r="D3734">
        <v>1</v>
      </c>
      <c r="E3734">
        <v>0</v>
      </c>
      <c r="F3734">
        <v>6.0839837910115928E-2</v>
      </c>
    </row>
    <row r="3735" spans="2:8">
      <c r="B3735">
        <v>1</v>
      </c>
      <c r="C3735">
        <v>97.960799999999992</v>
      </c>
      <c r="D3735">
        <v>1</v>
      </c>
      <c r="E3735">
        <v>0</v>
      </c>
      <c r="F3735">
        <v>4.4860507110851121E-2</v>
      </c>
    </row>
    <row r="3736" spans="2:8">
      <c r="B3736">
        <v>1</v>
      </c>
      <c r="C3736">
        <v>97.960799999999992</v>
      </c>
      <c r="D3736">
        <v>1</v>
      </c>
      <c r="E3736">
        <v>0</v>
      </c>
      <c r="F3736">
        <v>9.6908361882757491E-2</v>
      </c>
    </row>
    <row r="3737" spans="2:8">
      <c r="B3737">
        <v>1</v>
      </c>
      <c r="C3737">
        <v>102</v>
      </c>
      <c r="D3737">
        <v>1</v>
      </c>
      <c r="E3737">
        <v>0</v>
      </c>
      <c r="F3737">
        <v>-0.15019700647099532</v>
      </c>
      <c r="G3737">
        <v>7.5438625273055185E-2</v>
      </c>
      <c r="H3737">
        <v>5.693053326490579E-2</v>
      </c>
    </row>
    <row r="3738" spans="2:8">
      <c r="B3738">
        <v>3</v>
      </c>
      <c r="C3738">
        <v>92.23681599999999</v>
      </c>
      <c r="D3738">
        <v>3</v>
      </c>
      <c r="E3738">
        <v>0</v>
      </c>
      <c r="F3738">
        <v>-9.2444524353554186E-2</v>
      </c>
      <c r="G3738">
        <v>-0.16241857507361901</v>
      </c>
      <c r="H3738">
        <v>-0.1240529283193261</v>
      </c>
    </row>
    <row r="3739" spans="2:8">
      <c r="B3739">
        <v>1</v>
      </c>
      <c r="C3739">
        <v>102</v>
      </c>
      <c r="D3739">
        <v>1</v>
      </c>
      <c r="E3739">
        <v>0</v>
      </c>
      <c r="F3739">
        <v>-3.6320799321834012E-2</v>
      </c>
      <c r="G3739">
        <v>-0.20794379035109309</v>
      </c>
      <c r="H3739">
        <v>-9.188136912606619E-2</v>
      </c>
    </row>
    <row r="3740" spans="2:8">
      <c r="B3740">
        <v>1</v>
      </c>
      <c r="C3740">
        <v>102</v>
      </c>
      <c r="D3740">
        <v>1</v>
      </c>
      <c r="E3740">
        <v>0</v>
      </c>
      <c r="F3740">
        <v>-0.23738176099037128</v>
      </c>
      <c r="G3740">
        <v>-0.43696875928356854</v>
      </c>
      <c r="H3740">
        <v>-0.6410236206164186</v>
      </c>
    </row>
    <row r="3741" spans="2:8">
      <c r="B3741">
        <v>1</v>
      </c>
      <c r="C3741">
        <v>102</v>
      </c>
      <c r="D3741">
        <v>1</v>
      </c>
      <c r="E3741">
        <v>0</v>
      </c>
      <c r="F3741">
        <v>-0.10414144509277833</v>
      </c>
      <c r="G3741">
        <v>-0.40321103973815398</v>
      </c>
      <c r="H3741">
        <v>-0.37776219401644229</v>
      </c>
    </row>
    <row r="3742" spans="2:8">
      <c r="B3742">
        <v>1</v>
      </c>
      <c r="C3742">
        <v>102</v>
      </c>
      <c r="D3742">
        <v>1</v>
      </c>
      <c r="E3742">
        <v>0</v>
      </c>
      <c r="F3742">
        <v>-0.11040172251206937</v>
      </c>
      <c r="G3742">
        <v>-0.19774654405175274</v>
      </c>
      <c r="H3742">
        <v>-0.17888730875661421</v>
      </c>
    </row>
    <row r="3743" spans="2:8">
      <c r="B3743">
        <v>1</v>
      </c>
      <c r="C3743">
        <v>97.960799999999992</v>
      </c>
      <c r="D3743">
        <v>1</v>
      </c>
      <c r="E3743">
        <v>0</v>
      </c>
      <c r="F3743">
        <v>1.7220067092953782E-2</v>
      </c>
    </row>
    <row r="3744" spans="2:8">
      <c r="B3744">
        <v>1</v>
      </c>
      <c r="C3744">
        <v>102</v>
      </c>
      <c r="D3744">
        <v>1</v>
      </c>
      <c r="E3744">
        <v>0</v>
      </c>
      <c r="F3744">
        <v>5.0071881662689187E-2</v>
      </c>
    </row>
    <row r="3745" spans="2:8">
      <c r="B3745">
        <v>1</v>
      </c>
      <c r="C3745">
        <v>97.960799999999992</v>
      </c>
      <c r="D3745">
        <v>1</v>
      </c>
      <c r="E3745">
        <v>0</v>
      </c>
      <c r="F3745">
        <v>7.804214027361242E-2</v>
      </c>
    </row>
    <row r="3746" spans="2:8">
      <c r="B3746">
        <v>1</v>
      </c>
      <c r="C3746">
        <v>97.960799999999992</v>
      </c>
      <c r="D3746">
        <v>1</v>
      </c>
      <c r="E3746">
        <v>0</v>
      </c>
      <c r="F3746">
        <v>1.6080636093709643E-3</v>
      </c>
    </row>
    <row r="3747" spans="2:8">
      <c r="B3747">
        <v>1</v>
      </c>
      <c r="C3747">
        <v>102</v>
      </c>
      <c r="D3747">
        <v>1</v>
      </c>
      <c r="E3747">
        <v>0</v>
      </c>
      <c r="F3747">
        <v>-0.24598696618679156</v>
      </c>
      <c r="G3747">
        <v>-0.16322217290226468</v>
      </c>
      <c r="H3747">
        <v>-0.37411666983891628</v>
      </c>
    </row>
    <row r="3748" spans="2:8">
      <c r="B3748">
        <v>1</v>
      </c>
      <c r="C3748">
        <v>102</v>
      </c>
      <c r="D3748">
        <v>1</v>
      </c>
      <c r="E3748">
        <v>0</v>
      </c>
      <c r="F3748">
        <v>-9.0773489155798151E-2</v>
      </c>
      <c r="G3748">
        <v>-4.7045775719004819E-2</v>
      </c>
      <c r="H3748">
        <v>-6.7659886374782418E-3</v>
      </c>
    </row>
    <row r="3749" spans="2:8">
      <c r="B3749">
        <v>3</v>
      </c>
      <c r="C3749">
        <v>92.23681599999999</v>
      </c>
      <c r="D3749">
        <v>3</v>
      </c>
      <c r="E3749">
        <v>0</v>
      </c>
      <c r="F3749">
        <v>-0.15413338889641931</v>
      </c>
      <c r="G3749">
        <v>5.7820246079749192E-2</v>
      </c>
      <c r="H3749">
        <v>-7.3789874326418717E-2</v>
      </c>
    </row>
    <row r="3750" spans="2:8">
      <c r="B3750">
        <v>1</v>
      </c>
      <c r="C3750">
        <v>102</v>
      </c>
      <c r="D3750">
        <v>1</v>
      </c>
      <c r="E3750">
        <v>0</v>
      </c>
      <c r="F3750">
        <v>0.22259976428443515</v>
      </c>
    </row>
    <row r="3751" spans="2:8">
      <c r="B3751">
        <v>1</v>
      </c>
      <c r="C3751">
        <v>102</v>
      </c>
      <c r="D3751">
        <v>1</v>
      </c>
      <c r="E3751">
        <v>0</v>
      </c>
      <c r="F3751">
        <v>-8.466812924325438E-3</v>
      </c>
      <c r="G3751">
        <v>-0.14655045580775322</v>
      </c>
      <c r="H3751">
        <v>2.8137195879454738E-2</v>
      </c>
    </row>
    <row r="3752" spans="2:8">
      <c r="B3752">
        <v>1</v>
      </c>
      <c r="C3752">
        <v>97.960799999999992</v>
      </c>
      <c r="D3752">
        <v>1</v>
      </c>
      <c r="E3752">
        <v>0</v>
      </c>
      <c r="F3752">
        <v>1.0777366486394163E-2</v>
      </c>
    </row>
    <row r="3753" spans="2:8">
      <c r="B3753">
        <v>3</v>
      </c>
      <c r="C3753">
        <v>44.417157086794816</v>
      </c>
      <c r="D3753">
        <v>1</v>
      </c>
      <c r="E3753">
        <v>0</v>
      </c>
      <c r="F3753">
        <v>-0.31676917392168424</v>
      </c>
      <c r="G3753">
        <v>-0.26785323482062423</v>
      </c>
      <c r="H3753">
        <v>-0.52807549270717535</v>
      </c>
    </row>
    <row r="3754" spans="2:8">
      <c r="B3754">
        <v>1</v>
      </c>
      <c r="C3754">
        <v>102</v>
      </c>
      <c r="D3754">
        <v>1</v>
      </c>
      <c r="E3754">
        <v>0</v>
      </c>
      <c r="F3754">
        <v>-1.2901086434356999E-2</v>
      </c>
      <c r="G3754">
        <v>0.15803357033244306</v>
      </c>
      <c r="H3754">
        <v>0.32152666395355012</v>
      </c>
    </row>
    <row r="3755" spans="2:8">
      <c r="B3755">
        <v>1</v>
      </c>
      <c r="C3755">
        <v>102</v>
      </c>
      <c r="D3755">
        <v>1</v>
      </c>
      <c r="E3755">
        <v>0</v>
      </c>
      <c r="F3755">
        <v>2.4945197845702281E-2</v>
      </c>
    </row>
    <row r="3756" spans="2:8">
      <c r="B3756">
        <v>1</v>
      </c>
      <c r="C3756">
        <v>97.960799999999992</v>
      </c>
      <c r="D3756">
        <v>1</v>
      </c>
      <c r="E3756">
        <v>0</v>
      </c>
      <c r="F3756">
        <v>0.21572893663764772</v>
      </c>
    </row>
    <row r="3757" spans="2:8">
      <c r="B3757">
        <v>1</v>
      </c>
      <c r="C3757">
        <v>97.960799999999992</v>
      </c>
      <c r="D3757">
        <v>1</v>
      </c>
      <c r="E3757">
        <v>0</v>
      </c>
      <c r="F3757">
        <v>0.14069640540243994</v>
      </c>
    </row>
    <row r="3758" spans="2:8">
      <c r="B3758">
        <v>1</v>
      </c>
      <c r="C3758">
        <v>102</v>
      </c>
      <c r="D3758">
        <v>1</v>
      </c>
      <c r="E3758">
        <v>0</v>
      </c>
      <c r="F3758">
        <v>-3.0370891072521441E-2</v>
      </c>
      <c r="G3758">
        <v>0.10190175271038544</v>
      </c>
      <c r="H3758">
        <v>0.22863996873699483</v>
      </c>
    </row>
    <row r="3759" spans="2:8">
      <c r="B3759">
        <v>1</v>
      </c>
      <c r="C3759">
        <v>97.960799999999992</v>
      </c>
      <c r="D3759">
        <v>1</v>
      </c>
      <c r="E3759">
        <v>0</v>
      </c>
      <c r="F3759">
        <v>9.0399178780870018E-2</v>
      </c>
    </row>
    <row r="3760" spans="2:8">
      <c r="B3760">
        <v>3</v>
      </c>
      <c r="C3760">
        <v>92.23681599999999</v>
      </c>
      <c r="D3760">
        <v>3</v>
      </c>
      <c r="E3760">
        <v>0</v>
      </c>
      <c r="F3760">
        <v>-0.13514046789229953</v>
      </c>
      <c r="G3760">
        <v>-0.1373352646320605</v>
      </c>
      <c r="H3760">
        <v>-0.14256282788501912</v>
      </c>
    </row>
    <row r="3761" spans="2:8">
      <c r="B3761">
        <v>1</v>
      </c>
      <c r="C3761">
        <v>102</v>
      </c>
      <c r="D3761">
        <v>1</v>
      </c>
      <c r="E3761">
        <v>0</v>
      </c>
      <c r="F3761">
        <v>-0.13395602383296626</v>
      </c>
      <c r="G3761">
        <v>0.21225688154653743</v>
      </c>
      <c r="H3761">
        <v>0.20811636113478338</v>
      </c>
    </row>
    <row r="3762" spans="2:8">
      <c r="B3762">
        <v>1</v>
      </c>
      <c r="C3762">
        <v>97.960799999999992</v>
      </c>
      <c r="D3762">
        <v>1</v>
      </c>
      <c r="E3762">
        <v>0</v>
      </c>
      <c r="F3762">
        <v>9.9438967845525278E-2</v>
      </c>
    </row>
    <row r="3763" spans="2:8">
      <c r="B3763">
        <v>1</v>
      </c>
      <c r="C3763">
        <v>102</v>
      </c>
      <c r="D3763">
        <v>1</v>
      </c>
      <c r="E3763">
        <v>0</v>
      </c>
      <c r="F3763">
        <v>0.34408836989993191</v>
      </c>
    </row>
    <row r="3764" spans="2:8">
      <c r="B3764">
        <v>3</v>
      </c>
      <c r="C3764">
        <v>92.23681599999999</v>
      </c>
      <c r="D3764">
        <v>1</v>
      </c>
      <c r="E3764">
        <v>0</v>
      </c>
      <c r="F3764">
        <v>-0.16826799846938834</v>
      </c>
      <c r="G3764">
        <v>-0.30943644700482953</v>
      </c>
      <c r="H3764">
        <v>-0.34262870725524924</v>
      </c>
    </row>
    <row r="3765" spans="2:8">
      <c r="B3765">
        <v>1</v>
      </c>
      <c r="C3765">
        <v>97.960799999999992</v>
      </c>
      <c r="D3765">
        <v>1</v>
      </c>
      <c r="E3765">
        <v>0</v>
      </c>
      <c r="F3765">
        <v>6.8571063312504191E-2</v>
      </c>
    </row>
    <row r="3766" spans="2:8">
      <c r="B3766">
        <v>3</v>
      </c>
      <c r="C3766">
        <v>92.23681599999999</v>
      </c>
      <c r="D3766">
        <v>2</v>
      </c>
      <c r="E3766">
        <v>0</v>
      </c>
      <c r="F3766">
        <v>-0.21604494591184498</v>
      </c>
      <c r="G3766">
        <v>-0.27904723295380801</v>
      </c>
      <c r="H3766">
        <v>-0.34495122979212278</v>
      </c>
    </row>
    <row r="3767" spans="2:8">
      <c r="B3767">
        <v>1</v>
      </c>
      <c r="C3767">
        <v>102</v>
      </c>
      <c r="D3767">
        <v>1</v>
      </c>
      <c r="E3767">
        <v>0</v>
      </c>
      <c r="F3767">
        <v>5.7441758036362131E-2</v>
      </c>
    </row>
    <row r="3768" spans="2:8">
      <c r="B3768">
        <v>1</v>
      </c>
      <c r="C3768">
        <v>102</v>
      </c>
      <c r="D3768">
        <v>1</v>
      </c>
      <c r="E3768">
        <v>0</v>
      </c>
      <c r="F3768">
        <v>-0.17747713611908347</v>
      </c>
      <c r="G3768">
        <v>-0.21474525472140926</v>
      </c>
      <c r="H3768">
        <v>-0.25491833164044819</v>
      </c>
    </row>
    <row r="3769" spans="2:8">
      <c r="B3769">
        <v>1</v>
      </c>
      <c r="C3769">
        <v>102</v>
      </c>
      <c r="D3769">
        <v>1</v>
      </c>
      <c r="E3769">
        <v>0</v>
      </c>
      <c r="F3769">
        <v>-2.7680045721754667E-2</v>
      </c>
      <c r="G3769">
        <v>-0.18828724198183022</v>
      </c>
      <c r="H3769">
        <v>-5.6467103176255813E-2</v>
      </c>
    </row>
    <row r="3770" spans="2:8">
      <c r="B3770">
        <v>3</v>
      </c>
      <c r="C3770">
        <v>19.147165978246527</v>
      </c>
      <c r="D3770">
        <v>0</v>
      </c>
      <c r="E3770">
        <v>0</v>
      </c>
      <c r="F3770">
        <v>-0.30131800956946581</v>
      </c>
      <c r="G3770">
        <v>-0.54590243737130528</v>
      </c>
      <c r="H3770">
        <v>-0.79656471816328089</v>
      </c>
    </row>
    <row r="3771" spans="2:8">
      <c r="B3771">
        <v>3</v>
      </c>
      <c r="C3771">
        <v>92.23681599999999</v>
      </c>
      <c r="D3771">
        <v>3</v>
      </c>
      <c r="E3771">
        <v>0</v>
      </c>
      <c r="F3771">
        <v>-2.6036398532135061E-2</v>
      </c>
      <c r="G3771">
        <v>-0.18461561259361858</v>
      </c>
      <c r="H3771">
        <v>-4.9604235385582361E-2</v>
      </c>
    </row>
    <row r="3772" spans="2:8">
      <c r="B3772">
        <v>1</v>
      </c>
      <c r="C3772">
        <v>97.960799999999992</v>
      </c>
      <c r="D3772">
        <v>1</v>
      </c>
      <c r="E3772">
        <v>0</v>
      </c>
      <c r="F3772">
        <v>7.214862445423717E-2</v>
      </c>
    </row>
    <row r="3773" spans="2:8">
      <c r="B3773">
        <v>1</v>
      </c>
      <c r="C3773">
        <v>102</v>
      </c>
      <c r="D3773">
        <v>1</v>
      </c>
      <c r="E3773">
        <v>0</v>
      </c>
      <c r="F3773">
        <v>1.5439479863785192E-2</v>
      </c>
    </row>
    <row r="3774" spans="2:8">
      <c r="B3774">
        <v>3</v>
      </c>
      <c r="C3774">
        <v>2.7301007492613909</v>
      </c>
      <c r="D3774">
        <v>0</v>
      </c>
      <c r="E3774">
        <v>0</v>
      </c>
      <c r="F3774">
        <v>-0.39047071733762212</v>
      </c>
      <c r="G3774">
        <v>-0.6763759769280685</v>
      </c>
      <c r="H3774">
        <v>-0.97099315815198817</v>
      </c>
    </row>
    <row r="3775" spans="2:8">
      <c r="B3775">
        <v>1</v>
      </c>
      <c r="C3775">
        <v>97.960799999999992</v>
      </c>
      <c r="D3775">
        <v>1</v>
      </c>
      <c r="E3775">
        <v>0</v>
      </c>
      <c r="F3775">
        <v>2.8616022516593197E-2</v>
      </c>
    </row>
    <row r="3776" spans="2:8">
      <c r="B3776">
        <v>3</v>
      </c>
      <c r="C3776">
        <v>92.23681599999999</v>
      </c>
      <c r="D3776">
        <v>1</v>
      </c>
      <c r="E3776">
        <v>0</v>
      </c>
      <c r="F3776">
        <v>-0.23120336012869763</v>
      </c>
      <c r="G3776">
        <v>-0.30281016232850227</v>
      </c>
      <c r="H3776">
        <v>-0.37733439379545719</v>
      </c>
    </row>
    <row r="3777" spans="2:8">
      <c r="B3777">
        <v>1</v>
      </c>
      <c r="C3777">
        <v>97.960799999999992</v>
      </c>
      <c r="D3777">
        <v>1</v>
      </c>
      <c r="E3777">
        <v>0</v>
      </c>
      <c r="F3777">
        <v>9.2835917233642457E-2</v>
      </c>
    </row>
    <row r="3778" spans="2:8">
      <c r="B3778">
        <v>1</v>
      </c>
      <c r="C3778">
        <v>102</v>
      </c>
      <c r="D3778">
        <v>1</v>
      </c>
      <c r="E3778">
        <v>0</v>
      </c>
      <c r="F3778">
        <v>-0.3650080532723663</v>
      </c>
      <c r="G3778">
        <v>-0.48102396736522768</v>
      </c>
      <c r="H3778">
        <v>-0.60018180283495426</v>
      </c>
    </row>
    <row r="3779" spans="2:8">
      <c r="B3779">
        <v>1</v>
      </c>
      <c r="C3779">
        <v>102</v>
      </c>
      <c r="D3779">
        <v>1</v>
      </c>
      <c r="E3779">
        <v>0</v>
      </c>
      <c r="F3779">
        <v>-0.22632729781177899</v>
      </c>
      <c r="G3779">
        <v>-0.12836330634552862</v>
      </c>
      <c r="H3779">
        <v>-0.20020408999667638</v>
      </c>
    </row>
    <row r="3780" spans="2:8">
      <c r="B3780">
        <v>3</v>
      </c>
      <c r="C3780">
        <v>33.892031766926394</v>
      </c>
      <c r="D3780">
        <v>1</v>
      </c>
      <c r="E3780">
        <v>0</v>
      </c>
      <c r="F3780">
        <v>-0.2960296398249449</v>
      </c>
      <c r="G3780">
        <v>-0.53732461406884924</v>
      </c>
      <c r="H3780">
        <v>-0.6399031040751898</v>
      </c>
    </row>
    <row r="3781" spans="2:8">
      <c r="B3781">
        <v>3</v>
      </c>
      <c r="C3781">
        <v>97.771024959999991</v>
      </c>
      <c r="D3781">
        <v>3</v>
      </c>
      <c r="E3781">
        <v>0</v>
      </c>
      <c r="F3781">
        <v>-0.14196149330310062</v>
      </c>
      <c r="G3781">
        <v>0.12272287159972238</v>
      </c>
      <c r="H3781">
        <v>0.11135688291685393</v>
      </c>
    </row>
    <row r="3782" spans="2:8">
      <c r="B3782">
        <v>3</v>
      </c>
      <c r="C3782">
        <v>97.771024959999991</v>
      </c>
      <c r="D3782">
        <v>3</v>
      </c>
      <c r="E3782">
        <v>0</v>
      </c>
      <c r="F3782">
        <v>-5.6948517610637467E-3</v>
      </c>
      <c r="G3782">
        <v>1.2273775379045535E-2</v>
      </c>
      <c r="H3782">
        <v>0.1945186493740324</v>
      </c>
    </row>
    <row r="3783" spans="2:8">
      <c r="B3783">
        <v>1</v>
      </c>
      <c r="C3783">
        <v>102</v>
      </c>
      <c r="D3783">
        <v>1</v>
      </c>
      <c r="E3783">
        <v>0</v>
      </c>
      <c r="F3783">
        <v>0.15224676114186689</v>
      </c>
    </row>
    <row r="3784" spans="2:8">
      <c r="B3784">
        <v>1</v>
      </c>
      <c r="C3784">
        <v>102</v>
      </c>
      <c r="D3784">
        <v>1</v>
      </c>
      <c r="E3784">
        <v>0</v>
      </c>
      <c r="F3784">
        <v>-0.32091376199285182</v>
      </c>
      <c r="G3784">
        <v>-0.42776373807494178</v>
      </c>
      <c r="H3784">
        <v>-0.53768829897761994</v>
      </c>
    </row>
    <row r="3785" spans="2:8">
      <c r="B3785">
        <v>3</v>
      </c>
      <c r="C3785">
        <v>92.23681599999999</v>
      </c>
      <c r="D3785">
        <v>2</v>
      </c>
      <c r="E3785">
        <v>0</v>
      </c>
      <c r="F3785">
        <v>-0.2832116211995751</v>
      </c>
      <c r="G3785">
        <v>-0.22149577891521605</v>
      </c>
      <c r="H3785">
        <v>-0.31959611575907476</v>
      </c>
    </row>
    <row r="3786" spans="2:8">
      <c r="B3786">
        <v>3</v>
      </c>
      <c r="C3786">
        <v>92.23681599999999</v>
      </c>
      <c r="D3786">
        <v>2</v>
      </c>
      <c r="E3786">
        <v>0</v>
      </c>
      <c r="F3786">
        <v>-0.1574086579987363</v>
      </c>
      <c r="G3786">
        <v>-0.28875650517216261</v>
      </c>
      <c r="H3786">
        <v>-0.31328437454121649</v>
      </c>
    </row>
    <row r="3787" spans="2:8">
      <c r="B3787">
        <v>1</v>
      </c>
      <c r="C3787">
        <v>102</v>
      </c>
      <c r="D3787">
        <v>1</v>
      </c>
      <c r="E3787">
        <v>0</v>
      </c>
      <c r="F3787">
        <v>3.6623113914169093E-2</v>
      </c>
    </row>
    <row r="3788" spans="2:8">
      <c r="B3788">
        <v>3</v>
      </c>
      <c r="C3788">
        <v>97.771024959999991</v>
      </c>
      <c r="D3788">
        <v>3</v>
      </c>
      <c r="E3788">
        <v>0</v>
      </c>
      <c r="F3788">
        <v>-7.3861390808314872E-3</v>
      </c>
      <c r="G3788">
        <v>8.7982923863418674E-3</v>
      </c>
      <c r="H3788">
        <v>2.1821136616347846E-2</v>
      </c>
    </row>
    <row r="3789" spans="2:8">
      <c r="B3789">
        <v>1</v>
      </c>
      <c r="C3789">
        <v>102</v>
      </c>
      <c r="D3789">
        <v>1</v>
      </c>
      <c r="E3789">
        <v>0</v>
      </c>
      <c r="F3789">
        <v>-0.20062601443367617</v>
      </c>
      <c r="G3789">
        <v>-7.6471321064654874E-2</v>
      </c>
      <c r="H3789">
        <v>-0.24977693525731093</v>
      </c>
    </row>
    <row r="3790" spans="2:8">
      <c r="B3790">
        <v>3</v>
      </c>
      <c r="C3790">
        <v>92.23681599999999</v>
      </c>
      <c r="D3790">
        <v>1</v>
      </c>
      <c r="E3790">
        <v>0</v>
      </c>
      <c r="F3790">
        <v>-0.17968797904061218</v>
      </c>
      <c r="G3790">
        <v>-0.3310224133523062</v>
      </c>
      <c r="H3790">
        <v>-0.37282219216982898</v>
      </c>
    </row>
    <row r="3791" spans="2:8">
      <c r="B3791">
        <v>1</v>
      </c>
      <c r="C3791">
        <v>97.960799999999992</v>
      </c>
      <c r="D3791">
        <v>1</v>
      </c>
      <c r="E3791">
        <v>0</v>
      </c>
      <c r="F3791">
        <v>0.10631187706250048</v>
      </c>
    </row>
    <row r="3792" spans="2:8">
      <c r="B3792">
        <v>1</v>
      </c>
      <c r="C3792">
        <v>102</v>
      </c>
      <c r="D3792">
        <v>1</v>
      </c>
      <c r="E3792">
        <v>0</v>
      </c>
      <c r="F3792">
        <v>0.23001935467251722</v>
      </c>
    </row>
    <row r="3793" spans="2:8">
      <c r="B3793">
        <v>3</v>
      </c>
      <c r="C3793">
        <v>47.029246976190741</v>
      </c>
      <c r="D3793">
        <v>1</v>
      </c>
      <c r="E3793">
        <v>0</v>
      </c>
      <c r="F3793">
        <v>-0.12256205352154111</v>
      </c>
      <c r="G3793">
        <v>-0.50696999085341587</v>
      </c>
      <c r="H3793">
        <v>-0.50032249555679664</v>
      </c>
    </row>
    <row r="3794" spans="2:8">
      <c r="B3794">
        <v>3</v>
      </c>
      <c r="C3794">
        <v>92.23681599999999</v>
      </c>
      <c r="D3794">
        <v>3</v>
      </c>
      <c r="E3794">
        <v>0</v>
      </c>
      <c r="F3794">
        <v>-5.7769511810387822E-2</v>
      </c>
      <c r="G3794">
        <v>-9.3406895997608777E-2</v>
      </c>
      <c r="H3794">
        <v>-1.0974292780410448E-2</v>
      </c>
    </row>
    <row r="3795" spans="2:8">
      <c r="B3795">
        <v>3</v>
      </c>
      <c r="C3795">
        <v>97.771024959999991</v>
      </c>
      <c r="D3795">
        <v>3</v>
      </c>
      <c r="E3795">
        <v>0</v>
      </c>
      <c r="F3795">
        <v>-0.14386333982062974</v>
      </c>
      <c r="G3795">
        <v>0.109971801863987</v>
      </c>
      <c r="H3795">
        <v>9.6930658960048877E-2</v>
      </c>
    </row>
    <row r="3796" spans="2:8">
      <c r="B3796">
        <v>1</v>
      </c>
      <c r="C3796">
        <v>97.960799999999992</v>
      </c>
      <c r="D3796">
        <v>1</v>
      </c>
      <c r="E3796">
        <v>0</v>
      </c>
      <c r="F3796">
        <v>0.14634192484980285</v>
      </c>
    </row>
    <row r="3797" spans="2:8">
      <c r="B3797">
        <v>1</v>
      </c>
      <c r="C3797">
        <v>102</v>
      </c>
      <c r="D3797">
        <v>1</v>
      </c>
      <c r="E3797">
        <v>0</v>
      </c>
      <c r="F3797">
        <v>8.2626705838348635E-2</v>
      </c>
    </row>
    <row r="3798" spans="2:8">
      <c r="B3798">
        <v>1</v>
      </c>
      <c r="C3798">
        <v>102</v>
      </c>
      <c r="D3798">
        <v>1</v>
      </c>
      <c r="E3798">
        <v>0</v>
      </c>
      <c r="F3798">
        <v>8.885564187485169E-2</v>
      </c>
    </row>
    <row r="3799" spans="2:8">
      <c r="B3799">
        <v>1</v>
      </c>
      <c r="C3799">
        <v>102</v>
      </c>
      <c r="D3799">
        <v>1</v>
      </c>
      <c r="E3799">
        <v>0</v>
      </c>
      <c r="F3799">
        <v>7.0744444715467369E-2</v>
      </c>
    </row>
    <row r="3800" spans="2:8">
      <c r="B3800">
        <v>1</v>
      </c>
      <c r="C3800">
        <v>97.960799999999992</v>
      </c>
      <c r="D3800">
        <v>1</v>
      </c>
      <c r="E3800">
        <v>0</v>
      </c>
      <c r="F3800">
        <v>0.13208445987089124</v>
      </c>
    </row>
    <row r="3801" spans="2:8">
      <c r="B3801">
        <v>1</v>
      </c>
      <c r="C3801">
        <v>102</v>
      </c>
      <c r="D3801">
        <v>1</v>
      </c>
      <c r="E3801">
        <v>0</v>
      </c>
      <c r="F3801">
        <v>-1.7304994717696934E-2</v>
      </c>
      <c r="G3801">
        <v>-0.165440520846767</v>
      </c>
      <c r="H3801">
        <v>-1.2173487245824101E-2</v>
      </c>
    </row>
    <row r="3802" spans="2:8">
      <c r="B3802">
        <v>1</v>
      </c>
      <c r="C3802">
        <v>102</v>
      </c>
      <c r="D3802">
        <v>1</v>
      </c>
      <c r="E3802">
        <v>0</v>
      </c>
      <c r="F3802">
        <v>3.9750645740014266E-2</v>
      </c>
    </row>
    <row r="3803" spans="2:8">
      <c r="B3803">
        <v>1</v>
      </c>
      <c r="C3803">
        <v>97.960799999999992</v>
      </c>
      <c r="D3803">
        <v>1</v>
      </c>
      <c r="E3803">
        <v>0</v>
      </c>
      <c r="F3803">
        <v>0.1181257872327036</v>
      </c>
    </row>
    <row r="3804" spans="2:8">
      <c r="B3804">
        <v>3</v>
      </c>
      <c r="C3804">
        <v>92.23681599999999</v>
      </c>
      <c r="D3804">
        <v>2</v>
      </c>
      <c r="E3804">
        <v>0</v>
      </c>
      <c r="F3804">
        <v>-0.20222673208463188</v>
      </c>
      <c r="G3804">
        <v>-0.25665421772433411</v>
      </c>
      <c r="H3804">
        <v>-0.31397616469490924</v>
      </c>
    </row>
    <row r="3805" spans="2:8">
      <c r="B3805">
        <v>1</v>
      </c>
      <c r="C3805">
        <v>97.960799999999992</v>
      </c>
      <c r="D3805">
        <v>1</v>
      </c>
      <c r="E3805">
        <v>0</v>
      </c>
      <c r="F3805">
        <v>2.6775380901269553E-2</v>
      </c>
    </row>
    <row r="3806" spans="2:8">
      <c r="B3806">
        <v>1</v>
      </c>
      <c r="C3806">
        <v>97.960799999999992</v>
      </c>
      <c r="D3806">
        <v>1</v>
      </c>
      <c r="E3806">
        <v>0</v>
      </c>
      <c r="F3806">
        <v>2.0160186503921162E-2</v>
      </c>
    </row>
    <row r="3807" spans="2:8">
      <c r="B3807">
        <v>1</v>
      </c>
      <c r="C3807">
        <v>97.960799999999992</v>
      </c>
      <c r="D3807">
        <v>1</v>
      </c>
      <c r="E3807">
        <v>0</v>
      </c>
      <c r="F3807">
        <v>0.29596204975409662</v>
      </c>
    </row>
    <row r="3808" spans="2:8">
      <c r="B3808">
        <v>1</v>
      </c>
      <c r="C3808">
        <v>102</v>
      </c>
      <c r="D3808">
        <v>1</v>
      </c>
      <c r="E3808">
        <v>0</v>
      </c>
      <c r="F3808">
        <v>7.6596421611685839E-2</v>
      </c>
    </row>
    <row r="3809" spans="2:8">
      <c r="B3809">
        <v>1</v>
      </c>
      <c r="C3809">
        <v>102</v>
      </c>
      <c r="D3809">
        <v>1</v>
      </c>
      <c r="E3809">
        <v>0</v>
      </c>
      <c r="F3809">
        <v>0.10899256706834888</v>
      </c>
    </row>
    <row r="3810" spans="2:8">
      <c r="B3810">
        <v>1</v>
      </c>
      <c r="C3810">
        <v>97.960799999999992</v>
      </c>
      <c r="D3810">
        <v>1</v>
      </c>
      <c r="E3810">
        <v>0</v>
      </c>
      <c r="F3810">
        <v>2.3778219835990197E-2</v>
      </c>
    </row>
    <row r="3811" spans="2:8">
      <c r="B3811">
        <v>1</v>
      </c>
      <c r="C3811">
        <v>102</v>
      </c>
      <c r="D3811">
        <v>1</v>
      </c>
      <c r="E3811">
        <v>0</v>
      </c>
      <c r="F3811">
        <v>-0.20899009897295465</v>
      </c>
      <c r="G3811">
        <v>-9.4328461330895827E-2</v>
      </c>
      <c r="H3811">
        <v>-0.15593822846877131</v>
      </c>
    </row>
    <row r="3812" spans="2:8">
      <c r="B3812">
        <v>1</v>
      </c>
      <c r="C3812">
        <v>97.960799999999992</v>
      </c>
      <c r="D3812">
        <v>1</v>
      </c>
      <c r="E3812">
        <v>0</v>
      </c>
      <c r="F3812">
        <v>4.1674445445074024E-2</v>
      </c>
    </row>
    <row r="3813" spans="2:8">
      <c r="B3813">
        <v>3</v>
      </c>
      <c r="C3813">
        <v>32.882976894316627</v>
      </c>
      <c r="D3813">
        <v>1</v>
      </c>
      <c r="E3813">
        <v>0</v>
      </c>
      <c r="F3813">
        <v>-0.1302858787600478</v>
      </c>
      <c r="G3813">
        <v>-0.64989248061332461</v>
      </c>
      <c r="H3813">
        <v>-0.65062413519965501</v>
      </c>
    </row>
    <row r="3814" spans="2:8">
      <c r="B3814">
        <v>1</v>
      </c>
      <c r="C3814">
        <v>102</v>
      </c>
      <c r="D3814">
        <v>1</v>
      </c>
      <c r="E3814">
        <v>0</v>
      </c>
      <c r="F3814">
        <v>-0.14894878565348127</v>
      </c>
      <c r="G3814">
        <v>-0.27254924658494567</v>
      </c>
      <c r="H3814">
        <v>-0.39935650866061756</v>
      </c>
    </row>
    <row r="3815" spans="2:8">
      <c r="B3815">
        <v>1</v>
      </c>
      <c r="C3815">
        <v>97.960799999999992</v>
      </c>
      <c r="D3815">
        <v>1</v>
      </c>
      <c r="E3815">
        <v>0</v>
      </c>
      <c r="F3815">
        <v>0.17796059151914795</v>
      </c>
    </row>
    <row r="3816" spans="2:8">
      <c r="B3816">
        <v>1</v>
      </c>
      <c r="C3816">
        <v>97.960799999999992</v>
      </c>
      <c r="D3816">
        <v>1</v>
      </c>
      <c r="E3816">
        <v>0</v>
      </c>
      <c r="F3816">
        <v>3.3529346454055114E-2</v>
      </c>
    </row>
    <row r="3817" spans="2:8">
      <c r="B3817">
        <v>3</v>
      </c>
      <c r="C3817">
        <v>92.23681599999999</v>
      </c>
      <c r="D3817">
        <v>3</v>
      </c>
      <c r="E3817">
        <v>0</v>
      </c>
      <c r="F3817">
        <v>-0.2575270398073195</v>
      </c>
      <c r="G3817">
        <v>-0.18223297253005702</v>
      </c>
      <c r="H3817">
        <v>-0.26981567667196232</v>
      </c>
    </row>
    <row r="3818" spans="2:8">
      <c r="B3818">
        <v>1</v>
      </c>
      <c r="C3818">
        <v>102</v>
      </c>
      <c r="D3818">
        <v>1</v>
      </c>
      <c r="E3818">
        <v>0</v>
      </c>
      <c r="F3818">
        <v>0.1664575119862047</v>
      </c>
    </row>
    <row r="3819" spans="2:8">
      <c r="B3819">
        <v>1</v>
      </c>
      <c r="C3819">
        <v>97.960799999999992</v>
      </c>
      <c r="D3819">
        <v>1</v>
      </c>
      <c r="E3819">
        <v>0</v>
      </c>
      <c r="F3819">
        <v>4.8797868636337192E-2</v>
      </c>
    </row>
    <row r="3820" spans="2:8">
      <c r="B3820">
        <v>1</v>
      </c>
      <c r="C3820">
        <v>102</v>
      </c>
      <c r="D3820">
        <v>1</v>
      </c>
      <c r="E3820">
        <v>0</v>
      </c>
      <c r="F3820">
        <v>-0.47555204127181083</v>
      </c>
      <c r="G3820">
        <v>-0.60094669654015886</v>
      </c>
      <c r="H3820">
        <v>-0.72956477000774356</v>
      </c>
    </row>
    <row r="3821" spans="2:8">
      <c r="B3821">
        <v>1</v>
      </c>
      <c r="C3821">
        <v>102</v>
      </c>
      <c r="D3821">
        <v>1</v>
      </c>
      <c r="E3821">
        <v>0</v>
      </c>
      <c r="F3821">
        <v>-0.18564628031188402</v>
      </c>
      <c r="G3821">
        <v>-4.1331960703795863E-2</v>
      </c>
      <c r="H3821">
        <v>-8.7422146016586183E-2</v>
      </c>
    </row>
    <row r="3822" spans="2:8">
      <c r="B3822">
        <v>1</v>
      </c>
      <c r="C3822">
        <v>97.960799999999992</v>
      </c>
      <c r="D3822">
        <v>1</v>
      </c>
      <c r="E3822">
        <v>0</v>
      </c>
      <c r="F3822">
        <v>0.12895914804865674</v>
      </c>
    </row>
    <row r="3823" spans="2:8">
      <c r="B3823">
        <v>1</v>
      </c>
      <c r="C3823">
        <v>102</v>
      </c>
      <c r="D3823">
        <v>1</v>
      </c>
      <c r="E3823">
        <v>0</v>
      </c>
      <c r="F3823">
        <v>0.12397698982162034</v>
      </c>
    </row>
    <row r="3824" spans="2:8">
      <c r="B3824">
        <v>3</v>
      </c>
      <c r="C3824">
        <v>97.771024959999991</v>
      </c>
      <c r="D3824">
        <v>3</v>
      </c>
      <c r="E3824">
        <v>0</v>
      </c>
      <c r="F3824">
        <v>-3.99829573998506E-3</v>
      </c>
      <c r="G3824">
        <v>0.1924201031557278</v>
      </c>
      <c r="H3824">
        <v>0.37954146102069375</v>
      </c>
    </row>
    <row r="3825" spans="2:8">
      <c r="B3825">
        <v>3</v>
      </c>
      <c r="C3825">
        <v>92.23681599999999</v>
      </c>
      <c r="D3825">
        <v>1</v>
      </c>
      <c r="E3825">
        <v>0</v>
      </c>
      <c r="F3825">
        <v>-2.9087088522486799E-3</v>
      </c>
      <c r="G3825">
        <v>-0.32774431932526815</v>
      </c>
      <c r="H3825">
        <v>-0.31003173903573206</v>
      </c>
    </row>
    <row r="3826" spans="2:8">
      <c r="B3826">
        <v>1</v>
      </c>
      <c r="C3826">
        <v>102</v>
      </c>
      <c r="D3826">
        <v>1</v>
      </c>
      <c r="E3826">
        <v>0</v>
      </c>
      <c r="F3826">
        <v>-0.22160737685384335</v>
      </c>
      <c r="G3826">
        <v>-0.40858958498107839</v>
      </c>
      <c r="H3826">
        <v>-0.59973287844256862</v>
      </c>
    </row>
    <row r="3827" spans="2:8">
      <c r="B3827">
        <v>3</v>
      </c>
      <c r="C3827">
        <v>97.771024959999991</v>
      </c>
      <c r="D3827">
        <v>3</v>
      </c>
      <c r="E3827">
        <v>0</v>
      </c>
      <c r="F3827">
        <v>-0.13211572787627082</v>
      </c>
      <c r="G3827">
        <v>0.26893255643106773</v>
      </c>
      <c r="H3827">
        <v>0.26649361704037317</v>
      </c>
    </row>
    <row r="3828" spans="2:8">
      <c r="B3828">
        <v>1</v>
      </c>
      <c r="C3828">
        <v>102</v>
      </c>
      <c r="D3828">
        <v>1</v>
      </c>
      <c r="E3828">
        <v>0</v>
      </c>
      <c r="F3828">
        <v>-3.20079674432978E-2</v>
      </c>
      <c r="G3828">
        <v>-4.1453327228901993E-2</v>
      </c>
      <c r="H3828">
        <v>8.2274022576047462E-2</v>
      </c>
    </row>
    <row r="3829" spans="2:8">
      <c r="B3829">
        <v>1</v>
      </c>
      <c r="C3829">
        <v>102</v>
      </c>
      <c r="D3829">
        <v>1</v>
      </c>
      <c r="E3829">
        <v>0</v>
      </c>
      <c r="F3829">
        <v>-0.26511846563458474</v>
      </c>
      <c r="G3829">
        <v>-0.19424398883065672</v>
      </c>
      <c r="H3829">
        <v>-0.41976741706971094</v>
      </c>
    </row>
    <row r="3830" spans="2:8">
      <c r="B3830">
        <v>3</v>
      </c>
      <c r="C3830">
        <v>97.771024959999991</v>
      </c>
      <c r="D3830">
        <v>3</v>
      </c>
      <c r="E3830">
        <v>0</v>
      </c>
      <c r="F3830">
        <v>-6.4725354651026135E-2</v>
      </c>
      <c r="G3830">
        <v>1.2004913394948866E-2</v>
      </c>
      <c r="H3830">
        <v>8.4760995742037784E-2</v>
      </c>
    </row>
    <row r="3831" spans="2:8">
      <c r="B3831">
        <v>1</v>
      </c>
      <c r="C3831">
        <v>102</v>
      </c>
      <c r="D3831">
        <v>1</v>
      </c>
      <c r="E3831">
        <v>0</v>
      </c>
      <c r="F3831">
        <v>-0.28788930037219734</v>
      </c>
      <c r="G3831">
        <v>-0.22825877014052887</v>
      </c>
      <c r="H3831">
        <v>-0.4700199282744551</v>
      </c>
    </row>
    <row r="3832" spans="2:8">
      <c r="B3832">
        <v>3</v>
      </c>
      <c r="C3832">
        <v>97.771024959999991</v>
      </c>
      <c r="D3832">
        <v>3</v>
      </c>
      <c r="E3832">
        <v>0</v>
      </c>
      <c r="F3832">
        <v>-3.8994137508050745E-2</v>
      </c>
      <c r="G3832">
        <v>7.7474049572444095E-2</v>
      </c>
      <c r="H3832">
        <v>0.18896338843853003</v>
      </c>
    </row>
    <row r="3833" spans="2:8">
      <c r="B3833">
        <v>1</v>
      </c>
      <c r="C3833">
        <v>97.960799999999992</v>
      </c>
      <c r="D3833">
        <v>1</v>
      </c>
      <c r="E3833">
        <v>0</v>
      </c>
      <c r="F3833">
        <v>0.13412396734918372</v>
      </c>
    </row>
    <row r="3834" spans="2:8">
      <c r="B3834">
        <v>3</v>
      </c>
      <c r="C3834">
        <v>55.376425722897224</v>
      </c>
      <c r="D3834">
        <v>1</v>
      </c>
      <c r="E3834">
        <v>0</v>
      </c>
      <c r="F3834">
        <v>-0.24816046582275159</v>
      </c>
      <c r="G3834">
        <v>-0.32842685369806085</v>
      </c>
      <c r="H3834">
        <v>-0.41163518471366922</v>
      </c>
    </row>
    <row r="3835" spans="2:8">
      <c r="B3835">
        <v>1</v>
      </c>
      <c r="C3835">
        <v>97.960799999999992</v>
      </c>
      <c r="D3835">
        <v>1</v>
      </c>
      <c r="E3835">
        <v>0</v>
      </c>
      <c r="F3835">
        <v>0.13737009605374281</v>
      </c>
    </row>
    <row r="3836" spans="2:8">
      <c r="B3836">
        <v>1</v>
      </c>
      <c r="C3836">
        <v>102</v>
      </c>
      <c r="D3836">
        <v>1</v>
      </c>
      <c r="E3836">
        <v>0</v>
      </c>
      <c r="F3836">
        <v>0.10200821647124035</v>
      </c>
    </row>
    <row r="3837" spans="2:8">
      <c r="B3837">
        <v>1</v>
      </c>
      <c r="C3837">
        <v>97.960799999999992</v>
      </c>
      <c r="D3837">
        <v>1</v>
      </c>
      <c r="E3837">
        <v>0</v>
      </c>
      <c r="F3837">
        <v>3.8525374985332955E-2</v>
      </c>
    </row>
    <row r="3838" spans="2:8">
      <c r="B3838">
        <v>1</v>
      </c>
      <c r="C3838">
        <v>102</v>
      </c>
      <c r="D3838">
        <v>1</v>
      </c>
      <c r="E3838">
        <v>0</v>
      </c>
      <c r="F3838">
        <v>-0.29099448524271099</v>
      </c>
      <c r="G3838">
        <v>-0.38885299646985616</v>
      </c>
      <c r="H3838">
        <v>-0.48973115453519622</v>
      </c>
    </row>
    <row r="3839" spans="2:8">
      <c r="B3839">
        <v>3</v>
      </c>
      <c r="C3839">
        <v>45.587128575278001</v>
      </c>
      <c r="D3839">
        <v>0</v>
      </c>
      <c r="E3839">
        <v>0</v>
      </c>
      <c r="F3839">
        <v>-0.42057040690809111</v>
      </c>
      <c r="G3839">
        <v>-0.38999240666190671</v>
      </c>
      <c r="H3839">
        <v>-0.51564475074928384</v>
      </c>
    </row>
    <row r="3840" spans="2:8">
      <c r="B3840">
        <v>3</v>
      </c>
      <c r="C3840">
        <v>97.771024959999991</v>
      </c>
      <c r="D3840">
        <v>3</v>
      </c>
      <c r="E3840">
        <v>0</v>
      </c>
      <c r="F3840">
        <v>-7.3338856271742678E-2</v>
      </c>
      <c r="G3840">
        <v>-8.1591361288112611E-3</v>
      </c>
      <c r="H3840">
        <v>5.3256884711814778E-2</v>
      </c>
    </row>
    <row r="3841" spans="2:8">
      <c r="B3841">
        <v>1</v>
      </c>
      <c r="C3841">
        <v>102</v>
      </c>
      <c r="D3841">
        <v>1</v>
      </c>
      <c r="E3841">
        <v>0</v>
      </c>
      <c r="F3841">
        <v>-0.22928000057527848</v>
      </c>
      <c r="G3841">
        <v>-0.1338249778139681</v>
      </c>
      <c r="H3841">
        <v>-0.33130618057767292</v>
      </c>
    </row>
    <row r="3842" spans="2:8">
      <c r="B3842">
        <v>1</v>
      </c>
      <c r="C3842">
        <v>102</v>
      </c>
      <c r="D3842">
        <v>1</v>
      </c>
      <c r="E3842">
        <v>0</v>
      </c>
      <c r="F3842">
        <v>-0.1178791075028648</v>
      </c>
      <c r="G3842">
        <v>-0.10347034659344491</v>
      </c>
      <c r="H3842">
        <v>-9.2208700178756223E-2</v>
      </c>
    </row>
    <row r="3843" spans="2:8">
      <c r="B3843">
        <v>3</v>
      </c>
      <c r="C3843">
        <v>92.23681599999999</v>
      </c>
      <c r="D3843">
        <v>3</v>
      </c>
      <c r="E3843">
        <v>0</v>
      </c>
      <c r="F3843">
        <v>-7.0657876205709486E-2</v>
      </c>
      <c r="G3843">
        <v>-0.29391997129655362</v>
      </c>
      <c r="H3843">
        <v>-0.2290448122212761</v>
      </c>
    </row>
    <row r="3844" spans="2:8">
      <c r="B3844">
        <v>1</v>
      </c>
      <c r="C3844">
        <v>102</v>
      </c>
      <c r="D3844">
        <v>1</v>
      </c>
      <c r="E3844">
        <v>0</v>
      </c>
      <c r="F3844">
        <v>-0.10134647216097635</v>
      </c>
      <c r="G3844">
        <v>-0.17996768940853397</v>
      </c>
      <c r="H3844">
        <v>-0.151506155294582</v>
      </c>
    </row>
    <row r="3845" spans="2:8">
      <c r="B3845">
        <v>3</v>
      </c>
      <c r="C3845">
        <v>97.771024959999991</v>
      </c>
      <c r="D3845">
        <v>3</v>
      </c>
      <c r="E3845">
        <v>0</v>
      </c>
      <c r="F3845">
        <v>-1.0149932272945384E-2</v>
      </c>
      <c r="G3845">
        <v>-0.15011008023491637</v>
      </c>
      <c r="H3845">
        <v>2.02091642707087E-2</v>
      </c>
    </row>
    <row r="3846" spans="2:8">
      <c r="B3846">
        <v>1</v>
      </c>
      <c r="C3846">
        <v>102</v>
      </c>
      <c r="D3846">
        <v>1</v>
      </c>
      <c r="E3846">
        <v>0</v>
      </c>
      <c r="F3846">
        <v>0.18575447083811589</v>
      </c>
    </row>
    <row r="3847" spans="2:8">
      <c r="B3847">
        <v>1</v>
      </c>
      <c r="C3847">
        <v>97.960799999999992</v>
      </c>
      <c r="D3847">
        <v>1</v>
      </c>
      <c r="E3847">
        <v>0</v>
      </c>
      <c r="F3847">
        <v>0.21157526082599606</v>
      </c>
    </row>
    <row r="3848" spans="2:8">
      <c r="B3848">
        <v>1</v>
      </c>
      <c r="C3848">
        <v>102</v>
      </c>
      <c r="D3848">
        <v>1</v>
      </c>
      <c r="E3848">
        <v>0</v>
      </c>
      <c r="F3848">
        <v>-0.1086737117021091</v>
      </c>
      <c r="G3848">
        <v>-8.4787264039808075E-2</v>
      </c>
      <c r="H3848">
        <v>-6.413049267209342E-2</v>
      </c>
    </row>
    <row r="3849" spans="2:8">
      <c r="B3849">
        <v>3</v>
      </c>
      <c r="C3849">
        <v>92.23681599999999</v>
      </c>
      <c r="D3849">
        <v>1</v>
      </c>
      <c r="E3849">
        <v>0</v>
      </c>
      <c r="F3849">
        <v>-9.6878400864912284E-2</v>
      </c>
      <c r="G3849">
        <v>-0.37533995562159905</v>
      </c>
      <c r="H3849">
        <v>-0.34196759855576442</v>
      </c>
    </row>
    <row r="3850" spans="2:8">
      <c r="B3850">
        <v>3</v>
      </c>
      <c r="C3850">
        <v>97.771024959999991</v>
      </c>
      <c r="D3850">
        <v>3</v>
      </c>
      <c r="E3850">
        <v>0</v>
      </c>
      <c r="F3850">
        <v>-2.3333736316943299E-2</v>
      </c>
      <c r="G3850">
        <v>-2.3820412376250353E-2</v>
      </c>
      <c r="H3850">
        <v>0.11659434295145309</v>
      </c>
    </row>
    <row r="3851" spans="2:8">
      <c r="B3851">
        <v>3</v>
      </c>
      <c r="C3851">
        <v>37.495034116837878</v>
      </c>
      <c r="D3851">
        <v>0</v>
      </c>
      <c r="E3851">
        <v>0</v>
      </c>
      <c r="F3851">
        <v>-0.35830496605797985</v>
      </c>
      <c r="G3851">
        <v>-0.31966600249334359</v>
      </c>
      <c r="H3851">
        <v>-0.60162183574830763</v>
      </c>
    </row>
    <row r="3852" spans="2:8">
      <c r="B3852">
        <v>1</v>
      </c>
      <c r="C3852">
        <v>97.960799999999992</v>
      </c>
      <c r="D3852">
        <v>1</v>
      </c>
      <c r="E3852">
        <v>0</v>
      </c>
      <c r="F3852">
        <v>1.430337144362435E-2</v>
      </c>
    </row>
    <row r="3853" spans="2:8">
      <c r="B3853">
        <v>1</v>
      </c>
      <c r="C3853">
        <v>102</v>
      </c>
      <c r="D3853">
        <v>1</v>
      </c>
      <c r="E3853">
        <v>0</v>
      </c>
      <c r="F3853">
        <v>-0.17175026728751508</v>
      </c>
      <c r="G3853">
        <v>-3.5430066743962585E-3</v>
      </c>
      <c r="H3853">
        <v>-3.9414030982593558E-2</v>
      </c>
    </row>
    <row r="3854" spans="2:8">
      <c r="B3854">
        <v>1</v>
      </c>
      <c r="C3854">
        <v>102</v>
      </c>
      <c r="D3854">
        <v>1</v>
      </c>
      <c r="E3854">
        <v>0</v>
      </c>
      <c r="F3854">
        <v>-4.062176095261491E-2</v>
      </c>
      <c r="G3854">
        <v>-5.889211569112849E-2</v>
      </c>
      <c r="H3854">
        <v>4.9874314958540326E-2</v>
      </c>
    </row>
    <row r="3855" spans="2:8">
      <c r="B3855">
        <v>1</v>
      </c>
      <c r="C3855">
        <v>102</v>
      </c>
      <c r="D3855">
        <v>1</v>
      </c>
      <c r="E3855">
        <v>0</v>
      </c>
      <c r="F3855">
        <v>-0.21430471726348232</v>
      </c>
      <c r="G3855">
        <v>-0.10515121802890015</v>
      </c>
      <c r="H3855">
        <v>-0.29016673166891666</v>
      </c>
    </row>
    <row r="3856" spans="2:8">
      <c r="B3856">
        <v>3</v>
      </c>
      <c r="C3856">
        <v>92.23681599999999</v>
      </c>
      <c r="D3856">
        <v>3</v>
      </c>
      <c r="E3856">
        <v>0</v>
      </c>
      <c r="F3856">
        <v>-0.14701169839043007</v>
      </c>
      <c r="G3856">
        <v>-0.26882683674423502</v>
      </c>
      <c r="H3856">
        <v>-0.28460684250686452</v>
      </c>
    </row>
    <row r="3857" spans="2:8">
      <c r="B3857">
        <v>1</v>
      </c>
      <c r="C3857">
        <v>97.960799999999992</v>
      </c>
      <c r="D3857">
        <v>1</v>
      </c>
      <c r="E3857">
        <v>0</v>
      </c>
      <c r="F3857">
        <v>7.9080040533488546E-3</v>
      </c>
    </row>
    <row r="3858" spans="2:8">
      <c r="B3858">
        <v>1</v>
      </c>
      <c r="C3858">
        <v>97.960799999999992</v>
      </c>
      <c r="D3858">
        <v>1</v>
      </c>
      <c r="E3858">
        <v>0</v>
      </c>
      <c r="F3858">
        <v>8.4118629740236303E-2</v>
      </c>
    </row>
    <row r="3859" spans="2:8">
      <c r="B3859">
        <v>3</v>
      </c>
      <c r="C3859">
        <v>92.23681599999999</v>
      </c>
      <c r="D3859">
        <v>1</v>
      </c>
      <c r="E3859">
        <v>0</v>
      </c>
      <c r="F3859">
        <v>-1.1828356043252188E-2</v>
      </c>
      <c r="G3859">
        <v>-0.38343050580226073</v>
      </c>
      <c r="H3859">
        <v>-0.3750415928096818</v>
      </c>
    </row>
    <row r="3860" spans="2:8">
      <c r="B3860">
        <v>3</v>
      </c>
      <c r="C3860">
        <v>47.804815435985624</v>
      </c>
      <c r="D3860">
        <v>1</v>
      </c>
      <c r="E3860">
        <v>0</v>
      </c>
      <c r="F3860">
        <v>-0.18192333816466619</v>
      </c>
      <c r="G3860">
        <v>-0.33522711906091479</v>
      </c>
      <c r="H3860">
        <v>-0.49208221663607821</v>
      </c>
    </row>
    <row r="3861" spans="2:8">
      <c r="B3861">
        <v>1</v>
      </c>
      <c r="C3861">
        <v>102</v>
      </c>
      <c r="D3861">
        <v>1</v>
      </c>
      <c r="E3861">
        <v>0</v>
      </c>
      <c r="F3861">
        <v>-0.24266334775399878</v>
      </c>
      <c r="G3861">
        <v>-0.15756243142819648</v>
      </c>
      <c r="H3861">
        <v>-0.2380646566953992</v>
      </c>
    </row>
    <row r="3862" spans="2:8">
      <c r="B3862">
        <v>3</v>
      </c>
      <c r="C3862">
        <v>46.348689490152637</v>
      </c>
      <c r="D3862">
        <v>1</v>
      </c>
      <c r="E3862">
        <v>0</v>
      </c>
      <c r="F3862">
        <v>-0.23425871941480922</v>
      </c>
      <c r="G3862">
        <v>-0.43139039136059093</v>
      </c>
      <c r="H3862">
        <v>-0.5075532995376858</v>
      </c>
    </row>
    <row r="3863" spans="2:8">
      <c r="B3863">
        <v>3</v>
      </c>
      <c r="C3863">
        <v>92.23681599999999</v>
      </c>
      <c r="D3863">
        <v>3</v>
      </c>
      <c r="E3863">
        <v>0</v>
      </c>
      <c r="F3863">
        <v>-0.26126406488434734</v>
      </c>
      <c r="G3863">
        <v>-0.18819178869864306</v>
      </c>
      <c r="H3863">
        <v>-0.27743776547843668</v>
      </c>
    </row>
    <row r="3864" spans="2:8">
      <c r="B3864">
        <v>1</v>
      </c>
      <c r="C3864">
        <v>102</v>
      </c>
      <c r="D3864">
        <v>1</v>
      </c>
      <c r="E3864">
        <v>0</v>
      </c>
      <c r="F3864">
        <v>-0.19179492110393961</v>
      </c>
      <c r="G3864">
        <v>-0.35371027187225201</v>
      </c>
      <c r="H3864">
        <v>-0.40408611532384331</v>
      </c>
    </row>
    <row r="3865" spans="2:8">
      <c r="B3865">
        <v>1</v>
      </c>
      <c r="C3865">
        <v>97.960799999999992</v>
      </c>
      <c r="D3865">
        <v>1</v>
      </c>
      <c r="E3865">
        <v>0</v>
      </c>
      <c r="F3865">
        <v>0.15598745653275836</v>
      </c>
    </row>
    <row r="3866" spans="2:8">
      <c r="B3866">
        <v>1</v>
      </c>
      <c r="C3866">
        <v>97.960799999999992</v>
      </c>
      <c r="D3866">
        <v>1</v>
      </c>
      <c r="E3866">
        <v>0</v>
      </c>
      <c r="F3866">
        <v>6.50531308763065E-2</v>
      </c>
    </row>
    <row r="3867" spans="2:8">
      <c r="B3867">
        <v>1</v>
      </c>
      <c r="C3867">
        <v>97.960799999999992</v>
      </c>
      <c r="D3867">
        <v>1</v>
      </c>
      <c r="E3867">
        <v>0</v>
      </c>
      <c r="F3867">
        <v>0.15984583373417527</v>
      </c>
    </row>
    <row r="3868" spans="2:8">
      <c r="B3868">
        <v>3</v>
      </c>
      <c r="C3868">
        <v>97.771024959999991</v>
      </c>
      <c r="D3868">
        <v>3</v>
      </c>
      <c r="E3868">
        <v>0</v>
      </c>
      <c r="F3868">
        <v>-5.6146588766291652E-2</v>
      </c>
      <c r="G3868">
        <v>3.285187555875433E-2</v>
      </c>
      <c r="H3868">
        <v>0.11761644286767148</v>
      </c>
    </row>
    <row r="3869" spans="2:8">
      <c r="B3869">
        <v>3</v>
      </c>
      <c r="C3869">
        <v>25.540541417759698</v>
      </c>
      <c r="D3869">
        <v>0</v>
      </c>
      <c r="E3869">
        <v>0</v>
      </c>
      <c r="F3869">
        <v>-0.44835662484470518</v>
      </c>
      <c r="G3869">
        <v>-0.41963074735878086</v>
      </c>
      <c r="H3869">
        <v>-0.7286362249385917</v>
      </c>
    </row>
    <row r="3870" spans="2:8">
      <c r="B3870">
        <v>1</v>
      </c>
      <c r="C3870">
        <v>97.960799999999992</v>
      </c>
      <c r="D3870">
        <v>1</v>
      </c>
      <c r="E3870">
        <v>0</v>
      </c>
      <c r="F3870">
        <v>4.3611986928924332E-2</v>
      </c>
    </row>
    <row r="3871" spans="2:8">
      <c r="B3871">
        <v>1</v>
      </c>
      <c r="C3871">
        <v>102</v>
      </c>
      <c r="D3871">
        <v>1</v>
      </c>
      <c r="E3871">
        <v>0</v>
      </c>
      <c r="F3871">
        <v>-0.34024609423249491</v>
      </c>
      <c r="G3871">
        <v>-0.29776160053635076</v>
      </c>
      <c r="H3871">
        <v>-0.41227706159613564</v>
      </c>
    </row>
    <row r="3872" spans="2:8">
      <c r="B3872">
        <v>3</v>
      </c>
      <c r="C3872">
        <v>42.635442069821927</v>
      </c>
      <c r="D3872">
        <v>1</v>
      </c>
      <c r="E3872">
        <v>0</v>
      </c>
      <c r="F3872">
        <v>-0.2516276495711931</v>
      </c>
      <c r="G3872">
        <v>-0.4621438098893576</v>
      </c>
      <c r="H3872">
        <v>-0.5470059024107522</v>
      </c>
    </row>
    <row r="3873" spans="2:8">
      <c r="B3873">
        <v>1</v>
      </c>
      <c r="C3873">
        <v>102</v>
      </c>
      <c r="D3873">
        <v>1</v>
      </c>
      <c r="E3873">
        <v>0</v>
      </c>
      <c r="F3873">
        <v>-0.21162548925599717</v>
      </c>
      <c r="G3873">
        <v>-9.9742303117905329E-2</v>
      </c>
      <c r="H3873">
        <v>-0.16297741664966323</v>
      </c>
    </row>
    <row r="3874" spans="2:8">
      <c r="B3874">
        <v>1</v>
      </c>
      <c r="C3874">
        <v>102</v>
      </c>
      <c r="D3874">
        <v>1</v>
      </c>
      <c r="E3874">
        <v>0</v>
      </c>
      <c r="F3874">
        <v>-0.66448480624003148</v>
      </c>
      <c r="G3874">
        <v>-0.97265559987872274</v>
      </c>
      <c r="H3874">
        <v>-1.1030942617295509</v>
      </c>
    </row>
    <row r="3875" spans="2:8">
      <c r="B3875">
        <v>3</v>
      </c>
      <c r="C3875">
        <v>92.23681599999999</v>
      </c>
      <c r="D3875">
        <v>3</v>
      </c>
      <c r="E3875">
        <v>0</v>
      </c>
      <c r="F3875">
        <v>-6.0433192274432605E-2</v>
      </c>
      <c r="G3875">
        <v>-0.26667658546020856</v>
      </c>
      <c r="H3875">
        <v>-0.18800877720886877</v>
      </c>
    </row>
    <row r="3876" spans="2:8">
      <c r="B3876">
        <v>3</v>
      </c>
      <c r="C3876">
        <v>12.306664281555541</v>
      </c>
      <c r="D3876">
        <v>0</v>
      </c>
      <c r="E3876">
        <v>0</v>
      </c>
      <c r="F3876">
        <v>-0.33516846242236648</v>
      </c>
      <c r="G3876">
        <v>-0.59865719639265802</v>
      </c>
      <c r="H3876">
        <v>-0.86924384948495592</v>
      </c>
    </row>
    <row r="3877" spans="2:8">
      <c r="B3877">
        <v>1</v>
      </c>
      <c r="C3877">
        <v>102</v>
      </c>
      <c r="D3877">
        <v>1</v>
      </c>
      <c r="E3877">
        <v>0</v>
      </c>
      <c r="F3877">
        <v>5.0854162664031434E-4</v>
      </c>
    </row>
    <row r="3878" spans="2:8">
      <c r="B3878">
        <v>3</v>
      </c>
      <c r="C3878">
        <v>92.23681599999999</v>
      </c>
      <c r="D3878">
        <v>3</v>
      </c>
      <c r="E3878">
        <v>0</v>
      </c>
      <c r="F3878">
        <v>-0.12550169555602436</v>
      </c>
      <c r="G3878">
        <v>-0.11860524983723061</v>
      </c>
      <c r="H3878">
        <v>-0.11479957613111463</v>
      </c>
    </row>
    <row r="3879" spans="2:8">
      <c r="B3879">
        <v>3</v>
      </c>
      <c r="C3879">
        <v>92.23681599999999</v>
      </c>
      <c r="D3879">
        <v>3</v>
      </c>
      <c r="E3879">
        <v>0</v>
      </c>
      <c r="F3879">
        <v>-0.16483963186691819</v>
      </c>
      <c r="G3879">
        <v>1.8090246578891973E-2</v>
      </c>
      <c r="H3879">
        <v>-0.12334903601375123</v>
      </c>
    </row>
    <row r="3880" spans="2:8">
      <c r="B3880">
        <v>1</v>
      </c>
      <c r="C3880">
        <v>102</v>
      </c>
      <c r="D3880">
        <v>1</v>
      </c>
      <c r="E3880">
        <v>0</v>
      </c>
      <c r="F3880">
        <v>-0.37671644330297338</v>
      </c>
      <c r="G3880">
        <v>-0.65802562524365305</v>
      </c>
      <c r="H3880">
        <v>-0.77895607144664414</v>
      </c>
    </row>
    <row r="3881" spans="2:8">
      <c r="B3881">
        <v>3</v>
      </c>
      <c r="C3881">
        <v>92.23681599999999</v>
      </c>
      <c r="D3881">
        <v>2</v>
      </c>
      <c r="E3881">
        <v>0</v>
      </c>
      <c r="F3881">
        <v>-8.6380437418958567E-2</v>
      </c>
      <c r="G3881">
        <v>-0.34006631765205347</v>
      </c>
      <c r="H3881">
        <v>-0.29466650013132817</v>
      </c>
    </row>
    <row r="3882" spans="2:8">
      <c r="B3882">
        <v>3</v>
      </c>
      <c r="C3882">
        <v>50.831052269548081</v>
      </c>
      <c r="D3882">
        <v>1</v>
      </c>
      <c r="E3882">
        <v>0</v>
      </c>
      <c r="F3882">
        <v>-0.1703840050133727</v>
      </c>
      <c r="G3882">
        <v>-0.31344899828729816</v>
      </c>
      <c r="H3882">
        <v>-0.4599289808078682</v>
      </c>
    </row>
    <row r="3883" spans="2:8">
      <c r="B3883">
        <v>3</v>
      </c>
      <c r="C3883">
        <v>92.23681599999999</v>
      </c>
      <c r="D3883">
        <v>1</v>
      </c>
      <c r="E3883">
        <v>0</v>
      </c>
      <c r="F3883">
        <v>-0.31063260354278066</v>
      </c>
      <c r="G3883">
        <v>-0.2597238968065903</v>
      </c>
      <c r="H3883">
        <v>-0.36681996450216381</v>
      </c>
    </row>
    <row r="3884" spans="2:8">
      <c r="B3884">
        <v>1</v>
      </c>
      <c r="C3884">
        <v>102</v>
      </c>
      <c r="D3884">
        <v>1</v>
      </c>
      <c r="E3884">
        <v>0</v>
      </c>
      <c r="F3884">
        <v>-0.12730563506062711</v>
      </c>
      <c r="G3884">
        <v>-0.12214459165517465</v>
      </c>
      <c r="H3884">
        <v>-0.12006240275762428</v>
      </c>
    </row>
    <row r="3885" spans="2:8">
      <c r="B3885">
        <v>1</v>
      </c>
      <c r="C3885">
        <v>102</v>
      </c>
      <c r="D3885">
        <v>1</v>
      </c>
      <c r="E3885">
        <v>0</v>
      </c>
      <c r="F3885">
        <v>-4.4914011088370905E-2</v>
      </c>
      <c r="G3885">
        <v>-0.22814783926164864</v>
      </c>
      <c r="H3885">
        <v>-0.1263562194448212</v>
      </c>
    </row>
    <row r="3886" spans="2:8">
      <c r="B3886">
        <v>3</v>
      </c>
      <c r="C3886">
        <v>44.62774012441259</v>
      </c>
      <c r="D3886">
        <v>1</v>
      </c>
      <c r="E3886">
        <v>0</v>
      </c>
      <c r="F3886">
        <v>-0.19417766415689794</v>
      </c>
      <c r="G3886">
        <v>-0.35815002020636377</v>
      </c>
      <c r="H3886">
        <v>-0.52583808484971617</v>
      </c>
    </row>
    <row r="3887" spans="2:8">
      <c r="B3887">
        <v>1</v>
      </c>
      <c r="C3887">
        <v>102</v>
      </c>
      <c r="D3887">
        <v>1</v>
      </c>
      <c r="E3887">
        <v>0</v>
      </c>
      <c r="F3887">
        <v>-0.19815618049154585</v>
      </c>
      <c r="G3887">
        <v>-7.0981558804181361E-2</v>
      </c>
      <c r="H3887">
        <v>-0.12564139326497484</v>
      </c>
    </row>
    <row r="3888" spans="2:8">
      <c r="B3888">
        <v>1</v>
      </c>
      <c r="C3888">
        <v>102</v>
      </c>
      <c r="D3888">
        <v>1</v>
      </c>
      <c r="E3888">
        <v>0</v>
      </c>
      <c r="F3888">
        <v>0.19079739417973771</v>
      </c>
    </row>
    <row r="3889" spans="2:8">
      <c r="B3889">
        <v>1</v>
      </c>
      <c r="C3889">
        <v>97.960799999999992</v>
      </c>
      <c r="D3889">
        <v>1</v>
      </c>
      <c r="E3889">
        <v>0</v>
      </c>
      <c r="F3889">
        <v>1.9009356341582097E-2</v>
      </c>
    </row>
    <row r="3890" spans="2:8">
      <c r="B3890">
        <v>1</v>
      </c>
      <c r="C3890">
        <v>102</v>
      </c>
      <c r="D3890">
        <v>1</v>
      </c>
      <c r="E3890">
        <v>0</v>
      </c>
      <c r="F3890">
        <v>-0.18944263375564557</v>
      </c>
      <c r="G3890">
        <v>-0.23530028029208294</v>
      </c>
      <c r="H3890">
        <v>-0.2840534637603061</v>
      </c>
    </row>
    <row r="3891" spans="2:8">
      <c r="B3891">
        <v>3</v>
      </c>
      <c r="C3891">
        <v>97.771024959999991</v>
      </c>
      <c r="D3891">
        <v>3</v>
      </c>
      <c r="E3891">
        <v>0</v>
      </c>
      <c r="F3891">
        <v>-1.2030200246069874E-3</v>
      </c>
      <c r="G3891">
        <v>-0.13138034504278429</v>
      </c>
      <c r="H3891">
        <v>6.426023068140102E-2</v>
      </c>
    </row>
    <row r="3892" spans="2:8">
      <c r="B3892">
        <v>1</v>
      </c>
      <c r="C3892">
        <v>102</v>
      </c>
      <c r="D3892">
        <v>1</v>
      </c>
      <c r="E3892">
        <v>0</v>
      </c>
      <c r="F3892">
        <v>0.12590165257912472</v>
      </c>
    </row>
    <row r="3893" spans="2:8">
      <c r="B3893">
        <v>3</v>
      </c>
      <c r="C3893">
        <v>92.23681599999999</v>
      </c>
      <c r="D3893">
        <v>3</v>
      </c>
      <c r="E3893">
        <v>0</v>
      </c>
      <c r="F3893">
        <v>-0.22343257204054223</v>
      </c>
      <c r="G3893">
        <v>-0.12292200594535042</v>
      </c>
      <c r="H3893">
        <v>-0.19312976654023042</v>
      </c>
    </row>
    <row r="3894" spans="2:8">
      <c r="B3894">
        <v>1</v>
      </c>
      <c r="C3894">
        <v>102</v>
      </c>
      <c r="D3894">
        <v>1</v>
      </c>
      <c r="E3894">
        <v>0</v>
      </c>
      <c r="F3894">
        <v>7.4360249153554589E-2</v>
      </c>
    </row>
    <row r="3895" spans="2:8">
      <c r="B3895">
        <v>3</v>
      </c>
      <c r="C3895">
        <v>92.23681599999999</v>
      </c>
      <c r="D3895">
        <v>3</v>
      </c>
      <c r="E3895">
        <v>0</v>
      </c>
      <c r="F3895">
        <v>-0.23941973794908739</v>
      </c>
      <c r="G3895">
        <v>-0.15195294569895806</v>
      </c>
      <c r="H3895">
        <v>-0.23080959352553643</v>
      </c>
    </row>
    <row r="3896" spans="2:8">
      <c r="B3896">
        <v>1</v>
      </c>
      <c r="C3896">
        <v>97.960799999999992</v>
      </c>
      <c r="D3896">
        <v>1</v>
      </c>
      <c r="E3896">
        <v>0</v>
      </c>
      <c r="F3896">
        <v>0.11349148295053101</v>
      </c>
    </row>
    <row r="3897" spans="2:8">
      <c r="B3897">
        <v>1</v>
      </c>
      <c r="C3897">
        <v>97.960799999999992</v>
      </c>
      <c r="D3897">
        <v>1</v>
      </c>
      <c r="E3897">
        <v>0</v>
      </c>
      <c r="F3897">
        <v>0.18264475242482919</v>
      </c>
    </row>
    <row r="3898" spans="2:8">
      <c r="B3898">
        <v>1</v>
      </c>
      <c r="C3898">
        <v>102</v>
      </c>
      <c r="D3898">
        <v>1</v>
      </c>
      <c r="E3898">
        <v>0</v>
      </c>
      <c r="F3898">
        <v>-8.2012634999681741E-2</v>
      </c>
      <c r="G3898">
        <v>-2.7799343325363695E-2</v>
      </c>
      <c r="H3898">
        <v>2.2823001148648749E-2</v>
      </c>
    </row>
    <row r="3899" spans="2:8">
      <c r="B3899">
        <v>3</v>
      </c>
      <c r="C3899">
        <v>92.23681599999999</v>
      </c>
      <c r="D3899">
        <v>3</v>
      </c>
      <c r="E3899">
        <v>0</v>
      </c>
      <c r="F3899">
        <v>-0.18795130983830294</v>
      </c>
      <c r="G3899">
        <v>-4.7054345338954418E-2</v>
      </c>
      <c r="H3899">
        <v>-0.2092631640505225</v>
      </c>
    </row>
    <row r="3900" spans="2:8">
      <c r="B3900">
        <v>1</v>
      </c>
      <c r="C3900">
        <v>102</v>
      </c>
      <c r="D3900">
        <v>1</v>
      </c>
      <c r="E3900">
        <v>0</v>
      </c>
      <c r="F3900">
        <v>-0.21880106674314168</v>
      </c>
      <c r="G3900">
        <v>-0.4034898057578305</v>
      </c>
      <c r="H3900">
        <v>-0.47102238978655075</v>
      </c>
    </row>
    <row r="3901" spans="2:8">
      <c r="B3901">
        <v>3</v>
      </c>
      <c r="C3901">
        <v>54.16402309333607</v>
      </c>
      <c r="D3901">
        <v>0</v>
      </c>
      <c r="E3901">
        <v>0</v>
      </c>
      <c r="F3901">
        <v>-0.34880449656678242</v>
      </c>
      <c r="G3901">
        <v>-0.30824950183720423</v>
      </c>
      <c r="H3901">
        <v>-0.42451675010692747</v>
      </c>
    </row>
    <row r="3902" spans="2:8">
      <c r="B3902">
        <v>1</v>
      </c>
      <c r="C3902">
        <v>102</v>
      </c>
      <c r="D3902">
        <v>1</v>
      </c>
      <c r="E3902">
        <v>0</v>
      </c>
      <c r="F3902">
        <v>-9.96500909120034E-2</v>
      </c>
      <c r="G3902">
        <v>-6.600910742888362E-2</v>
      </c>
      <c r="H3902">
        <v>-3.5697027001321012E-2</v>
      </c>
    </row>
    <row r="3903" spans="2:8">
      <c r="B3903">
        <v>1</v>
      </c>
      <c r="C3903">
        <v>102</v>
      </c>
      <c r="D3903">
        <v>1</v>
      </c>
      <c r="E3903">
        <v>0</v>
      </c>
      <c r="F3903">
        <v>-0.12435105506008598</v>
      </c>
      <c r="G3903">
        <v>-0.52412669893774111</v>
      </c>
      <c r="H3903">
        <v>-0.51921361917860853</v>
      </c>
    </row>
    <row r="3904" spans="2:8">
      <c r="B3904">
        <v>1</v>
      </c>
      <c r="C3904">
        <v>102</v>
      </c>
      <c r="D3904">
        <v>1</v>
      </c>
      <c r="E3904">
        <v>0</v>
      </c>
      <c r="F3904">
        <v>6.2936460869486455E-2</v>
      </c>
    </row>
    <row r="3905" spans="2:8">
      <c r="B3905">
        <v>1</v>
      </c>
      <c r="C3905">
        <v>102</v>
      </c>
      <c r="D3905">
        <v>1</v>
      </c>
      <c r="E3905">
        <v>0</v>
      </c>
      <c r="F3905">
        <v>-0.19572052934647219</v>
      </c>
      <c r="G3905">
        <v>-6.5460501388355144E-2</v>
      </c>
      <c r="H3905">
        <v>-0.1184979456075215</v>
      </c>
    </row>
    <row r="3906" spans="2:8">
      <c r="B3906">
        <v>1</v>
      </c>
      <c r="C3906">
        <v>97.960799999999992</v>
      </c>
      <c r="D3906">
        <v>1</v>
      </c>
      <c r="E3906">
        <v>0</v>
      </c>
      <c r="F3906">
        <v>1.2536408577792181E-2</v>
      </c>
    </row>
    <row r="3907" spans="2:8">
      <c r="B3907">
        <v>1</v>
      </c>
      <c r="C3907">
        <v>97.960799999999992</v>
      </c>
      <c r="D3907">
        <v>1</v>
      </c>
      <c r="E3907">
        <v>0</v>
      </c>
      <c r="F3907">
        <v>6.6419831414419525E-2</v>
      </c>
    </row>
    <row r="3908" spans="2:8">
      <c r="B3908">
        <v>1</v>
      </c>
      <c r="C3908">
        <v>102</v>
      </c>
      <c r="D3908">
        <v>1</v>
      </c>
      <c r="E3908">
        <v>0</v>
      </c>
      <c r="F3908">
        <v>2.9800694321447784E-2</v>
      </c>
    </row>
    <row r="3909" spans="2:8">
      <c r="B3909">
        <v>1</v>
      </c>
      <c r="C3909">
        <v>102</v>
      </c>
      <c r="D3909">
        <v>1</v>
      </c>
      <c r="E3909">
        <v>0</v>
      </c>
      <c r="F3909">
        <v>0.17346618371472586</v>
      </c>
    </row>
    <row r="3910" spans="2:8">
      <c r="B3910">
        <v>1</v>
      </c>
      <c r="C3910">
        <v>102</v>
      </c>
      <c r="D3910">
        <v>1</v>
      </c>
      <c r="E3910">
        <v>0</v>
      </c>
      <c r="F3910">
        <v>0.28556189877286436</v>
      </c>
    </row>
    <row r="3911" spans="2:8">
      <c r="B3911">
        <v>3</v>
      </c>
      <c r="C3911">
        <v>97.771024959999991</v>
      </c>
      <c r="D3911">
        <v>3</v>
      </c>
      <c r="E3911">
        <v>0</v>
      </c>
      <c r="F3911">
        <v>-0.1521576725346892</v>
      </c>
      <c r="G3911">
        <v>6.6389132137512075E-2</v>
      </c>
      <c r="H3911">
        <v>4.6223035815938507E-2</v>
      </c>
    </row>
    <row r="3912" spans="2:8">
      <c r="B3912">
        <v>1</v>
      </c>
      <c r="C3912">
        <v>97.960799999999992</v>
      </c>
      <c r="D3912">
        <v>1</v>
      </c>
      <c r="E3912">
        <v>0</v>
      </c>
      <c r="F3912">
        <v>2.1964430726436366E-2</v>
      </c>
    </row>
    <row r="3913" spans="2:8">
      <c r="B3913">
        <v>1</v>
      </c>
      <c r="C3913">
        <v>102</v>
      </c>
      <c r="D3913">
        <v>1</v>
      </c>
      <c r="E3913">
        <v>0</v>
      </c>
      <c r="F3913">
        <v>3.4733396027591998E-2</v>
      </c>
    </row>
    <row r="3914" spans="2:8">
      <c r="B3914">
        <v>1</v>
      </c>
      <c r="C3914">
        <v>102</v>
      </c>
      <c r="D3914">
        <v>1</v>
      </c>
      <c r="E3914">
        <v>0</v>
      </c>
      <c r="F3914">
        <v>0.14287172736563208</v>
      </c>
    </row>
    <row r="3915" spans="2:8">
      <c r="B3915">
        <v>3</v>
      </c>
      <c r="C3915">
        <v>92.23681599999999</v>
      </c>
      <c r="D3915">
        <v>2</v>
      </c>
      <c r="E3915">
        <v>0</v>
      </c>
      <c r="F3915">
        <v>-0.27872306347569226</v>
      </c>
      <c r="G3915">
        <v>-0.2149022901364607</v>
      </c>
      <c r="H3915">
        <v>-0.31131613469989594</v>
      </c>
    </row>
    <row r="3916" spans="2:8">
      <c r="B3916">
        <v>1</v>
      </c>
      <c r="C3916">
        <v>102</v>
      </c>
      <c r="D3916">
        <v>1</v>
      </c>
      <c r="E3916">
        <v>0</v>
      </c>
      <c r="F3916">
        <v>0.27172736083811005</v>
      </c>
    </row>
    <row r="3917" spans="2:8">
      <c r="B3917">
        <v>3</v>
      </c>
      <c r="C3917">
        <v>92.23681599999999</v>
      </c>
      <c r="D3917">
        <v>3</v>
      </c>
      <c r="E3917">
        <v>0</v>
      </c>
      <c r="F3917">
        <v>-3.4689055021789303E-2</v>
      </c>
      <c r="G3917">
        <v>-0.20418405702762918</v>
      </c>
      <c r="H3917">
        <v>-8.5265159931039627E-2</v>
      </c>
    </row>
    <row r="3918" spans="2:8">
      <c r="B3918">
        <v>1</v>
      </c>
      <c r="C3918">
        <v>97.960799999999992</v>
      </c>
      <c r="D3918">
        <v>1</v>
      </c>
      <c r="E3918">
        <v>0</v>
      </c>
      <c r="F3918">
        <v>0.11073377190799732</v>
      </c>
    </row>
    <row r="3919" spans="2:8">
      <c r="B3919">
        <v>1</v>
      </c>
      <c r="C3919">
        <v>102</v>
      </c>
      <c r="D3919">
        <v>1</v>
      </c>
      <c r="E3919">
        <v>0</v>
      </c>
      <c r="F3919">
        <v>-0.18336851848012536</v>
      </c>
      <c r="G3919">
        <v>-3.5544524715227205E-2</v>
      </c>
      <c r="H3919">
        <v>-8.0010615234037658E-2</v>
      </c>
    </row>
    <row r="3920" spans="2:8">
      <c r="B3920">
        <v>3</v>
      </c>
      <c r="C3920">
        <v>97.771024959999991</v>
      </c>
      <c r="D3920">
        <v>3</v>
      </c>
      <c r="E3920">
        <v>0</v>
      </c>
      <c r="F3920">
        <v>-1.4572259695250262E-2</v>
      </c>
      <c r="G3920">
        <v>-5.9333719929586283E-3</v>
      </c>
      <c r="H3920">
        <v>0.15358472973074228</v>
      </c>
    </row>
    <row r="3921" spans="2:8">
      <c r="B3921">
        <v>1</v>
      </c>
      <c r="C3921">
        <v>97.960799999999992</v>
      </c>
      <c r="D3921">
        <v>1</v>
      </c>
      <c r="E3921">
        <v>0</v>
      </c>
      <c r="F3921">
        <v>0.23511160630687472</v>
      </c>
    </row>
    <row r="3922" spans="2:8">
      <c r="B3922">
        <v>1</v>
      </c>
      <c r="C3922">
        <v>97.960799999999992</v>
      </c>
      <c r="D3922">
        <v>1</v>
      </c>
      <c r="E3922">
        <v>0</v>
      </c>
      <c r="F3922">
        <v>0.11629946959140557</v>
      </c>
    </row>
    <row r="3923" spans="2:8">
      <c r="B3923">
        <v>1</v>
      </c>
      <c r="C3923">
        <v>97.960799999999992</v>
      </c>
      <c r="D3923">
        <v>1</v>
      </c>
      <c r="E3923">
        <v>0</v>
      </c>
      <c r="F3923">
        <v>9.6546579994948051E-3</v>
      </c>
    </row>
    <row r="3924" spans="2:8">
      <c r="B3924">
        <v>3</v>
      </c>
      <c r="C3924">
        <v>92.23681599999999</v>
      </c>
      <c r="D3924">
        <v>3</v>
      </c>
      <c r="E3924">
        <v>0</v>
      </c>
      <c r="F3924">
        <v>-0.15540707349376834</v>
      </c>
      <c r="G3924">
        <v>-0.17533594759208698</v>
      </c>
      <c r="H3924">
        <v>-0.19821460622419632</v>
      </c>
    </row>
    <row r="3925" spans="2:8">
      <c r="B3925">
        <v>3</v>
      </c>
      <c r="C3925">
        <v>92.23681599999999</v>
      </c>
      <c r="D3925">
        <v>2</v>
      </c>
      <c r="E3925">
        <v>0</v>
      </c>
      <c r="F3925">
        <v>-7.9310131007300222E-2</v>
      </c>
      <c r="G3925">
        <v>-0.31853928595430353</v>
      </c>
      <c r="H3925">
        <v>-0.2646162663558122</v>
      </c>
    </row>
    <row r="3926" spans="2:8">
      <c r="B3926">
        <v>3</v>
      </c>
      <c r="C3926">
        <v>92.23681599999999</v>
      </c>
      <c r="D3926">
        <v>3</v>
      </c>
      <c r="E3926">
        <v>0</v>
      </c>
      <c r="F3926">
        <v>-7.4975859537019116E-2</v>
      </c>
      <c r="G3926">
        <v>-0.12778097013764619</v>
      </c>
      <c r="H3926">
        <v>-6.8447510634306957E-2</v>
      </c>
    </row>
    <row r="3927" spans="2:8">
      <c r="B3927">
        <v>3</v>
      </c>
      <c r="C3927">
        <v>92.23681599999999</v>
      </c>
      <c r="D3927">
        <v>1</v>
      </c>
      <c r="E3927">
        <v>0</v>
      </c>
      <c r="F3927">
        <v>-8.8040966443234975E-2</v>
      </c>
      <c r="G3927">
        <v>-0.34534915744648753</v>
      </c>
      <c r="H3927">
        <v>-0.30189989911191556</v>
      </c>
    </row>
    <row r="3928" spans="2:8">
      <c r="B3928">
        <v>1</v>
      </c>
      <c r="C3928">
        <v>102</v>
      </c>
      <c r="D3928">
        <v>1</v>
      </c>
      <c r="E3928">
        <v>0</v>
      </c>
      <c r="F3928">
        <v>-4.9200664224469809E-2</v>
      </c>
      <c r="G3928">
        <v>-7.619242222351294E-2</v>
      </c>
      <c r="H3928">
        <v>1.8906272393432077E-2</v>
      </c>
    </row>
    <row r="3929" spans="2:8">
      <c r="B3929">
        <v>3</v>
      </c>
      <c r="C3929">
        <v>92.23681599999999</v>
      </c>
      <c r="D3929">
        <v>3</v>
      </c>
      <c r="E3929">
        <v>0</v>
      </c>
      <c r="F3929">
        <v>-0.1760734413066046</v>
      </c>
      <c r="G3929">
        <v>-1.599411550875901E-2</v>
      </c>
      <c r="H3929">
        <v>-0.1676096553047817</v>
      </c>
    </row>
    <row r="3930" spans="2:8">
      <c r="B3930">
        <v>3</v>
      </c>
      <c r="C3930">
        <v>38.542943450192915</v>
      </c>
      <c r="D3930">
        <v>1</v>
      </c>
      <c r="E3930">
        <v>0</v>
      </c>
      <c r="F3930">
        <v>-0.2717228481769759</v>
      </c>
      <c r="G3930">
        <v>-0.49683050782018512</v>
      </c>
      <c r="H3930">
        <v>-0.59048798278998416</v>
      </c>
    </row>
    <row r="3931" spans="2:8">
      <c r="B3931">
        <v>1</v>
      </c>
      <c r="C3931">
        <v>102</v>
      </c>
      <c r="D3931">
        <v>1</v>
      </c>
      <c r="E3931">
        <v>0</v>
      </c>
      <c r="F3931">
        <v>-0.17390079332793765</v>
      </c>
      <c r="G3931">
        <v>-9.8274232266812398E-3</v>
      </c>
      <c r="H3931">
        <v>-4.7328942020745009E-2</v>
      </c>
    </row>
    <row r="3932" spans="2:8">
      <c r="B3932">
        <v>1</v>
      </c>
      <c r="C3932">
        <v>97.960799999999992</v>
      </c>
      <c r="D3932">
        <v>1</v>
      </c>
      <c r="E3932">
        <v>0</v>
      </c>
      <c r="F3932">
        <v>8.6471886773047388E-2</v>
      </c>
    </row>
    <row r="3933" spans="2:8">
      <c r="B3933">
        <v>3</v>
      </c>
      <c r="C3933">
        <v>92.23681599999999</v>
      </c>
      <c r="D3933">
        <v>1</v>
      </c>
      <c r="E3933">
        <v>0</v>
      </c>
      <c r="F3933">
        <v>-0.30485357557888559</v>
      </c>
      <c r="G3933">
        <v>-0.25193589781421227</v>
      </c>
      <c r="H3933">
        <v>-0.35731620252002455</v>
      </c>
    </row>
    <row r="3934" spans="2:8">
      <c r="B3934">
        <v>3</v>
      </c>
      <c r="C3934">
        <v>28.31948608497953</v>
      </c>
      <c r="D3934">
        <v>0</v>
      </c>
      <c r="E3934">
        <v>0</v>
      </c>
      <c r="F3934">
        <v>-0.32776832910542575</v>
      </c>
      <c r="G3934">
        <v>-0.58745298515309385</v>
      </c>
      <c r="H3934">
        <v>-0.69911042502507958</v>
      </c>
    </row>
    <row r="3935" spans="2:8">
      <c r="B3935">
        <v>1</v>
      </c>
      <c r="C3935">
        <v>102</v>
      </c>
      <c r="D3935">
        <v>1</v>
      </c>
      <c r="E3935">
        <v>0</v>
      </c>
      <c r="F3935">
        <v>-0.11325135081328484</v>
      </c>
      <c r="G3935">
        <v>-0.44524654575851214</v>
      </c>
      <c r="H3935">
        <v>-0.42931692168476032</v>
      </c>
    </row>
    <row r="3936" spans="2:8">
      <c r="B3936">
        <v>3</v>
      </c>
      <c r="C3936">
        <v>92.23681599999999</v>
      </c>
      <c r="D3936">
        <v>3</v>
      </c>
      <c r="E3936">
        <v>0</v>
      </c>
      <c r="F3936">
        <v>-8.3664021684692821E-2</v>
      </c>
      <c r="G3936">
        <v>-0.14504110428178743</v>
      </c>
      <c r="H3936">
        <v>-9.6409253653884128E-2</v>
      </c>
    </row>
    <row r="3937" spans="2:8">
      <c r="B3937">
        <v>3</v>
      </c>
      <c r="C3937">
        <v>92.23681599999999</v>
      </c>
      <c r="D3937">
        <v>3</v>
      </c>
      <c r="E3937">
        <v>0</v>
      </c>
      <c r="F3937">
        <v>-6.2057856297530099E-2</v>
      </c>
      <c r="G3937">
        <v>-0.27089248608141436</v>
      </c>
      <c r="H3937">
        <v>-0.1944842179146016</v>
      </c>
    </row>
    <row r="3938" spans="2:8">
      <c r="B3938">
        <v>1</v>
      </c>
      <c r="C3938">
        <v>102</v>
      </c>
      <c r="D3938">
        <v>1</v>
      </c>
      <c r="E3938">
        <v>0</v>
      </c>
      <c r="F3938">
        <v>-0.12911910866637039</v>
      </c>
      <c r="G3938">
        <v>-0.23425420096755112</v>
      </c>
      <c r="H3938">
        <v>-0.23388916360075307</v>
      </c>
    </row>
    <row r="3939" spans="2:8">
      <c r="B3939">
        <v>1</v>
      </c>
      <c r="C3939">
        <v>97.960799999999992</v>
      </c>
      <c r="D3939">
        <v>1</v>
      </c>
      <c r="E3939">
        <v>0</v>
      </c>
      <c r="F3939">
        <v>8.0320771005061048E-2</v>
      </c>
    </row>
    <row r="3940" spans="2:8">
      <c r="B3940">
        <v>3</v>
      </c>
      <c r="C3940">
        <v>51.893141534125064</v>
      </c>
      <c r="D3940">
        <v>1</v>
      </c>
      <c r="E3940">
        <v>0</v>
      </c>
      <c r="F3940">
        <v>-0.26765361277760913</v>
      </c>
      <c r="G3940">
        <v>-0.35666115626333417</v>
      </c>
      <c r="H3940">
        <v>-0.44864446856618984</v>
      </c>
    </row>
    <row r="3941" spans="2:8">
      <c r="B3941">
        <v>1</v>
      </c>
      <c r="C3941">
        <v>102</v>
      </c>
      <c r="D3941">
        <v>1</v>
      </c>
      <c r="E3941">
        <v>0</v>
      </c>
      <c r="F3941">
        <v>0.20542617480518108</v>
      </c>
    </row>
    <row r="3942" spans="2:8">
      <c r="B3942">
        <v>1</v>
      </c>
      <c r="C3942">
        <v>97.960799999999992</v>
      </c>
      <c r="D3942">
        <v>1</v>
      </c>
      <c r="E3942">
        <v>0</v>
      </c>
      <c r="F3942">
        <v>5.0580039071348171E-3</v>
      </c>
    </row>
    <row r="3943" spans="2:8">
      <c r="B3943">
        <v>3</v>
      </c>
      <c r="C3943">
        <v>97.771024959999991</v>
      </c>
      <c r="D3943">
        <v>3</v>
      </c>
      <c r="E3943">
        <v>0</v>
      </c>
      <c r="F3943">
        <v>-0.14007217592918292</v>
      </c>
      <c r="G3943">
        <v>0.13715349942216729</v>
      </c>
      <c r="H3943">
        <v>0.12746720820005691</v>
      </c>
    </row>
    <row r="3944" spans="2:8">
      <c r="B3944">
        <v>1</v>
      </c>
      <c r="C3944">
        <v>102</v>
      </c>
      <c r="D3944">
        <v>1</v>
      </c>
      <c r="E3944">
        <v>0</v>
      </c>
      <c r="F3944">
        <v>-0.11964580839820853</v>
      </c>
      <c r="G3944">
        <v>-0.21581853408337548</v>
      </c>
      <c r="H3944">
        <v>-0.206310369295618</v>
      </c>
    </row>
    <row r="3945" spans="2:8">
      <c r="B3945">
        <v>1</v>
      </c>
      <c r="C3945">
        <v>102</v>
      </c>
      <c r="D3945">
        <v>1</v>
      </c>
      <c r="E3945">
        <v>0</v>
      </c>
      <c r="F3945">
        <v>4.6821654137251742E-2</v>
      </c>
    </row>
    <row r="3946" spans="2:8">
      <c r="B3946">
        <v>3</v>
      </c>
      <c r="C3946">
        <v>92.23681599999999</v>
      </c>
      <c r="D3946">
        <v>3</v>
      </c>
      <c r="E3946">
        <v>0</v>
      </c>
      <c r="F3946">
        <v>-0.14508833741885413</v>
      </c>
      <c r="G3946">
        <v>-0.15621406246873668</v>
      </c>
      <c r="H3946">
        <v>-0.17032592028805671</v>
      </c>
    </row>
    <row r="3947" spans="2:8">
      <c r="B3947">
        <v>3</v>
      </c>
      <c r="C3947">
        <v>92.23681599999999</v>
      </c>
      <c r="D3947">
        <v>1</v>
      </c>
      <c r="E3947">
        <v>0</v>
      </c>
      <c r="F3947">
        <v>-0.10585281213527756</v>
      </c>
      <c r="G3947">
        <v>-0.41037276124214711</v>
      </c>
      <c r="H3947">
        <v>-0.38674674625752614</v>
      </c>
    </row>
    <row r="3948" spans="2:8">
      <c r="B3948">
        <v>1</v>
      </c>
      <c r="C3948">
        <v>97.960799999999992</v>
      </c>
      <c r="D3948">
        <v>1</v>
      </c>
      <c r="E3948">
        <v>0</v>
      </c>
      <c r="F3948">
        <v>3.3297774636286059E-3</v>
      </c>
    </row>
    <row r="3949" spans="2:8">
      <c r="B3949">
        <v>1</v>
      </c>
      <c r="C3949">
        <v>97.960799999999992</v>
      </c>
      <c r="D3949">
        <v>1</v>
      </c>
      <c r="E3949">
        <v>0</v>
      </c>
      <c r="F3949">
        <v>0.10367509571441212</v>
      </c>
    </row>
    <row r="3950" spans="2:8">
      <c r="B3950">
        <v>1</v>
      </c>
      <c r="C3950">
        <v>102</v>
      </c>
      <c r="D3950">
        <v>1</v>
      </c>
      <c r="E3950">
        <v>0</v>
      </c>
      <c r="F3950">
        <v>-0.166172014716961</v>
      </c>
      <c r="G3950">
        <v>-0.19480586607832484</v>
      </c>
      <c r="H3950">
        <v>-0.22636263444583463</v>
      </c>
    </row>
    <row r="3951" spans="2:8">
      <c r="B3951">
        <v>3</v>
      </c>
      <c r="C3951">
        <v>92.23681599999999</v>
      </c>
      <c r="D3951">
        <v>3</v>
      </c>
      <c r="E3951">
        <v>0</v>
      </c>
      <c r="F3951">
        <v>-5.3484806597154551E-2</v>
      </c>
      <c r="G3951">
        <v>-0.24906146056211617</v>
      </c>
      <c r="H3951">
        <v>-0.16040656264051964</v>
      </c>
    </row>
    <row r="3952" spans="2:8">
      <c r="B3952">
        <v>3</v>
      </c>
      <c r="C3952">
        <v>53.733060071734549</v>
      </c>
      <c r="D3952">
        <v>2</v>
      </c>
      <c r="E3952">
        <v>0</v>
      </c>
      <c r="F3952">
        <v>-0.15942676517883417</v>
      </c>
      <c r="G3952">
        <v>-0.29261048762547809</v>
      </c>
      <c r="H3952">
        <v>-0.42909565665948551</v>
      </c>
    </row>
    <row r="3953" spans="2:8">
      <c r="B3953">
        <v>1</v>
      </c>
      <c r="C3953">
        <v>102</v>
      </c>
      <c r="D3953">
        <v>1</v>
      </c>
      <c r="E3953">
        <v>0</v>
      </c>
      <c r="F3953">
        <v>0.31591568883789584</v>
      </c>
    </row>
    <row r="3954" spans="2:8">
      <c r="B3954">
        <v>3</v>
      </c>
      <c r="C3954">
        <v>97.771024959999991</v>
      </c>
      <c r="D3954">
        <v>3</v>
      </c>
      <c r="E3954">
        <v>0</v>
      </c>
      <c r="F3954">
        <v>-4.7577726851584769E-2</v>
      </c>
      <c r="G3954">
        <v>5.4584616970691682E-2</v>
      </c>
      <c r="H3954">
        <v>0.15218703603765354</v>
      </c>
    </row>
    <row r="3955" spans="2:8">
      <c r="B3955">
        <v>1</v>
      </c>
      <c r="C3955">
        <v>102</v>
      </c>
      <c r="D3955">
        <v>1</v>
      </c>
      <c r="E3955">
        <v>0</v>
      </c>
      <c r="F3955">
        <v>0.19963630312174377</v>
      </c>
    </row>
    <row r="3956" spans="2:8">
      <c r="B3956">
        <v>1</v>
      </c>
      <c r="C3956">
        <v>97.960799999999992</v>
      </c>
      <c r="D3956">
        <v>1</v>
      </c>
      <c r="E3956">
        <v>0</v>
      </c>
      <c r="F3956">
        <v>0.17067856711121504</v>
      </c>
    </row>
    <row r="3957" spans="2:8">
      <c r="B3957">
        <v>3</v>
      </c>
      <c r="C3957">
        <v>92.23681599999999</v>
      </c>
      <c r="D3957">
        <v>3</v>
      </c>
      <c r="E3957">
        <v>0</v>
      </c>
      <c r="F3957">
        <v>-6.9026189947287625E-2</v>
      </c>
      <c r="G3957">
        <v>-0.28945156002742412</v>
      </c>
      <c r="H3957">
        <v>-0.22244069147138273</v>
      </c>
    </row>
    <row r="3958" spans="2:8">
      <c r="B3958">
        <v>1</v>
      </c>
      <c r="C3958">
        <v>102</v>
      </c>
      <c r="D3958">
        <v>1</v>
      </c>
      <c r="E3958">
        <v>0</v>
      </c>
      <c r="F3958">
        <v>-0.25519085113834827</v>
      </c>
      <c r="G3958">
        <v>-0.46836760752424034</v>
      </c>
      <c r="H3958">
        <v>-0.6864037762656563</v>
      </c>
    </row>
    <row r="3959" spans="2:8">
      <c r="B3959">
        <v>3</v>
      </c>
      <c r="C3959">
        <v>92.23681599999999</v>
      </c>
      <c r="D3959">
        <v>3</v>
      </c>
      <c r="E3959">
        <v>0</v>
      </c>
      <c r="F3959">
        <v>-7.7666572366796513E-2</v>
      </c>
      <c r="G3959">
        <v>-0.17444470254604677</v>
      </c>
      <c r="H3959">
        <v>-0.11848734337554269</v>
      </c>
    </row>
    <row r="3960" spans="2:8">
      <c r="B3960">
        <v>3</v>
      </c>
      <c r="C3960">
        <v>52.323409673653266</v>
      </c>
      <c r="D3960">
        <v>2</v>
      </c>
      <c r="E3960">
        <v>0</v>
      </c>
      <c r="F3960">
        <v>-0.20732407575658493</v>
      </c>
      <c r="G3960">
        <v>-0.26499701134676218</v>
      </c>
      <c r="H3960">
        <v>-0.44407294501384131</v>
      </c>
    </row>
    <row r="3961" spans="2:8">
      <c r="B3961">
        <v>3</v>
      </c>
      <c r="C3961">
        <v>92.23681599999999</v>
      </c>
      <c r="D3961">
        <v>1</v>
      </c>
      <c r="E3961">
        <v>0</v>
      </c>
      <c r="F3961">
        <v>-0.16277493382898212</v>
      </c>
      <c r="G3961">
        <v>-0.35058831186706052</v>
      </c>
      <c r="H3961">
        <v>-0.37945711383940645</v>
      </c>
    </row>
    <row r="3962" spans="2:8">
      <c r="B3962">
        <v>1</v>
      </c>
      <c r="C3962">
        <v>102</v>
      </c>
      <c r="D3962">
        <v>1</v>
      </c>
      <c r="E3962">
        <v>0</v>
      </c>
      <c r="F3962">
        <v>5.2073994043318139E-2</v>
      </c>
    </row>
    <row r="3963" spans="2:8">
      <c r="B3963">
        <v>1</v>
      </c>
      <c r="C3963">
        <v>102</v>
      </c>
      <c r="D3963">
        <v>1</v>
      </c>
      <c r="E3963">
        <v>0</v>
      </c>
      <c r="F3963">
        <v>-0.16072840531551638</v>
      </c>
      <c r="G3963">
        <v>-0.34623840780960347</v>
      </c>
      <c r="H3963">
        <v>-0.37346548997031032</v>
      </c>
    </row>
    <row r="3964" spans="2:8">
      <c r="B3964">
        <v>3</v>
      </c>
      <c r="C3964">
        <v>97.771024959999991</v>
      </c>
      <c r="D3964">
        <v>3</v>
      </c>
      <c r="E3964">
        <v>0</v>
      </c>
      <c r="F3964">
        <v>-6.6352934819965098E-2</v>
      </c>
      <c r="G3964">
        <v>8.1396692587774148E-3</v>
      </c>
      <c r="H3964">
        <v>7.8701311746012706E-2</v>
      </c>
    </row>
    <row r="3965" spans="2:8">
      <c r="B3965">
        <v>1</v>
      </c>
      <c r="C3965">
        <v>102</v>
      </c>
      <c r="D3965">
        <v>1</v>
      </c>
      <c r="E3965">
        <v>0</v>
      </c>
      <c r="F3965">
        <v>-0.11499776673831542</v>
      </c>
      <c r="G3965">
        <v>-0.2506944500546246</v>
      </c>
      <c r="H3965">
        <v>-0.23653930023554637</v>
      </c>
    </row>
    <row r="3966" spans="2:8">
      <c r="B3966">
        <v>1</v>
      </c>
      <c r="C3966">
        <v>97.960799999999992</v>
      </c>
      <c r="D3966">
        <v>1</v>
      </c>
      <c r="E3966">
        <v>0</v>
      </c>
      <c r="F3966">
        <v>3.1659293499281808E-2</v>
      </c>
    </row>
    <row r="3967" spans="2:8">
      <c r="B3967">
        <v>1</v>
      </c>
      <c r="C3967">
        <v>97.960799999999992</v>
      </c>
      <c r="D3967">
        <v>1</v>
      </c>
      <c r="E3967">
        <v>0</v>
      </c>
      <c r="F3967">
        <v>6.1685433547930893E-3</v>
      </c>
    </row>
    <row r="3968" spans="2:8">
      <c r="B3968">
        <v>3</v>
      </c>
      <c r="C3968">
        <v>37.488288706128557</v>
      </c>
      <c r="D3968">
        <v>1</v>
      </c>
      <c r="E3968">
        <v>0</v>
      </c>
      <c r="F3968">
        <v>-0.27593890413141031</v>
      </c>
      <c r="G3968">
        <v>-0.3682838829699191</v>
      </c>
      <c r="H3968">
        <v>-0.60169350455455894</v>
      </c>
    </row>
    <row r="3969" spans="2:8">
      <c r="B3969">
        <v>3</v>
      </c>
      <c r="C3969">
        <v>92.23681599999999</v>
      </c>
      <c r="D3969">
        <v>3</v>
      </c>
      <c r="E3969">
        <v>0</v>
      </c>
      <c r="F3969">
        <v>-5.1862458140318042E-2</v>
      </c>
      <c r="G3969">
        <v>-0.1224231990679532</v>
      </c>
      <c r="H3969">
        <v>-3.1355422808864157E-2</v>
      </c>
    </row>
    <row r="3970" spans="2:8">
      <c r="B3970">
        <v>1</v>
      </c>
      <c r="C3970">
        <v>97.960799999999992</v>
      </c>
      <c r="D3970">
        <v>1</v>
      </c>
      <c r="E3970">
        <v>0</v>
      </c>
      <c r="F3970">
        <v>0.25996316906334932</v>
      </c>
    </row>
    <row r="3971" spans="2:8">
      <c r="B3971">
        <v>1</v>
      </c>
      <c r="C3971">
        <v>102</v>
      </c>
      <c r="D3971">
        <v>1</v>
      </c>
      <c r="E3971">
        <v>0</v>
      </c>
      <c r="F3971">
        <v>9.5306888245736729E-2</v>
      </c>
    </row>
    <row r="3972" spans="2:8">
      <c r="B3972">
        <v>1</v>
      </c>
      <c r="C3972">
        <v>97.960799999999992</v>
      </c>
      <c r="D3972">
        <v>1</v>
      </c>
      <c r="E3972">
        <v>0</v>
      </c>
      <c r="F3972">
        <v>5.4092648252245336E-2</v>
      </c>
    </row>
    <row r="3973" spans="2:8">
      <c r="B3973">
        <v>1</v>
      </c>
      <c r="C3973">
        <v>97.960799999999992</v>
      </c>
      <c r="D3973">
        <v>1</v>
      </c>
      <c r="E3973">
        <v>0</v>
      </c>
      <c r="F3973">
        <v>0.25323241604636132</v>
      </c>
    </row>
    <row r="3974" spans="2:8">
      <c r="B3974">
        <v>3</v>
      </c>
      <c r="C3974">
        <v>92.23681599999999</v>
      </c>
      <c r="D3974">
        <v>3</v>
      </c>
      <c r="E3974">
        <v>0</v>
      </c>
      <c r="F3974">
        <v>-0.13699870133181932</v>
      </c>
      <c r="G3974">
        <v>-0.14089588175139348</v>
      </c>
      <c r="H3974">
        <v>-0.14781616296616534</v>
      </c>
    </row>
    <row r="3975" spans="2:8">
      <c r="B3975">
        <v>1</v>
      </c>
      <c r="C3975">
        <v>102</v>
      </c>
      <c r="D3975">
        <v>1</v>
      </c>
      <c r="E3975">
        <v>0</v>
      </c>
      <c r="F3975">
        <v>-1.8965644672302991E-2</v>
      </c>
      <c r="G3975">
        <v>-5.6819544080581319E-2</v>
      </c>
      <c r="H3975">
        <v>9.2786412648810185E-2</v>
      </c>
    </row>
    <row r="3976" spans="2:8">
      <c r="B3976">
        <v>1</v>
      </c>
      <c r="C3976">
        <v>97.960799999999992</v>
      </c>
      <c r="D3976">
        <v>1</v>
      </c>
      <c r="E3976">
        <v>0</v>
      </c>
      <c r="F3976">
        <v>0.37191023028088194</v>
      </c>
    </row>
    <row r="3977" spans="2:8">
      <c r="B3977">
        <v>1</v>
      </c>
      <c r="C3977">
        <v>102</v>
      </c>
      <c r="D3977">
        <v>1</v>
      </c>
      <c r="E3977">
        <v>0</v>
      </c>
      <c r="F3977">
        <v>5.9507057851274768E-2</v>
      </c>
    </row>
    <row r="3978" spans="2:8">
      <c r="B3978">
        <v>1</v>
      </c>
      <c r="C3978">
        <v>97.960799999999992</v>
      </c>
      <c r="D3978">
        <v>1</v>
      </c>
      <c r="E3978">
        <v>0</v>
      </c>
      <c r="F3978">
        <v>0.1960945187869248</v>
      </c>
    </row>
    <row r="3979" spans="2:8">
      <c r="B3979">
        <v>1</v>
      </c>
      <c r="C3979">
        <v>102</v>
      </c>
      <c r="D3979">
        <v>1</v>
      </c>
      <c r="E3979">
        <v>0</v>
      </c>
      <c r="F3979">
        <v>-9.5195437485632736E-2</v>
      </c>
      <c r="G3979">
        <v>-0.21008908730516823</v>
      </c>
      <c r="H3979">
        <v>-0.17483583081547319</v>
      </c>
    </row>
    <row r="3980" spans="2:8">
      <c r="B3980">
        <v>1</v>
      </c>
      <c r="C3980">
        <v>102</v>
      </c>
      <c r="D3980">
        <v>1</v>
      </c>
      <c r="E3980">
        <v>0</v>
      </c>
      <c r="F3980">
        <v>-0.13886837575261762</v>
      </c>
      <c r="G3980">
        <v>-0.14446243272267434</v>
      </c>
      <c r="H3980">
        <v>-0.15307032329655149</v>
      </c>
    </row>
    <row r="3981" spans="2:8">
      <c r="B3981">
        <v>1</v>
      </c>
      <c r="C3981">
        <v>97.960799999999992</v>
      </c>
      <c r="D3981">
        <v>1</v>
      </c>
      <c r="E3981">
        <v>0</v>
      </c>
      <c r="F3981">
        <v>0.1210223467111107</v>
      </c>
    </row>
    <row r="3982" spans="2:8">
      <c r="B3982">
        <v>1</v>
      </c>
      <c r="C3982">
        <v>97.960799999999992</v>
      </c>
      <c r="D3982">
        <v>1</v>
      </c>
      <c r="E3982">
        <v>0</v>
      </c>
      <c r="F3982">
        <v>0.14990836628833193</v>
      </c>
    </row>
    <row r="3983" spans="2:8">
      <c r="B3983">
        <v>3</v>
      </c>
      <c r="C3983">
        <v>92.23681599999999</v>
      </c>
      <c r="D3983">
        <v>3</v>
      </c>
      <c r="E3983">
        <v>0</v>
      </c>
      <c r="F3983">
        <v>-4.32893183356165E-2</v>
      </c>
      <c r="G3983">
        <v>-0.10525048242491714</v>
      </c>
      <c r="H3983">
        <v>-8.525569583371441E-4</v>
      </c>
    </row>
    <row r="3984" spans="2:8">
      <c r="B3984">
        <v>1</v>
      </c>
      <c r="C3984">
        <v>102</v>
      </c>
      <c r="D3984">
        <v>1</v>
      </c>
      <c r="E3984">
        <v>0</v>
      </c>
      <c r="F3984">
        <v>0.16238370716244729</v>
      </c>
    </row>
    <row r="3985" spans="2:8">
      <c r="B3985">
        <v>1</v>
      </c>
      <c r="C3985">
        <v>102</v>
      </c>
      <c r="D3985">
        <v>1</v>
      </c>
      <c r="E3985">
        <v>0</v>
      </c>
      <c r="F3985">
        <v>-0.40079765805553103</v>
      </c>
      <c r="G3985">
        <v>-0.15656187186691872</v>
      </c>
      <c r="H3985">
        <v>-0.28041872541229707</v>
      </c>
    </row>
    <row r="3986" spans="2:8">
      <c r="B3986">
        <v>1</v>
      </c>
      <c r="C3986">
        <v>102</v>
      </c>
      <c r="D3986">
        <v>1</v>
      </c>
      <c r="E3986">
        <v>0</v>
      </c>
      <c r="F3986">
        <v>-0.20475611212201042</v>
      </c>
      <c r="G3986">
        <v>-0.26080615043871908</v>
      </c>
      <c r="H3986">
        <v>-0.31975138162241118</v>
      </c>
    </row>
    <row r="3987" spans="2:8">
      <c r="B3987">
        <v>1</v>
      </c>
      <c r="C3987">
        <v>102</v>
      </c>
      <c r="D3987">
        <v>1</v>
      </c>
      <c r="E3987">
        <v>0</v>
      </c>
      <c r="F3987">
        <v>0.2436972770907406</v>
      </c>
    </row>
    <row r="3988" spans="2:8">
      <c r="B3988">
        <v>1</v>
      </c>
      <c r="C3988">
        <v>102</v>
      </c>
      <c r="D3988">
        <v>1</v>
      </c>
      <c r="E3988">
        <v>0</v>
      </c>
      <c r="F3988">
        <v>-2.1682245172402567E-2</v>
      </c>
      <c r="G3988">
        <v>-0.23145837794915372</v>
      </c>
      <c r="H3988">
        <v>-8.7638964619744686E-2</v>
      </c>
    </row>
    <row r="3989" spans="2:8">
      <c r="B3989">
        <v>1</v>
      </c>
      <c r="C3989">
        <v>97.960799999999992</v>
      </c>
      <c r="D3989">
        <v>1</v>
      </c>
      <c r="E3989">
        <v>0</v>
      </c>
      <c r="F3989">
        <v>5.5394649232385171E-2</v>
      </c>
    </row>
    <row r="3990" spans="2:8">
      <c r="B3990">
        <v>1</v>
      </c>
      <c r="C3990">
        <v>97.960799999999992</v>
      </c>
      <c r="D3990">
        <v>1</v>
      </c>
      <c r="E3990">
        <v>0</v>
      </c>
      <c r="F3990">
        <v>6.0839837910115928E-2</v>
      </c>
    </row>
    <row r="3991" spans="2:8">
      <c r="B3991">
        <v>1</v>
      </c>
      <c r="C3991">
        <v>97.960799999999992</v>
      </c>
      <c r="D3991">
        <v>1</v>
      </c>
      <c r="E3991">
        <v>0</v>
      </c>
      <c r="F3991">
        <v>4.4860507110851121E-2</v>
      </c>
    </row>
    <row r="3992" spans="2:8">
      <c r="B3992">
        <v>1</v>
      </c>
      <c r="C3992">
        <v>97.960799999999992</v>
      </c>
      <c r="D3992">
        <v>1</v>
      </c>
      <c r="E3992">
        <v>0</v>
      </c>
      <c r="F3992">
        <v>9.6908361882757491E-2</v>
      </c>
    </row>
    <row r="3993" spans="2:8">
      <c r="B3993">
        <v>1</v>
      </c>
      <c r="C3993">
        <v>102</v>
      </c>
      <c r="D3993">
        <v>1</v>
      </c>
      <c r="E3993">
        <v>0</v>
      </c>
      <c r="F3993">
        <v>-0.15019700647099532</v>
      </c>
      <c r="G3993">
        <v>-0.32396923375613407</v>
      </c>
      <c r="H3993">
        <v>-0.34247732576428352</v>
      </c>
    </row>
    <row r="3994" spans="2:8">
      <c r="B3994">
        <v>3</v>
      </c>
      <c r="C3994">
        <v>92.23681599999999</v>
      </c>
      <c r="D3994">
        <v>3</v>
      </c>
      <c r="E3994">
        <v>0</v>
      </c>
      <c r="F3994">
        <v>-9.2444524353554186E-2</v>
      </c>
      <c r="G3994">
        <v>-5.0655185165213897E-2</v>
      </c>
      <c r="H3994">
        <v>-1.2289538410920937E-2</v>
      </c>
    </row>
    <row r="3995" spans="2:8">
      <c r="B3995">
        <v>1</v>
      </c>
      <c r="C3995">
        <v>102</v>
      </c>
      <c r="D3995">
        <v>1</v>
      </c>
      <c r="E3995">
        <v>0</v>
      </c>
      <c r="F3995">
        <v>-3.6320799321834012E-2</v>
      </c>
      <c r="G3995">
        <v>-9.1331495904025672E-2</v>
      </c>
      <c r="H3995">
        <v>2.4730925321001383E-2</v>
      </c>
    </row>
    <row r="3996" spans="2:8">
      <c r="B3996">
        <v>1</v>
      </c>
      <c r="C3996">
        <v>102</v>
      </c>
      <c r="D3996">
        <v>1</v>
      </c>
      <c r="E3996">
        <v>0</v>
      </c>
      <c r="F3996">
        <v>-0.23738176099037128</v>
      </c>
      <c r="G3996">
        <v>-0.3122601559085913</v>
      </c>
      <c r="H3996">
        <v>-0.51631501724144147</v>
      </c>
    </row>
    <row r="3997" spans="2:8">
      <c r="B3997">
        <v>1</v>
      </c>
      <c r="C3997">
        <v>102</v>
      </c>
      <c r="D3997">
        <v>1</v>
      </c>
      <c r="E3997">
        <v>0</v>
      </c>
      <c r="F3997">
        <v>-0.10414144509277833</v>
      </c>
      <c r="G3997">
        <v>-0.22838580648375709</v>
      </c>
      <c r="H3997">
        <v>-0.20293696076204537</v>
      </c>
    </row>
    <row r="3998" spans="2:8">
      <c r="B3998">
        <v>1</v>
      </c>
      <c r="C3998">
        <v>102</v>
      </c>
      <c r="D3998">
        <v>1</v>
      </c>
      <c r="E3998">
        <v>0</v>
      </c>
      <c r="F3998">
        <v>-0.11040172251206937</v>
      </c>
      <c r="G3998">
        <v>-8.8329642400113081E-2</v>
      </c>
      <c r="H3998">
        <v>-6.9470407104974638E-2</v>
      </c>
    </row>
    <row r="3999" spans="2:8">
      <c r="B3999">
        <v>1</v>
      </c>
      <c r="C3999">
        <v>97.960799999999992</v>
      </c>
      <c r="D3999">
        <v>1</v>
      </c>
      <c r="E3999">
        <v>0</v>
      </c>
      <c r="F3999">
        <v>1.7220067092953782E-2</v>
      </c>
    </row>
    <row r="4000" spans="2:8">
      <c r="B4000">
        <v>1</v>
      </c>
      <c r="C4000">
        <v>102</v>
      </c>
      <c r="D4000">
        <v>1</v>
      </c>
      <c r="E4000">
        <v>0</v>
      </c>
      <c r="F4000">
        <v>5.0071881662689187E-2</v>
      </c>
    </row>
    <row r="4001" spans="2:8">
      <c r="B4001">
        <v>1</v>
      </c>
      <c r="C4001">
        <v>97.960799999999992</v>
      </c>
      <c r="D4001">
        <v>1</v>
      </c>
      <c r="E4001">
        <v>0</v>
      </c>
      <c r="F4001">
        <v>7.804214027361242E-2</v>
      </c>
    </row>
    <row r="4002" spans="2:8">
      <c r="B4002">
        <v>1</v>
      </c>
      <c r="C4002">
        <v>97.960799999999992</v>
      </c>
      <c r="D4002">
        <v>1</v>
      </c>
      <c r="E4002">
        <v>0</v>
      </c>
      <c r="F4002">
        <v>1.6080636093709643E-3</v>
      </c>
    </row>
    <row r="4003" spans="2:8">
      <c r="B4003">
        <v>1</v>
      </c>
      <c r="C4003">
        <v>102</v>
      </c>
      <c r="D4003">
        <v>1</v>
      </c>
      <c r="E4003">
        <v>0</v>
      </c>
      <c r="F4003">
        <v>-0.24598696618679156</v>
      </c>
      <c r="G4003">
        <v>-0.53846694614994195</v>
      </c>
      <c r="H4003">
        <v>-0.74936144308659336</v>
      </c>
    </row>
    <row r="4004" spans="2:8">
      <c r="B4004">
        <v>1</v>
      </c>
      <c r="C4004">
        <v>102</v>
      </c>
      <c r="D4004">
        <v>1</v>
      </c>
      <c r="E4004">
        <v>0</v>
      </c>
      <c r="F4004">
        <v>-9.0773489155798151E-2</v>
      </c>
      <c r="G4004">
        <v>0.24354998322808094</v>
      </c>
      <c r="H4004">
        <v>0.28382977030960743</v>
      </c>
    </row>
    <row r="4005" spans="2:8">
      <c r="B4005">
        <v>3</v>
      </c>
      <c r="C4005">
        <v>50.459064065576399</v>
      </c>
      <c r="D4005">
        <v>1</v>
      </c>
      <c r="E4005">
        <v>0</v>
      </c>
      <c r="F4005">
        <v>-0.15413338889641931</v>
      </c>
      <c r="G4005">
        <v>-0.33227116985579341</v>
      </c>
      <c r="H4005">
        <v>-0.4638812902619614</v>
      </c>
    </row>
    <row r="4006" spans="2:8">
      <c r="B4006">
        <v>1</v>
      </c>
      <c r="C4006">
        <v>102</v>
      </c>
      <c r="D4006">
        <v>1</v>
      </c>
      <c r="E4006">
        <v>0</v>
      </c>
      <c r="F4006">
        <v>0.22259976428443515</v>
      </c>
    </row>
    <row r="4007" spans="2:8">
      <c r="B4007">
        <v>1</v>
      </c>
      <c r="C4007">
        <v>102</v>
      </c>
      <c r="D4007">
        <v>1</v>
      </c>
      <c r="E4007">
        <v>0</v>
      </c>
      <c r="F4007">
        <v>-8.466812924325438E-3</v>
      </c>
      <c r="G4007">
        <v>-3.6049137846023691E-2</v>
      </c>
      <c r="H4007">
        <v>0.13863851384118431</v>
      </c>
    </row>
    <row r="4008" spans="2:8">
      <c r="B4008">
        <v>1</v>
      </c>
      <c r="C4008">
        <v>97.960799999999992</v>
      </c>
      <c r="D4008">
        <v>1</v>
      </c>
      <c r="E4008">
        <v>0</v>
      </c>
      <c r="F4008">
        <v>1.0777366486394163E-2</v>
      </c>
    </row>
    <row r="4009" spans="2:8">
      <c r="B4009">
        <v>3</v>
      </c>
      <c r="C4009">
        <v>0</v>
      </c>
      <c r="D4009">
        <v>0</v>
      </c>
      <c r="E4009">
        <v>0</v>
      </c>
      <c r="F4009">
        <v>-0.31676917392168424</v>
      </c>
      <c r="G4009">
        <v>-0.81093489528753537</v>
      </c>
      <c r="H4009">
        <v>-1.0711571531740864</v>
      </c>
    </row>
    <row r="4010" spans="2:8">
      <c r="B4010">
        <v>1</v>
      </c>
      <c r="C4010">
        <v>102</v>
      </c>
      <c r="D4010">
        <v>1</v>
      </c>
      <c r="E4010">
        <v>0</v>
      </c>
      <c r="F4010">
        <v>-1.2901086434356999E-2</v>
      </c>
      <c r="G4010">
        <v>-0.20934871170914846</v>
      </c>
      <c r="H4010">
        <v>-4.5855618088041256E-2</v>
      </c>
    </row>
    <row r="4011" spans="2:8">
      <c r="B4011">
        <v>1</v>
      </c>
      <c r="C4011">
        <v>102</v>
      </c>
      <c r="D4011">
        <v>1</v>
      </c>
      <c r="E4011">
        <v>0</v>
      </c>
      <c r="F4011">
        <v>2.4945197845702281E-2</v>
      </c>
    </row>
    <row r="4012" spans="2:8">
      <c r="B4012">
        <v>1</v>
      </c>
      <c r="C4012">
        <v>97.960799999999992</v>
      </c>
      <c r="D4012">
        <v>1</v>
      </c>
      <c r="E4012">
        <v>0</v>
      </c>
      <c r="F4012">
        <v>0.21572893663764772</v>
      </c>
    </row>
    <row r="4013" spans="2:8">
      <c r="B4013">
        <v>1</v>
      </c>
      <c r="C4013">
        <v>97.960799999999992</v>
      </c>
      <c r="D4013">
        <v>1</v>
      </c>
      <c r="E4013">
        <v>0</v>
      </c>
      <c r="F4013">
        <v>0.14069640540243994</v>
      </c>
    </row>
    <row r="4014" spans="2:8">
      <c r="B4014">
        <v>1</v>
      </c>
      <c r="C4014">
        <v>102</v>
      </c>
      <c r="D4014">
        <v>1</v>
      </c>
      <c r="E4014">
        <v>0</v>
      </c>
      <c r="F4014">
        <v>-3.0370891072521441E-2</v>
      </c>
      <c r="G4014">
        <v>-0.25466586638429933</v>
      </c>
      <c r="H4014">
        <v>-0.12792765035768974</v>
      </c>
    </row>
    <row r="4015" spans="2:8">
      <c r="B4015">
        <v>1</v>
      </c>
      <c r="C4015">
        <v>97.960799999999992</v>
      </c>
      <c r="D4015">
        <v>1</v>
      </c>
      <c r="E4015">
        <v>0</v>
      </c>
      <c r="F4015">
        <v>9.0399178780870018E-2</v>
      </c>
    </row>
    <row r="4016" spans="2:8">
      <c r="B4016">
        <v>3</v>
      </c>
      <c r="C4016">
        <v>97.771024959999991</v>
      </c>
      <c r="D4016">
        <v>3</v>
      </c>
      <c r="E4016">
        <v>0</v>
      </c>
      <c r="F4016">
        <v>-0.13514046789229953</v>
      </c>
      <c r="G4016">
        <v>7.9351648919630032E-3</v>
      </c>
      <c r="H4016">
        <v>2.7076016390044965E-3</v>
      </c>
    </row>
    <row r="4017" spans="2:8">
      <c r="B4017">
        <v>1</v>
      </c>
      <c r="C4017">
        <v>102</v>
      </c>
      <c r="D4017">
        <v>1</v>
      </c>
      <c r="E4017">
        <v>0</v>
      </c>
      <c r="F4017">
        <v>-0.13395602383296626</v>
      </c>
      <c r="G4017">
        <v>-0.28996179012549739</v>
      </c>
      <c r="H4017">
        <v>-0.29410231053725155</v>
      </c>
    </row>
    <row r="4018" spans="2:8">
      <c r="B4018">
        <v>1</v>
      </c>
      <c r="C4018">
        <v>97.960799999999992</v>
      </c>
      <c r="D4018">
        <v>1</v>
      </c>
      <c r="E4018">
        <v>0</v>
      </c>
      <c r="F4018">
        <v>9.9438967845525278E-2</v>
      </c>
    </row>
    <row r="4019" spans="2:8">
      <c r="B4019">
        <v>1</v>
      </c>
      <c r="C4019">
        <v>102</v>
      </c>
      <c r="D4019">
        <v>1</v>
      </c>
      <c r="E4019">
        <v>0</v>
      </c>
      <c r="F4019">
        <v>0.34408836989993191</v>
      </c>
    </row>
    <row r="4020" spans="2:8">
      <c r="B4020">
        <v>3</v>
      </c>
      <c r="C4020">
        <v>92.23681599999999</v>
      </c>
      <c r="D4020">
        <v>3</v>
      </c>
      <c r="E4020">
        <v>0</v>
      </c>
      <c r="F4020">
        <v>-0.16826799846938834</v>
      </c>
      <c r="G4020">
        <v>-0.19854141212455681</v>
      </c>
      <c r="H4020">
        <v>-0.23173367237497661</v>
      </c>
    </row>
    <row r="4021" spans="2:8">
      <c r="B4021">
        <v>1</v>
      </c>
      <c r="C4021">
        <v>97.960799999999992</v>
      </c>
      <c r="D4021">
        <v>1</v>
      </c>
      <c r="E4021">
        <v>0</v>
      </c>
      <c r="F4021">
        <v>6.8571063312504191E-2</v>
      </c>
    </row>
    <row r="4022" spans="2:8">
      <c r="B4022">
        <v>3</v>
      </c>
      <c r="C4022">
        <v>92.23681599999999</v>
      </c>
      <c r="D4022">
        <v>3</v>
      </c>
      <c r="E4022">
        <v>0</v>
      </c>
      <c r="F4022">
        <v>-0.21604494591184498</v>
      </c>
      <c r="G4022">
        <v>-0.16585439162909046</v>
      </c>
      <c r="H4022">
        <v>-0.23175838846740515</v>
      </c>
    </row>
    <row r="4023" spans="2:8">
      <c r="B4023">
        <v>1</v>
      </c>
      <c r="C4023">
        <v>102</v>
      </c>
      <c r="D4023">
        <v>1</v>
      </c>
      <c r="E4023">
        <v>0</v>
      </c>
      <c r="F4023">
        <v>5.7441758036362131E-2</v>
      </c>
    </row>
    <row r="4024" spans="2:8">
      <c r="B4024">
        <v>1</v>
      </c>
      <c r="C4024">
        <v>102</v>
      </c>
      <c r="D4024">
        <v>1</v>
      </c>
      <c r="E4024">
        <v>0</v>
      </c>
      <c r="F4024">
        <v>-0.17747713611908347</v>
      </c>
      <c r="G4024">
        <v>-9.3219318565198495E-2</v>
      </c>
      <c r="H4024">
        <v>-0.13339239548423762</v>
      </c>
    </row>
    <row r="4025" spans="2:8">
      <c r="B4025">
        <v>1</v>
      </c>
      <c r="C4025">
        <v>102</v>
      </c>
      <c r="D4025">
        <v>1</v>
      </c>
      <c r="E4025">
        <v>0</v>
      </c>
      <c r="F4025">
        <v>-2.7680045721754667E-2</v>
      </c>
      <c r="G4025">
        <v>-7.4121345705168581E-2</v>
      </c>
      <c r="H4025">
        <v>5.7698793100405765E-2</v>
      </c>
    </row>
    <row r="4026" spans="2:8">
      <c r="B4026">
        <v>3</v>
      </c>
      <c r="C4026">
        <v>32.638121837486224</v>
      </c>
      <c r="D4026">
        <v>0</v>
      </c>
      <c r="E4026">
        <v>0</v>
      </c>
      <c r="F4026">
        <v>-0.30131800956946581</v>
      </c>
      <c r="G4026">
        <v>-0.40256339646105849</v>
      </c>
      <c r="H4026">
        <v>-0.65322567725303415</v>
      </c>
    </row>
    <row r="4027" spans="2:8">
      <c r="B4027">
        <v>3</v>
      </c>
      <c r="C4027">
        <v>97.771024959999991</v>
      </c>
      <c r="D4027">
        <v>3</v>
      </c>
      <c r="E4027">
        <v>0</v>
      </c>
      <c r="F4027">
        <v>-2.6036398532135061E-2</v>
      </c>
      <c r="G4027">
        <v>-7.08537651621821E-2</v>
      </c>
      <c r="H4027">
        <v>6.4157612045853907E-2</v>
      </c>
    </row>
    <row r="4028" spans="2:8">
      <c r="B4028">
        <v>1</v>
      </c>
      <c r="C4028">
        <v>97.960799999999992</v>
      </c>
      <c r="D4028">
        <v>1</v>
      </c>
      <c r="E4028">
        <v>0</v>
      </c>
      <c r="F4028">
        <v>7.214862445423717E-2</v>
      </c>
    </row>
    <row r="4029" spans="2:8">
      <c r="B4029">
        <v>1</v>
      </c>
      <c r="C4029">
        <v>102</v>
      </c>
      <c r="D4029">
        <v>1</v>
      </c>
      <c r="E4029">
        <v>0</v>
      </c>
      <c r="F4029">
        <v>1.5439479863785192E-2</v>
      </c>
    </row>
    <row r="4030" spans="2:8">
      <c r="B4030">
        <v>3</v>
      </c>
      <c r="C4030">
        <v>18.38822223290887</v>
      </c>
      <c r="D4030">
        <v>0</v>
      </c>
      <c r="E4030">
        <v>0</v>
      </c>
      <c r="F4030">
        <v>-0.39047071733762212</v>
      </c>
      <c r="G4030">
        <v>-0.5100111811834438</v>
      </c>
      <c r="H4030">
        <v>-0.80462836240736357</v>
      </c>
    </row>
    <row r="4031" spans="2:8">
      <c r="B4031">
        <v>1</v>
      </c>
      <c r="C4031">
        <v>97.960799999999992</v>
      </c>
      <c r="D4031">
        <v>1</v>
      </c>
      <c r="E4031">
        <v>0</v>
      </c>
      <c r="F4031">
        <v>2.8616022516593197E-2</v>
      </c>
    </row>
    <row r="4032" spans="2:8">
      <c r="B4032">
        <v>3</v>
      </c>
      <c r="C4032">
        <v>92.23681599999999</v>
      </c>
      <c r="D4032">
        <v>3</v>
      </c>
      <c r="E4032">
        <v>0</v>
      </c>
      <c r="F4032">
        <v>-0.23120336012869763</v>
      </c>
      <c r="G4032">
        <v>-0.19133862501127089</v>
      </c>
      <c r="H4032">
        <v>-0.26586285647822577</v>
      </c>
    </row>
    <row r="4033" spans="2:8">
      <c r="B4033">
        <v>1</v>
      </c>
      <c r="C4033">
        <v>97.960799999999992</v>
      </c>
      <c r="D4033">
        <v>1</v>
      </c>
      <c r="E4033">
        <v>0</v>
      </c>
      <c r="F4033">
        <v>9.2835917233642457E-2</v>
      </c>
    </row>
    <row r="4034" spans="2:8">
      <c r="B4034">
        <v>1</v>
      </c>
      <c r="C4034">
        <v>102</v>
      </c>
      <c r="D4034">
        <v>1</v>
      </c>
      <c r="E4034">
        <v>0</v>
      </c>
      <c r="F4034">
        <v>-0.3650080532723663</v>
      </c>
      <c r="G4034">
        <v>-0.37229370483665603</v>
      </c>
      <c r="H4034">
        <v>-0.49145154030638261</v>
      </c>
    </row>
    <row r="4035" spans="2:8">
      <c r="B4035">
        <v>1</v>
      </c>
      <c r="C4035">
        <v>102</v>
      </c>
      <c r="D4035">
        <v>1</v>
      </c>
      <c r="E4035">
        <v>0</v>
      </c>
      <c r="F4035">
        <v>-0.22632729781177899</v>
      </c>
      <c r="G4035">
        <v>-0.49121296901112088</v>
      </c>
      <c r="H4035">
        <v>-0.56305375266226865</v>
      </c>
    </row>
    <row r="4036" spans="2:8">
      <c r="B4036">
        <v>3</v>
      </c>
      <c r="C4036">
        <v>47.233018882761186</v>
      </c>
      <c r="D4036">
        <v>1</v>
      </c>
      <c r="E4036">
        <v>0</v>
      </c>
      <c r="F4036">
        <v>-0.2960296398249449</v>
      </c>
      <c r="G4036">
        <v>-0.39557896476631799</v>
      </c>
      <c r="H4036">
        <v>-0.49815745477265866</v>
      </c>
    </row>
    <row r="4037" spans="2:8">
      <c r="B4037">
        <v>3</v>
      </c>
      <c r="C4037">
        <v>92.23681599999999</v>
      </c>
      <c r="D4037">
        <v>1</v>
      </c>
      <c r="E4037">
        <v>0</v>
      </c>
      <c r="F4037">
        <v>-0.14196149330310062</v>
      </c>
      <c r="G4037">
        <v>-0.3066777559998749</v>
      </c>
      <c r="H4037">
        <v>-0.31804374468274338</v>
      </c>
    </row>
    <row r="4038" spans="2:8">
      <c r="B4038">
        <v>3</v>
      </c>
      <c r="C4038">
        <v>97.771024959999991</v>
      </c>
      <c r="D4038">
        <v>3</v>
      </c>
      <c r="E4038">
        <v>0</v>
      </c>
      <c r="F4038">
        <v>-5.6948517610637467E-3</v>
      </c>
      <c r="G4038">
        <v>0.18541030572064848</v>
      </c>
      <c r="H4038">
        <v>0.36765517971563549</v>
      </c>
    </row>
    <row r="4039" spans="2:8">
      <c r="B4039">
        <v>1</v>
      </c>
      <c r="C4039">
        <v>102</v>
      </c>
      <c r="D4039">
        <v>1</v>
      </c>
      <c r="E4039">
        <v>0</v>
      </c>
      <c r="F4039">
        <v>0.15224676114186689</v>
      </c>
    </row>
    <row r="4040" spans="2:8">
      <c r="B4040">
        <v>1</v>
      </c>
      <c r="C4040">
        <v>102</v>
      </c>
      <c r="D4040">
        <v>1</v>
      </c>
      <c r="E4040">
        <v>0</v>
      </c>
      <c r="F4040">
        <v>-0.32091376199285182</v>
      </c>
      <c r="G4040">
        <v>-0.31920343482057972</v>
      </c>
      <c r="H4040">
        <v>-0.42912799572325783</v>
      </c>
    </row>
    <row r="4041" spans="2:8">
      <c r="B4041">
        <v>3</v>
      </c>
      <c r="C4041">
        <v>24.563150308293519</v>
      </c>
      <c r="D4041">
        <v>1</v>
      </c>
      <c r="E4041">
        <v>0</v>
      </c>
      <c r="F4041">
        <v>-0.2832116211995751</v>
      </c>
      <c r="G4041">
        <v>-0.64092049728675937</v>
      </c>
      <c r="H4041">
        <v>-0.73902083413061814</v>
      </c>
    </row>
    <row r="4042" spans="2:8">
      <c r="B4042">
        <v>3</v>
      </c>
      <c r="C4042">
        <v>92.23681599999999</v>
      </c>
      <c r="D4042">
        <v>3</v>
      </c>
      <c r="E4042">
        <v>0</v>
      </c>
      <c r="F4042">
        <v>-0.1574086579987363</v>
      </c>
      <c r="G4042">
        <v>-0.17899253760708228</v>
      </c>
      <c r="H4042">
        <v>-0.20352040697613638</v>
      </c>
    </row>
    <row r="4043" spans="2:8">
      <c r="B4043">
        <v>1</v>
      </c>
      <c r="C4043">
        <v>102</v>
      </c>
      <c r="D4043">
        <v>1</v>
      </c>
      <c r="E4043">
        <v>0</v>
      </c>
      <c r="F4043">
        <v>3.6623113914169093E-2</v>
      </c>
    </row>
    <row r="4044" spans="2:8">
      <c r="B4044">
        <v>3</v>
      </c>
      <c r="C4044">
        <v>97.771024959999991</v>
      </c>
      <c r="D4044">
        <v>3</v>
      </c>
      <c r="E4044">
        <v>0</v>
      </c>
      <c r="F4044">
        <v>-7.3861390808314872E-3</v>
      </c>
      <c r="G4044">
        <v>0.17866179853116948</v>
      </c>
      <c r="H4044">
        <v>0.19168464276117544</v>
      </c>
    </row>
    <row r="4045" spans="2:8">
      <c r="B4045">
        <v>1</v>
      </c>
      <c r="C4045">
        <v>102</v>
      </c>
      <c r="D4045">
        <v>1</v>
      </c>
      <c r="E4045">
        <v>0</v>
      </c>
      <c r="F4045">
        <v>-0.20062601443367617</v>
      </c>
      <c r="G4045">
        <v>-0.43273899134232063</v>
      </c>
      <c r="H4045">
        <v>-0.60604460553497663</v>
      </c>
    </row>
    <row r="4046" spans="2:8">
      <c r="B4046">
        <v>3</v>
      </c>
      <c r="C4046">
        <v>92.23681599999999</v>
      </c>
      <c r="D4046">
        <v>3</v>
      </c>
      <c r="E4046">
        <v>0</v>
      </c>
      <c r="F4046">
        <v>-0.17968797904061218</v>
      </c>
      <c r="G4046">
        <v>-0.21858523054689571</v>
      </c>
      <c r="H4046">
        <v>-0.26038500936441855</v>
      </c>
    </row>
    <row r="4047" spans="2:8">
      <c r="B4047">
        <v>1</v>
      </c>
      <c r="C4047">
        <v>97.960799999999992</v>
      </c>
      <c r="D4047">
        <v>1</v>
      </c>
      <c r="E4047">
        <v>0</v>
      </c>
      <c r="F4047">
        <v>0.10631187706250048</v>
      </c>
    </row>
    <row r="4048" spans="2:8">
      <c r="B4048">
        <v>1</v>
      </c>
      <c r="C4048">
        <v>102</v>
      </c>
      <c r="D4048">
        <v>1</v>
      </c>
      <c r="E4048">
        <v>0</v>
      </c>
      <c r="F4048">
        <v>0.23001935467251722</v>
      </c>
    </row>
    <row r="4049" spans="2:8">
      <c r="B4049">
        <v>3</v>
      </c>
      <c r="C4049">
        <v>92.23681599999999</v>
      </c>
      <c r="D4049">
        <v>3</v>
      </c>
      <c r="E4049">
        <v>0</v>
      </c>
      <c r="F4049">
        <v>-0.12256205352154111</v>
      </c>
      <c r="G4049">
        <v>-0.26631187578968135</v>
      </c>
      <c r="H4049">
        <v>-0.25966438049306234</v>
      </c>
    </row>
    <row r="4050" spans="2:8">
      <c r="B4050">
        <v>3</v>
      </c>
      <c r="C4050">
        <v>97.771024959999991</v>
      </c>
      <c r="D4050">
        <v>3</v>
      </c>
      <c r="E4050">
        <v>0</v>
      </c>
      <c r="F4050">
        <v>-5.7769511810387822E-2</v>
      </c>
      <c r="G4050">
        <v>2.8843341215770531E-2</v>
      </c>
      <c r="H4050">
        <v>0.11127594443296888</v>
      </c>
    </row>
    <row r="4051" spans="2:8">
      <c r="B4051">
        <v>3</v>
      </c>
      <c r="C4051">
        <v>92.23681599999999</v>
      </c>
      <c r="D4051">
        <v>1</v>
      </c>
      <c r="E4051">
        <v>0</v>
      </c>
      <c r="F4051">
        <v>-0.14386333982062974</v>
      </c>
      <c r="G4051">
        <v>-0.3106620049560237</v>
      </c>
      <c r="H4051">
        <v>-0.3237031478599619</v>
      </c>
    </row>
    <row r="4052" spans="2:8">
      <c r="B4052">
        <v>1</v>
      </c>
      <c r="C4052">
        <v>97.960799999999992</v>
      </c>
      <c r="D4052">
        <v>1</v>
      </c>
      <c r="E4052">
        <v>0</v>
      </c>
      <c r="F4052">
        <v>0.14634192484980285</v>
      </c>
    </row>
    <row r="4053" spans="2:8">
      <c r="B4053">
        <v>1</v>
      </c>
      <c r="C4053">
        <v>102</v>
      </c>
      <c r="D4053">
        <v>1</v>
      </c>
      <c r="E4053">
        <v>0</v>
      </c>
      <c r="F4053">
        <v>8.2626705838348635E-2</v>
      </c>
    </row>
    <row r="4054" spans="2:8">
      <c r="B4054">
        <v>1</v>
      </c>
      <c r="C4054">
        <v>102</v>
      </c>
      <c r="D4054">
        <v>1</v>
      </c>
      <c r="E4054">
        <v>0</v>
      </c>
      <c r="F4054">
        <v>8.885564187485169E-2</v>
      </c>
    </row>
    <row r="4055" spans="2:8">
      <c r="B4055">
        <v>1</v>
      </c>
      <c r="C4055">
        <v>102</v>
      </c>
      <c r="D4055">
        <v>1</v>
      </c>
      <c r="E4055">
        <v>0</v>
      </c>
      <c r="F4055">
        <v>7.0744444715467369E-2</v>
      </c>
    </row>
    <row r="4056" spans="2:8">
      <c r="B4056">
        <v>1</v>
      </c>
      <c r="C4056">
        <v>97.960799999999992</v>
      </c>
      <c r="D4056">
        <v>1</v>
      </c>
      <c r="E4056">
        <v>0</v>
      </c>
      <c r="F4056">
        <v>0.13208445987089124</v>
      </c>
    </row>
    <row r="4057" spans="2:8">
      <c r="B4057">
        <v>1</v>
      </c>
      <c r="C4057">
        <v>102</v>
      </c>
      <c r="D4057">
        <v>1</v>
      </c>
      <c r="E4057">
        <v>0</v>
      </c>
      <c r="F4057">
        <v>-1.7304994717696934E-2</v>
      </c>
      <c r="G4057">
        <v>-5.3528755229081584E-2</v>
      </c>
      <c r="H4057">
        <v>9.9738278371861208E-2</v>
      </c>
    </row>
    <row r="4058" spans="2:8">
      <c r="B4058">
        <v>1</v>
      </c>
      <c r="C4058">
        <v>102</v>
      </c>
      <c r="D4058">
        <v>1</v>
      </c>
      <c r="E4058">
        <v>0</v>
      </c>
      <c r="F4058">
        <v>3.9750645740014266E-2</v>
      </c>
    </row>
    <row r="4059" spans="2:8">
      <c r="B4059">
        <v>1</v>
      </c>
      <c r="C4059">
        <v>97.960799999999992</v>
      </c>
      <c r="D4059">
        <v>1</v>
      </c>
      <c r="E4059">
        <v>0</v>
      </c>
      <c r="F4059">
        <v>0.1181257872327036</v>
      </c>
    </row>
    <row r="4060" spans="2:8">
      <c r="B4060">
        <v>3</v>
      </c>
      <c r="C4060">
        <v>92.23681599999999</v>
      </c>
      <c r="D4060">
        <v>3</v>
      </c>
      <c r="E4060">
        <v>0</v>
      </c>
      <c r="F4060">
        <v>-0.20222673208463188</v>
      </c>
      <c r="G4060">
        <v>-0.14126269348683337</v>
      </c>
      <c r="H4060">
        <v>-0.19858464045740853</v>
      </c>
    </row>
    <row r="4061" spans="2:8">
      <c r="B4061">
        <v>1</v>
      </c>
      <c r="C4061">
        <v>97.960799999999992</v>
      </c>
      <c r="D4061">
        <v>1</v>
      </c>
      <c r="E4061">
        <v>0</v>
      </c>
      <c r="F4061">
        <v>2.6775380901269553E-2</v>
      </c>
    </row>
    <row r="4062" spans="2:8">
      <c r="B4062">
        <v>1</v>
      </c>
      <c r="C4062">
        <v>97.960799999999992</v>
      </c>
      <c r="D4062">
        <v>1</v>
      </c>
      <c r="E4062">
        <v>0</v>
      </c>
      <c r="F4062">
        <v>2.0160186503921162E-2</v>
      </c>
    </row>
    <row r="4063" spans="2:8">
      <c r="B4063">
        <v>1</v>
      </c>
      <c r="C4063">
        <v>97.960799999999992</v>
      </c>
      <c r="D4063">
        <v>1</v>
      </c>
      <c r="E4063">
        <v>0</v>
      </c>
      <c r="F4063">
        <v>0.29596204975409662</v>
      </c>
    </row>
    <row r="4064" spans="2:8">
      <c r="B4064">
        <v>1</v>
      </c>
      <c r="C4064">
        <v>102</v>
      </c>
      <c r="D4064">
        <v>1</v>
      </c>
      <c r="E4064">
        <v>0</v>
      </c>
      <c r="F4064">
        <v>7.6596421611685839E-2</v>
      </c>
    </row>
    <row r="4065" spans="2:8">
      <c r="B4065">
        <v>1</v>
      </c>
      <c r="C4065">
        <v>102</v>
      </c>
      <c r="D4065">
        <v>1</v>
      </c>
      <c r="E4065">
        <v>0</v>
      </c>
      <c r="F4065">
        <v>0.10899256706834888</v>
      </c>
    </row>
    <row r="4066" spans="2:8">
      <c r="B4066">
        <v>1</v>
      </c>
      <c r="C4066">
        <v>97.960799999999992</v>
      </c>
      <c r="D4066">
        <v>1</v>
      </c>
      <c r="E4066">
        <v>0</v>
      </c>
      <c r="F4066">
        <v>2.3778219835990197E-2</v>
      </c>
    </row>
    <row r="4067" spans="2:8">
      <c r="B4067">
        <v>1</v>
      </c>
      <c r="C4067">
        <v>102</v>
      </c>
      <c r="D4067">
        <v>1</v>
      </c>
      <c r="E4067">
        <v>0</v>
      </c>
      <c r="F4067">
        <v>-0.20899009897295465</v>
      </c>
      <c r="G4067">
        <v>-0.45145826672585415</v>
      </c>
      <c r="H4067">
        <v>-0.51306803386372968</v>
      </c>
    </row>
    <row r="4068" spans="2:8">
      <c r="B4068">
        <v>1</v>
      </c>
      <c r="C4068">
        <v>97.960799999999992</v>
      </c>
      <c r="D4068">
        <v>1</v>
      </c>
      <c r="E4068">
        <v>0</v>
      </c>
      <c r="F4068">
        <v>4.1674445445074024E-2</v>
      </c>
    </row>
    <row r="4069" spans="2:8">
      <c r="B4069">
        <v>3</v>
      </c>
      <c r="C4069">
        <v>92.23681599999999</v>
      </c>
      <c r="D4069">
        <v>3</v>
      </c>
      <c r="E4069">
        <v>0</v>
      </c>
      <c r="F4069">
        <v>-0.1302858787600478</v>
      </c>
      <c r="G4069">
        <v>-0.282326476555257</v>
      </c>
      <c r="H4069">
        <v>-0.28305813114158745</v>
      </c>
    </row>
    <row r="4070" spans="2:8">
      <c r="B4070">
        <v>1</v>
      </c>
      <c r="C4070">
        <v>102</v>
      </c>
      <c r="D4070">
        <v>1</v>
      </c>
      <c r="E4070">
        <v>0</v>
      </c>
      <c r="F4070">
        <v>-0.14894878565348127</v>
      </c>
      <c r="G4070">
        <v>-0.16342172930033239</v>
      </c>
      <c r="H4070">
        <v>-0.29022899137600422</v>
      </c>
    </row>
    <row r="4071" spans="2:8">
      <c r="B4071">
        <v>1</v>
      </c>
      <c r="C4071">
        <v>97.960799999999992</v>
      </c>
      <c r="D4071">
        <v>1</v>
      </c>
      <c r="E4071">
        <v>0</v>
      </c>
      <c r="F4071">
        <v>0.17796059151914795</v>
      </c>
    </row>
    <row r="4072" spans="2:8">
      <c r="B4072">
        <v>1</v>
      </c>
      <c r="C4072">
        <v>97.960799999999992</v>
      </c>
      <c r="D4072">
        <v>1</v>
      </c>
      <c r="E4072">
        <v>0</v>
      </c>
      <c r="F4072">
        <v>3.3529346454055114E-2</v>
      </c>
    </row>
    <row r="4073" spans="2:8">
      <c r="B4073">
        <v>3</v>
      </c>
      <c r="C4073">
        <v>32.434511874134962</v>
      </c>
      <c r="D4073">
        <v>1</v>
      </c>
      <c r="E4073">
        <v>0</v>
      </c>
      <c r="F4073">
        <v>-0.2575270398073195</v>
      </c>
      <c r="G4073">
        <v>-0.56780629327695331</v>
      </c>
      <c r="H4073">
        <v>-0.65538899741885859</v>
      </c>
    </row>
    <row r="4074" spans="2:8">
      <c r="B4074">
        <v>1</v>
      </c>
      <c r="C4074">
        <v>102</v>
      </c>
      <c r="D4074">
        <v>1</v>
      </c>
      <c r="E4074">
        <v>0</v>
      </c>
      <c r="F4074">
        <v>0.1664575119862047</v>
      </c>
    </row>
    <row r="4075" spans="2:8">
      <c r="B4075">
        <v>1</v>
      </c>
      <c r="C4075">
        <v>97.960799999999992</v>
      </c>
      <c r="D4075">
        <v>1</v>
      </c>
      <c r="E4075">
        <v>0</v>
      </c>
      <c r="F4075">
        <v>4.8797868636337192E-2</v>
      </c>
    </row>
    <row r="4076" spans="2:8">
      <c r="B4076">
        <v>1</v>
      </c>
      <c r="C4076">
        <v>102</v>
      </c>
      <c r="D4076">
        <v>1</v>
      </c>
      <c r="E4076">
        <v>0</v>
      </c>
      <c r="F4076">
        <v>-0.47555204127181083</v>
      </c>
      <c r="G4076">
        <v>-0.49169225010086581</v>
      </c>
      <c r="H4076">
        <v>-0.62031032356845073</v>
      </c>
    </row>
    <row r="4077" spans="2:8">
      <c r="B4077">
        <v>1</v>
      </c>
      <c r="C4077">
        <v>102</v>
      </c>
      <c r="D4077">
        <v>1</v>
      </c>
      <c r="E4077">
        <v>0</v>
      </c>
      <c r="F4077">
        <v>-0.18564628031188402</v>
      </c>
      <c r="G4077">
        <v>-0.39979031789243102</v>
      </c>
      <c r="H4077">
        <v>-0.44588050320522132</v>
      </c>
    </row>
    <row r="4078" spans="2:8">
      <c r="B4078">
        <v>1</v>
      </c>
      <c r="C4078">
        <v>97.960799999999992</v>
      </c>
      <c r="D4078">
        <v>1</v>
      </c>
      <c r="E4078">
        <v>0</v>
      </c>
      <c r="F4078">
        <v>0.12895914804865674</v>
      </c>
    </row>
    <row r="4079" spans="2:8">
      <c r="B4079">
        <v>1</v>
      </c>
      <c r="C4079">
        <v>102</v>
      </c>
      <c r="D4079">
        <v>1</v>
      </c>
      <c r="E4079">
        <v>0</v>
      </c>
      <c r="F4079">
        <v>0.12397698982162034</v>
      </c>
    </row>
    <row r="4080" spans="2:8">
      <c r="B4080">
        <v>3</v>
      </c>
      <c r="C4080">
        <v>92.23681599999999</v>
      </c>
      <c r="D4080">
        <v>3</v>
      </c>
      <c r="E4080">
        <v>0</v>
      </c>
      <c r="F4080">
        <v>-3.99829573998506E-3</v>
      </c>
      <c r="G4080">
        <v>-0.18804725183839974</v>
      </c>
      <c r="H4080">
        <v>-9.2589397343376134E-4</v>
      </c>
    </row>
    <row r="4081" spans="2:8">
      <c r="B4081">
        <v>3</v>
      </c>
      <c r="C4081">
        <v>92.23681599999999</v>
      </c>
      <c r="D4081">
        <v>3</v>
      </c>
      <c r="E4081">
        <v>0</v>
      </c>
      <c r="F4081">
        <v>-2.9087088522486799E-3</v>
      </c>
      <c r="G4081">
        <v>-0.13491527269347356</v>
      </c>
      <c r="H4081">
        <v>-0.11720269240393755</v>
      </c>
    </row>
    <row r="4082" spans="2:8">
      <c r="B4082">
        <v>1</v>
      </c>
      <c r="C4082">
        <v>102</v>
      </c>
      <c r="D4082">
        <v>1</v>
      </c>
      <c r="E4082">
        <v>0</v>
      </c>
      <c r="F4082">
        <v>-0.22160737685384335</v>
      </c>
      <c r="G4082">
        <v>-0.28786343342756199</v>
      </c>
      <c r="H4082">
        <v>-0.47900672688905221</v>
      </c>
    </row>
    <row r="4083" spans="2:8">
      <c r="B4083">
        <v>3</v>
      </c>
      <c r="C4083">
        <v>92.23681599999999</v>
      </c>
      <c r="D4083">
        <v>3</v>
      </c>
      <c r="E4083">
        <v>0</v>
      </c>
      <c r="F4083">
        <v>-0.13211572787627082</v>
      </c>
      <c r="G4083">
        <v>-0.28613113168558391</v>
      </c>
      <c r="H4083">
        <v>-0.28857007107627847</v>
      </c>
    </row>
    <row r="4084" spans="2:8">
      <c r="B4084">
        <v>1</v>
      </c>
      <c r="C4084">
        <v>102</v>
      </c>
      <c r="D4084">
        <v>1</v>
      </c>
      <c r="E4084">
        <v>0</v>
      </c>
      <c r="F4084">
        <v>-3.20079674432978E-2</v>
      </c>
      <c r="G4084">
        <v>9.7135197079689942E-2</v>
      </c>
      <c r="H4084">
        <v>0.22086254688463933</v>
      </c>
    </row>
    <row r="4085" spans="2:8">
      <c r="B4085">
        <v>1</v>
      </c>
      <c r="C4085">
        <v>102</v>
      </c>
      <c r="D4085">
        <v>1</v>
      </c>
      <c r="E4085">
        <v>0</v>
      </c>
      <c r="F4085">
        <v>-0.26511846563458474</v>
      </c>
      <c r="G4085">
        <v>-0.58803657570820755</v>
      </c>
      <c r="H4085">
        <v>-0.81356000394726191</v>
      </c>
    </row>
    <row r="4086" spans="2:8">
      <c r="B4086">
        <v>3</v>
      </c>
      <c r="C4086">
        <v>92.23681599999999</v>
      </c>
      <c r="D4086">
        <v>2</v>
      </c>
      <c r="E4086">
        <v>0</v>
      </c>
      <c r="F4086">
        <v>-6.4725354651026135E-2</v>
      </c>
      <c r="G4086">
        <v>-0.37127779215918794</v>
      </c>
      <c r="H4086">
        <v>-0.29852170981209925</v>
      </c>
    </row>
    <row r="4087" spans="2:8">
      <c r="B4087">
        <v>1</v>
      </c>
      <c r="C4087">
        <v>102</v>
      </c>
      <c r="D4087">
        <v>1</v>
      </c>
      <c r="E4087">
        <v>0</v>
      </c>
      <c r="F4087">
        <v>-0.28788930037219734</v>
      </c>
      <c r="G4087">
        <v>-0.65623453012154565</v>
      </c>
      <c r="H4087">
        <v>-0.8979956882554716</v>
      </c>
    </row>
    <row r="4088" spans="2:8">
      <c r="B4088">
        <v>3</v>
      </c>
      <c r="C4088">
        <v>92.23681599999999</v>
      </c>
      <c r="D4088">
        <v>3</v>
      </c>
      <c r="E4088">
        <v>0</v>
      </c>
      <c r="F4088">
        <v>-3.8994137508050745E-2</v>
      </c>
      <c r="G4088">
        <v>-0.27937873321767814</v>
      </c>
      <c r="H4088">
        <v>-0.16788939435159206</v>
      </c>
    </row>
    <row r="4089" spans="2:8">
      <c r="B4089">
        <v>1</v>
      </c>
      <c r="C4089">
        <v>97.960799999999992</v>
      </c>
      <c r="D4089">
        <v>1</v>
      </c>
      <c r="E4089">
        <v>0</v>
      </c>
      <c r="F4089">
        <v>0.13412396734918372</v>
      </c>
    </row>
    <row r="4090" spans="2:8">
      <c r="B4090">
        <v>3</v>
      </c>
      <c r="C4090">
        <v>92.23681599999999</v>
      </c>
      <c r="D4090">
        <v>2</v>
      </c>
      <c r="E4090">
        <v>0</v>
      </c>
      <c r="F4090">
        <v>-0.24816046582275159</v>
      </c>
      <c r="G4090">
        <v>-0.21824949899179993</v>
      </c>
      <c r="H4090">
        <v>-0.30145783000740828</v>
      </c>
    </row>
    <row r="4091" spans="2:8">
      <c r="B4091">
        <v>1</v>
      </c>
      <c r="C4091">
        <v>97.960799999999992</v>
      </c>
      <c r="D4091">
        <v>1</v>
      </c>
      <c r="E4091">
        <v>0</v>
      </c>
      <c r="F4091">
        <v>0.13737009605374281</v>
      </c>
    </row>
    <row r="4092" spans="2:8">
      <c r="B4092">
        <v>1</v>
      </c>
      <c r="C4092">
        <v>102</v>
      </c>
      <c r="D4092">
        <v>1</v>
      </c>
      <c r="E4092">
        <v>0</v>
      </c>
      <c r="F4092">
        <v>0.10200821647124035</v>
      </c>
    </row>
    <row r="4093" spans="2:8">
      <c r="B4093">
        <v>1</v>
      </c>
      <c r="C4093">
        <v>97.960799999999992</v>
      </c>
      <c r="D4093">
        <v>1</v>
      </c>
      <c r="E4093">
        <v>0</v>
      </c>
      <c r="F4093">
        <v>3.8525374985332955E-2</v>
      </c>
    </row>
    <row r="4094" spans="2:8">
      <c r="B4094">
        <v>1</v>
      </c>
      <c r="C4094">
        <v>102</v>
      </c>
      <c r="D4094">
        <v>1</v>
      </c>
      <c r="E4094">
        <v>0</v>
      </c>
      <c r="F4094">
        <v>-0.29099448524271099</v>
      </c>
      <c r="G4094">
        <v>-0.28011267294308162</v>
      </c>
      <c r="H4094">
        <v>-0.38099083100842163</v>
      </c>
    </row>
    <row r="4095" spans="2:8">
      <c r="B4095">
        <v>3</v>
      </c>
      <c r="C4095">
        <v>92.23681599999999</v>
      </c>
      <c r="D4095">
        <v>1</v>
      </c>
      <c r="E4095">
        <v>0</v>
      </c>
      <c r="F4095">
        <v>-0.42057040690809111</v>
      </c>
      <c r="G4095">
        <v>-0.18497072746364382</v>
      </c>
      <c r="H4095">
        <v>-0.31062307155102081</v>
      </c>
    </row>
    <row r="4096" spans="2:8">
      <c r="B4096">
        <v>3</v>
      </c>
      <c r="C4096">
        <v>92.23681599999999</v>
      </c>
      <c r="D4096">
        <v>1</v>
      </c>
      <c r="E4096">
        <v>0</v>
      </c>
      <c r="F4096">
        <v>-7.3338856271742678E-2</v>
      </c>
      <c r="G4096">
        <v>-0.41606579218033968</v>
      </c>
      <c r="H4096">
        <v>-0.35464977133971365</v>
      </c>
    </row>
    <row r="4097" spans="2:8">
      <c r="B4097">
        <v>1</v>
      </c>
      <c r="C4097">
        <v>102</v>
      </c>
      <c r="D4097">
        <v>1</v>
      </c>
      <c r="E4097">
        <v>0</v>
      </c>
      <c r="F4097">
        <v>-0.22928000057527848</v>
      </c>
      <c r="G4097">
        <v>-0.49813956712166702</v>
      </c>
      <c r="H4097">
        <v>-0.69562076988537169</v>
      </c>
    </row>
    <row r="4098" spans="2:8">
      <c r="B4098">
        <v>1</v>
      </c>
      <c r="C4098">
        <v>102</v>
      </c>
      <c r="D4098">
        <v>1</v>
      </c>
      <c r="E4098">
        <v>0</v>
      </c>
      <c r="F4098">
        <v>-0.1178791075028648</v>
      </c>
      <c r="G4098">
        <v>6.333947698765216E-2</v>
      </c>
      <c r="H4098">
        <v>7.4601123402340749E-2</v>
      </c>
    </row>
    <row r="4099" spans="2:8">
      <c r="B4099">
        <v>3</v>
      </c>
      <c r="C4099">
        <v>92.23681599999999</v>
      </c>
      <c r="D4099">
        <v>3</v>
      </c>
      <c r="E4099">
        <v>0</v>
      </c>
      <c r="F4099">
        <v>-7.0657876205709486E-2</v>
      </c>
      <c r="G4099">
        <v>-0.16026404891020016</v>
      </c>
      <c r="H4099">
        <v>-9.5388889834922858E-2</v>
      </c>
    </row>
    <row r="4100" spans="2:8">
      <c r="B4100">
        <v>1</v>
      </c>
      <c r="C4100">
        <v>102</v>
      </c>
      <c r="D4100">
        <v>1</v>
      </c>
      <c r="E4100">
        <v>0</v>
      </c>
      <c r="F4100">
        <v>-0.10134647216097635</v>
      </c>
      <c r="G4100">
        <v>-6.9576235621856414E-2</v>
      </c>
      <c r="H4100">
        <v>-4.1114701507904444E-2</v>
      </c>
    </row>
    <row r="4101" spans="2:8">
      <c r="B4101">
        <v>3</v>
      </c>
      <c r="C4101">
        <v>97.771024959999991</v>
      </c>
      <c r="D4101">
        <v>3</v>
      </c>
      <c r="E4101">
        <v>0</v>
      </c>
      <c r="F4101">
        <v>-1.0149932272945384E-2</v>
      </c>
      <c r="G4101">
        <v>-3.9373419967959282E-2</v>
      </c>
      <c r="H4101">
        <v>0.13094582453766573</v>
      </c>
    </row>
    <row r="4102" spans="2:8">
      <c r="B4102">
        <v>1</v>
      </c>
      <c r="C4102">
        <v>102</v>
      </c>
      <c r="D4102">
        <v>1</v>
      </c>
      <c r="E4102">
        <v>0</v>
      </c>
      <c r="F4102">
        <v>0.18575447083811589</v>
      </c>
    </row>
    <row r="4103" spans="2:8">
      <c r="B4103">
        <v>1</v>
      </c>
      <c r="C4103">
        <v>97.960799999999992</v>
      </c>
      <c r="D4103">
        <v>1</v>
      </c>
      <c r="E4103">
        <v>0</v>
      </c>
      <c r="F4103">
        <v>0.21157526082599606</v>
      </c>
    </row>
    <row r="4104" spans="2:8">
      <c r="B4104">
        <v>1</v>
      </c>
      <c r="C4104">
        <v>102</v>
      </c>
      <c r="D4104">
        <v>1</v>
      </c>
      <c r="E4104">
        <v>0</v>
      </c>
      <c r="F4104">
        <v>-0.1086737117021091</v>
      </c>
      <c r="G4104">
        <v>0.10101617531183475</v>
      </c>
      <c r="H4104">
        <v>0.12167294667954935</v>
      </c>
    </row>
    <row r="4105" spans="2:8">
      <c r="B4105">
        <v>3</v>
      </c>
      <c r="C4105">
        <v>92.23681599999999</v>
      </c>
      <c r="D4105">
        <v>3</v>
      </c>
      <c r="E4105">
        <v>0</v>
      </c>
      <c r="F4105">
        <v>-9.6878400864912284E-2</v>
      </c>
      <c r="G4105">
        <v>-0.21352546946453765</v>
      </c>
      <c r="H4105">
        <v>-0.18015311239870302</v>
      </c>
    </row>
    <row r="4106" spans="2:8">
      <c r="B4106">
        <v>3</v>
      </c>
      <c r="C4106">
        <v>97.771024959999991</v>
      </c>
      <c r="D4106">
        <v>3</v>
      </c>
      <c r="E4106">
        <v>0</v>
      </c>
      <c r="F4106">
        <v>-2.3333736316943299E-2</v>
      </c>
      <c r="G4106">
        <v>0.12321762856164339</v>
      </c>
      <c r="H4106">
        <v>0.2636323838893469</v>
      </c>
    </row>
    <row r="4107" spans="2:8">
      <c r="B4107">
        <v>3</v>
      </c>
      <c r="C4107">
        <v>92.23681599999999</v>
      </c>
      <c r="D4107">
        <v>1</v>
      </c>
      <c r="E4107">
        <v>0</v>
      </c>
      <c r="F4107">
        <v>-0.35830496605797985</v>
      </c>
      <c r="G4107">
        <v>-7.7159603763240006E-2</v>
      </c>
      <c r="H4107">
        <v>-0.35911543701820392</v>
      </c>
    </row>
    <row r="4108" spans="2:8">
      <c r="B4108">
        <v>1</v>
      </c>
      <c r="C4108">
        <v>97.960799999999992</v>
      </c>
      <c r="D4108">
        <v>1</v>
      </c>
      <c r="E4108">
        <v>0</v>
      </c>
      <c r="F4108">
        <v>1.430337144362435E-2</v>
      </c>
    </row>
    <row r="4109" spans="2:8">
      <c r="B4109">
        <v>1</v>
      </c>
      <c r="C4109">
        <v>102</v>
      </c>
      <c r="D4109">
        <v>1</v>
      </c>
      <c r="E4109">
        <v>0</v>
      </c>
      <c r="F4109">
        <v>-0.17175026728751508</v>
      </c>
      <c r="G4109">
        <v>-0.36976058617582624</v>
      </c>
      <c r="H4109">
        <v>-0.4056316104840238</v>
      </c>
    </row>
    <row r="4110" spans="2:8">
      <c r="B4110">
        <v>1</v>
      </c>
      <c r="C4110">
        <v>102</v>
      </c>
      <c r="D4110">
        <v>1</v>
      </c>
      <c r="E4110">
        <v>0</v>
      </c>
      <c r="F4110">
        <v>-4.062176095261491E-2</v>
      </c>
      <c r="G4110">
        <v>7.3035363093120129E-2</v>
      </c>
      <c r="H4110">
        <v>0.18180179374278893</v>
      </c>
    </row>
    <row r="4111" spans="2:8">
      <c r="B4111">
        <v>1</v>
      </c>
      <c r="C4111">
        <v>102</v>
      </c>
      <c r="D4111">
        <v>1</v>
      </c>
      <c r="E4111">
        <v>0</v>
      </c>
      <c r="F4111">
        <v>-0.21430471726348232</v>
      </c>
      <c r="G4111">
        <v>-0.4634955193532399</v>
      </c>
      <c r="H4111">
        <v>-0.6485110329932563</v>
      </c>
    </row>
    <row r="4112" spans="2:8">
      <c r="B4112">
        <v>3</v>
      </c>
      <c r="C4112">
        <v>92.23681599999999</v>
      </c>
      <c r="D4112">
        <v>3</v>
      </c>
      <c r="E4112">
        <v>0</v>
      </c>
      <c r="F4112">
        <v>-0.14701169839043007</v>
      </c>
      <c r="G4112">
        <v>-0.15981321549870584</v>
      </c>
      <c r="H4112">
        <v>-0.17559322126133547</v>
      </c>
    </row>
    <row r="4113" spans="2:8">
      <c r="B4113">
        <v>1</v>
      </c>
      <c r="C4113">
        <v>97.960799999999992</v>
      </c>
      <c r="D4113">
        <v>1</v>
      </c>
      <c r="E4113">
        <v>0</v>
      </c>
      <c r="F4113">
        <v>7.9080040533488546E-3</v>
      </c>
    </row>
    <row r="4114" spans="2:8">
      <c r="B4114">
        <v>1</v>
      </c>
      <c r="C4114">
        <v>97.960799999999992</v>
      </c>
      <c r="D4114">
        <v>1</v>
      </c>
      <c r="E4114">
        <v>0</v>
      </c>
      <c r="F4114">
        <v>8.4118629740236303E-2</v>
      </c>
    </row>
    <row r="4115" spans="2:8">
      <c r="B4115">
        <v>3</v>
      </c>
      <c r="C4115">
        <v>92.23681599999999</v>
      </c>
      <c r="D4115">
        <v>3</v>
      </c>
      <c r="E4115">
        <v>0</v>
      </c>
      <c r="F4115">
        <v>-1.1828356043252188E-2</v>
      </c>
      <c r="G4115">
        <v>-0.15367708941590671</v>
      </c>
      <c r="H4115">
        <v>-0.14528817642332778</v>
      </c>
    </row>
    <row r="4116" spans="2:8">
      <c r="B4116">
        <v>3</v>
      </c>
      <c r="C4116">
        <v>92.23681599999999</v>
      </c>
      <c r="D4116">
        <v>2</v>
      </c>
      <c r="E4116">
        <v>0</v>
      </c>
      <c r="F4116">
        <v>-0.18192333816466619</v>
      </c>
      <c r="G4116">
        <v>-0.22244829279695241</v>
      </c>
      <c r="H4116">
        <v>-0.37930339037211586</v>
      </c>
    </row>
    <row r="4117" spans="2:8">
      <c r="B4117">
        <v>1</v>
      </c>
      <c r="C4117">
        <v>102</v>
      </c>
      <c r="D4117">
        <v>1</v>
      </c>
      <c r="E4117">
        <v>0</v>
      </c>
      <c r="F4117">
        <v>-0.24266334775399878</v>
      </c>
      <c r="G4117">
        <v>-0.53026867273564704</v>
      </c>
      <c r="H4117">
        <v>-0.61077089800284989</v>
      </c>
    </row>
    <row r="4118" spans="2:8">
      <c r="B4118">
        <v>3</v>
      </c>
      <c r="C4118">
        <v>92.23681599999999</v>
      </c>
      <c r="D4118">
        <v>1</v>
      </c>
      <c r="E4118">
        <v>0</v>
      </c>
      <c r="F4118">
        <v>-0.23425871941480922</v>
      </c>
      <c r="G4118">
        <v>-0.30750024439874774</v>
      </c>
      <c r="H4118">
        <v>-0.38366315257584266</v>
      </c>
    </row>
    <row r="4119" spans="2:8">
      <c r="B4119">
        <v>3</v>
      </c>
      <c r="C4119">
        <v>31.350812601446698</v>
      </c>
      <c r="D4119">
        <v>1</v>
      </c>
      <c r="E4119">
        <v>0</v>
      </c>
      <c r="F4119">
        <v>-0.26126406488434734</v>
      </c>
      <c r="G4119">
        <v>-0.57765713542848374</v>
      </c>
      <c r="H4119">
        <v>-0.66690311220827736</v>
      </c>
    </row>
    <row r="4120" spans="2:8">
      <c r="B4120">
        <v>1</v>
      </c>
      <c r="C4120">
        <v>102</v>
      </c>
      <c r="D4120">
        <v>1</v>
      </c>
      <c r="E4120">
        <v>0</v>
      </c>
      <c r="F4120">
        <v>-0.19179492110393961</v>
      </c>
      <c r="G4120">
        <v>-0.23927606886433331</v>
      </c>
      <c r="H4120">
        <v>-0.28965191231592463</v>
      </c>
    </row>
    <row r="4121" spans="2:8">
      <c r="B4121">
        <v>1</v>
      </c>
      <c r="C4121">
        <v>97.960799999999992</v>
      </c>
      <c r="D4121">
        <v>1</v>
      </c>
      <c r="E4121">
        <v>0</v>
      </c>
      <c r="F4121">
        <v>0.15598745653275836</v>
      </c>
    </row>
    <row r="4122" spans="2:8">
      <c r="B4122">
        <v>1</v>
      </c>
      <c r="C4122">
        <v>97.960799999999992</v>
      </c>
      <c r="D4122">
        <v>1</v>
      </c>
      <c r="E4122">
        <v>0</v>
      </c>
      <c r="F4122">
        <v>6.50531308763065E-2</v>
      </c>
    </row>
    <row r="4123" spans="2:8">
      <c r="B4123">
        <v>1</v>
      </c>
      <c r="C4123">
        <v>97.960799999999992</v>
      </c>
      <c r="D4123">
        <v>1</v>
      </c>
      <c r="E4123">
        <v>0</v>
      </c>
      <c r="F4123">
        <v>0.15984583373417527</v>
      </c>
    </row>
    <row r="4124" spans="2:8">
      <c r="B4124">
        <v>3</v>
      </c>
      <c r="C4124">
        <v>92.23681599999999</v>
      </c>
      <c r="D4124">
        <v>2</v>
      </c>
      <c r="E4124">
        <v>0</v>
      </c>
      <c r="F4124">
        <v>-5.6146588766291652E-2</v>
      </c>
      <c r="G4124">
        <v>-0.3361972996412545</v>
      </c>
      <c r="H4124">
        <v>-0.25143273233233732</v>
      </c>
    </row>
    <row r="4125" spans="2:8">
      <c r="B4125">
        <v>3</v>
      </c>
      <c r="C4125">
        <v>44.270651560440129</v>
      </c>
      <c r="D4125">
        <v>1</v>
      </c>
      <c r="E4125">
        <v>0</v>
      </c>
      <c r="F4125">
        <v>-0.44835662484470518</v>
      </c>
      <c r="G4125">
        <v>-0.22062661066105679</v>
      </c>
      <c r="H4125">
        <v>-0.5296320882408676</v>
      </c>
    </row>
    <row r="4126" spans="2:8">
      <c r="B4126">
        <v>1</v>
      </c>
      <c r="C4126">
        <v>97.960799999999992</v>
      </c>
      <c r="D4126">
        <v>1</v>
      </c>
      <c r="E4126">
        <v>0</v>
      </c>
      <c r="F4126">
        <v>4.3611986928924332E-2</v>
      </c>
    </row>
    <row r="4127" spans="2:8">
      <c r="B4127">
        <v>1</v>
      </c>
      <c r="C4127">
        <v>102</v>
      </c>
      <c r="D4127">
        <v>1</v>
      </c>
      <c r="E4127">
        <v>0</v>
      </c>
      <c r="F4127">
        <v>-0.34024609423249491</v>
      </c>
      <c r="G4127">
        <v>-2.2945111862798271E-2</v>
      </c>
      <c r="H4127">
        <v>-0.13746057292258301</v>
      </c>
    </row>
    <row r="4128" spans="2:8">
      <c r="B4128">
        <v>3</v>
      </c>
      <c r="C4128">
        <v>54.739329505829183</v>
      </c>
      <c r="D4128">
        <v>1</v>
      </c>
      <c r="E4128">
        <v>0</v>
      </c>
      <c r="F4128">
        <v>-0.2516276495711931</v>
      </c>
      <c r="G4128">
        <v>-0.33354212780953479</v>
      </c>
      <c r="H4128">
        <v>-0.41840422033092944</v>
      </c>
    </row>
    <row r="4129" spans="2:8">
      <c r="B4129">
        <v>1</v>
      </c>
      <c r="C4129">
        <v>102</v>
      </c>
      <c r="D4129">
        <v>1</v>
      </c>
      <c r="E4129">
        <v>0</v>
      </c>
      <c r="F4129">
        <v>-0.21162548925599717</v>
      </c>
      <c r="G4129">
        <v>-0.45741236499855098</v>
      </c>
      <c r="H4129">
        <v>-0.5206474785303089</v>
      </c>
    </row>
    <row r="4130" spans="2:8">
      <c r="B4130">
        <v>1</v>
      </c>
      <c r="C4130">
        <v>102</v>
      </c>
      <c r="D4130">
        <v>1</v>
      </c>
      <c r="E4130">
        <v>0</v>
      </c>
      <c r="F4130">
        <v>-0.66448480624003148</v>
      </c>
      <c r="G4130">
        <v>-0.7916828441321242</v>
      </c>
      <c r="H4130">
        <v>-0.92212150598295228</v>
      </c>
    </row>
    <row r="4131" spans="2:8">
      <c r="B4131">
        <v>3</v>
      </c>
      <c r="C4131">
        <v>92.23681599999999</v>
      </c>
      <c r="D4131">
        <v>3</v>
      </c>
      <c r="E4131">
        <v>0</v>
      </c>
      <c r="F4131">
        <v>-6.0433192274432605E-2</v>
      </c>
      <c r="G4131">
        <v>-0.13964545530933234</v>
      </c>
      <c r="H4131">
        <v>-6.0977647057992718E-2</v>
      </c>
    </row>
    <row r="4132" spans="2:8">
      <c r="B4132">
        <v>3</v>
      </c>
      <c r="C4132">
        <v>26.724785842276372</v>
      </c>
      <c r="D4132">
        <v>0</v>
      </c>
      <c r="E4132">
        <v>0</v>
      </c>
      <c r="F4132">
        <v>-0.33516846242236648</v>
      </c>
      <c r="G4132">
        <v>-0.44546718244522909</v>
      </c>
      <c r="H4132">
        <v>-0.71605383553752711</v>
      </c>
    </row>
    <row r="4133" spans="2:8">
      <c r="B4133">
        <v>1</v>
      </c>
      <c r="C4133">
        <v>102</v>
      </c>
      <c r="D4133">
        <v>1</v>
      </c>
      <c r="E4133">
        <v>0</v>
      </c>
      <c r="F4133">
        <v>5.0854162664031434E-4</v>
      </c>
    </row>
    <row r="4134" spans="2:8">
      <c r="B4134">
        <v>3</v>
      </c>
      <c r="C4134">
        <v>97.771024959999991</v>
      </c>
      <c r="D4134">
        <v>3</v>
      </c>
      <c r="E4134">
        <v>0</v>
      </c>
      <c r="F4134">
        <v>-0.12550169555602436</v>
      </c>
      <c r="G4134">
        <v>3.7120513532206939E-2</v>
      </c>
      <c r="H4134">
        <v>4.0926187238322954E-2</v>
      </c>
    </row>
    <row r="4135" spans="2:8">
      <c r="B4135">
        <v>3</v>
      </c>
      <c r="C4135">
        <v>47.396168712272065</v>
      </c>
      <c r="D4135">
        <v>1</v>
      </c>
      <c r="E4135">
        <v>0</v>
      </c>
      <c r="F4135">
        <v>-0.16483963186691819</v>
      </c>
      <c r="G4135">
        <v>-0.3549847338431949</v>
      </c>
      <c r="H4135">
        <v>-0.49642401643583811</v>
      </c>
    </row>
    <row r="4136" spans="2:8">
      <c r="B4136">
        <v>1</v>
      </c>
      <c r="C4136">
        <v>102</v>
      </c>
      <c r="D4136">
        <v>1</v>
      </c>
      <c r="E4136">
        <v>0</v>
      </c>
      <c r="F4136">
        <v>-0.37671644330297338</v>
      </c>
      <c r="G4136">
        <v>-0.49449068499013987</v>
      </c>
      <c r="H4136">
        <v>-0.61542113119313091</v>
      </c>
    </row>
    <row r="4137" spans="2:8">
      <c r="B4137">
        <v>3</v>
      </c>
      <c r="C4137">
        <v>92.23681599999999</v>
      </c>
      <c r="D4137">
        <v>3</v>
      </c>
      <c r="E4137">
        <v>0</v>
      </c>
      <c r="F4137">
        <v>-8.6380437418958567E-2</v>
      </c>
      <c r="G4137">
        <v>-0.19213125551418103</v>
      </c>
      <c r="H4137">
        <v>-0.14673143799345564</v>
      </c>
    </row>
    <row r="4138" spans="2:8">
      <c r="B4138">
        <v>3</v>
      </c>
      <c r="C4138">
        <v>92.23681599999999</v>
      </c>
      <c r="D4138">
        <v>2</v>
      </c>
      <c r="E4138">
        <v>0</v>
      </c>
      <c r="F4138">
        <v>-0.1703840050133727</v>
      </c>
      <c r="G4138">
        <v>-0.20229462934228809</v>
      </c>
      <c r="H4138">
        <v>-0.34877461186285819</v>
      </c>
    </row>
    <row r="4139" spans="2:8">
      <c r="B4139">
        <v>3</v>
      </c>
      <c r="C4139">
        <v>12.794227910953762</v>
      </c>
      <c r="D4139">
        <v>0</v>
      </c>
      <c r="E4139">
        <v>0</v>
      </c>
      <c r="F4139">
        <v>-0.31063260354278066</v>
      </c>
      <c r="G4139">
        <v>-0.7569675037016147</v>
      </c>
      <c r="H4139">
        <v>-0.86406357139718815</v>
      </c>
    </row>
    <row r="4140" spans="2:8">
      <c r="B4140">
        <v>1</v>
      </c>
      <c r="C4140">
        <v>102</v>
      </c>
      <c r="D4140">
        <v>1</v>
      </c>
      <c r="E4140">
        <v>0</v>
      </c>
      <c r="F4140">
        <v>-0.12730563506062711</v>
      </c>
      <c r="G4140">
        <v>3.1369915840094346E-2</v>
      </c>
      <c r="H4140">
        <v>3.3452104737644768E-2</v>
      </c>
    </row>
    <row r="4141" spans="2:8">
      <c r="B4141">
        <v>1</v>
      </c>
      <c r="C4141">
        <v>102</v>
      </c>
      <c r="D4141">
        <v>1</v>
      </c>
      <c r="E4141">
        <v>0</v>
      </c>
      <c r="F4141">
        <v>-4.4914011088370905E-2</v>
      </c>
      <c r="G4141">
        <v>-0.10850074248691347</v>
      </c>
      <c r="H4141">
        <v>-6.7091226700862223E-3</v>
      </c>
    </row>
    <row r="4142" spans="2:8">
      <c r="B4142">
        <v>3</v>
      </c>
      <c r="C4142">
        <v>55.439047376759163</v>
      </c>
      <c r="D4142">
        <v>2</v>
      </c>
      <c r="E4142">
        <v>0</v>
      </c>
      <c r="F4142">
        <v>-0.19417766415689794</v>
      </c>
      <c r="G4142">
        <v>-0.24328177597621131</v>
      </c>
      <c r="H4142">
        <v>-0.41096984061956365</v>
      </c>
    </row>
    <row r="4143" spans="2:8">
      <c r="B4143">
        <v>1</v>
      </c>
      <c r="C4143">
        <v>102</v>
      </c>
      <c r="D4143">
        <v>1</v>
      </c>
      <c r="E4143">
        <v>0</v>
      </c>
      <c r="F4143">
        <v>-0.19815618049154585</v>
      </c>
      <c r="G4143">
        <v>-0.42725881378869335</v>
      </c>
      <c r="H4143">
        <v>-0.48191864824948688</v>
      </c>
    </row>
    <row r="4144" spans="2:8">
      <c r="B4144">
        <v>1</v>
      </c>
      <c r="C4144">
        <v>102</v>
      </c>
      <c r="D4144">
        <v>1</v>
      </c>
      <c r="E4144">
        <v>0</v>
      </c>
      <c r="F4144">
        <v>0.19079739417973771</v>
      </c>
    </row>
    <row r="4145" spans="2:8">
      <c r="B4145">
        <v>1</v>
      </c>
      <c r="C4145">
        <v>97.960799999999992</v>
      </c>
      <c r="D4145">
        <v>1</v>
      </c>
      <c r="E4145">
        <v>0</v>
      </c>
      <c r="F4145">
        <v>1.9009356341582097E-2</v>
      </c>
    </row>
    <row r="4146" spans="2:8">
      <c r="B4146">
        <v>1</v>
      </c>
      <c r="C4146">
        <v>102</v>
      </c>
      <c r="D4146">
        <v>1</v>
      </c>
      <c r="E4146">
        <v>0</v>
      </c>
      <c r="F4146">
        <v>-0.18944263375564557</v>
      </c>
      <c r="G4146">
        <v>-0.11716308798261174</v>
      </c>
      <c r="H4146">
        <v>-0.16591627145083487</v>
      </c>
    </row>
    <row r="4147" spans="2:8">
      <c r="B4147">
        <v>3</v>
      </c>
      <c r="C4147">
        <v>97.771024959999991</v>
      </c>
      <c r="D4147">
        <v>3</v>
      </c>
      <c r="E4147">
        <v>0</v>
      </c>
      <c r="F4147">
        <v>-1.2030200246069874E-3</v>
      </c>
      <c r="G4147">
        <v>-2.1727194160110694E-2</v>
      </c>
      <c r="H4147">
        <v>0.17391338156407463</v>
      </c>
    </row>
    <row r="4148" spans="2:8">
      <c r="B4148">
        <v>1</v>
      </c>
      <c r="C4148">
        <v>102</v>
      </c>
      <c r="D4148">
        <v>1</v>
      </c>
      <c r="E4148">
        <v>0</v>
      </c>
      <c r="F4148">
        <v>0.12590165257912472</v>
      </c>
    </row>
    <row r="4149" spans="2:8">
      <c r="B4149">
        <v>3</v>
      </c>
      <c r="C4149">
        <v>41.913269954486474</v>
      </c>
      <c r="D4149">
        <v>1</v>
      </c>
      <c r="E4149">
        <v>0</v>
      </c>
      <c r="F4149">
        <v>-0.22343257204054223</v>
      </c>
      <c r="G4149">
        <v>-0.4844710939376014</v>
      </c>
      <c r="H4149">
        <v>-0.55467885453248134</v>
      </c>
    </row>
    <row r="4150" spans="2:8">
      <c r="B4150">
        <v>1</v>
      </c>
      <c r="C4150">
        <v>102</v>
      </c>
      <c r="D4150">
        <v>1</v>
      </c>
      <c r="E4150">
        <v>0</v>
      </c>
      <c r="F4150">
        <v>7.4360249153554589E-2</v>
      </c>
    </row>
    <row r="4151" spans="2:8">
      <c r="B4151">
        <v>3</v>
      </c>
      <c r="C4151">
        <v>37.533246215671141</v>
      </c>
      <c r="D4151">
        <v>1</v>
      </c>
      <c r="E4151">
        <v>0</v>
      </c>
      <c r="F4151">
        <v>-0.23941973794908739</v>
      </c>
      <c r="G4151">
        <v>-0.52235919107057371</v>
      </c>
      <c r="H4151">
        <v>-0.60121583889715224</v>
      </c>
    </row>
    <row r="4152" spans="2:8">
      <c r="B4152">
        <v>1</v>
      </c>
      <c r="C4152">
        <v>97.960799999999992</v>
      </c>
      <c r="D4152">
        <v>1</v>
      </c>
      <c r="E4152">
        <v>0</v>
      </c>
      <c r="F4152">
        <v>0.11349148295053101</v>
      </c>
    </row>
    <row r="4153" spans="2:8">
      <c r="B4153">
        <v>1</v>
      </c>
      <c r="C4153">
        <v>97.960799999999992</v>
      </c>
      <c r="D4153">
        <v>1</v>
      </c>
      <c r="E4153">
        <v>0</v>
      </c>
      <c r="F4153">
        <v>0.18264475242482919</v>
      </c>
    </row>
    <row r="4154" spans="2:8">
      <c r="B4154">
        <v>1</v>
      </c>
      <c r="C4154">
        <v>102</v>
      </c>
      <c r="D4154">
        <v>1</v>
      </c>
      <c r="E4154">
        <v>0</v>
      </c>
      <c r="F4154">
        <v>-8.2012634999681741E-2</v>
      </c>
      <c r="G4154">
        <v>-0.48819169724088468</v>
      </c>
      <c r="H4154">
        <v>-0.43756935276687225</v>
      </c>
    </row>
    <row r="4155" spans="2:8">
      <c r="B4155">
        <v>3</v>
      </c>
      <c r="C4155">
        <v>40.751102198559011</v>
      </c>
      <c r="D4155">
        <v>1</v>
      </c>
      <c r="E4155">
        <v>0</v>
      </c>
      <c r="F4155">
        <v>-0.18795130983830294</v>
      </c>
      <c r="G4155">
        <v>-0.40481786448846985</v>
      </c>
      <c r="H4155">
        <v>-0.56702668320003768</v>
      </c>
    </row>
    <row r="4156" spans="2:8">
      <c r="B4156">
        <v>1</v>
      </c>
      <c r="C4156">
        <v>102</v>
      </c>
      <c r="D4156">
        <v>1</v>
      </c>
      <c r="E4156">
        <v>0</v>
      </c>
      <c r="F4156">
        <v>-0.21880106674314168</v>
      </c>
      <c r="G4156">
        <v>-0.28342962189542403</v>
      </c>
      <c r="H4156">
        <v>-0.35096220592414434</v>
      </c>
    </row>
    <row r="4157" spans="2:8">
      <c r="B4157">
        <v>3</v>
      </c>
      <c r="C4157">
        <v>92.23681599999999</v>
      </c>
      <c r="D4157">
        <v>2</v>
      </c>
      <c r="E4157">
        <v>0</v>
      </c>
      <c r="F4157">
        <v>-0.34880449656678242</v>
      </c>
      <c r="G4157">
        <v>-5.1797969115626591E-2</v>
      </c>
      <c r="H4157">
        <v>-0.16806521738534974</v>
      </c>
    </row>
    <row r="4158" spans="2:8">
      <c r="B4158">
        <v>1</v>
      </c>
      <c r="C4158">
        <v>102</v>
      </c>
      <c r="D4158">
        <v>1</v>
      </c>
      <c r="E4158">
        <v>0</v>
      </c>
      <c r="F4158">
        <v>-9.96500909120034E-2</v>
      </c>
      <c r="G4158">
        <v>0.1506080102739942</v>
      </c>
      <c r="H4158">
        <v>0.1809200907015569</v>
      </c>
    </row>
    <row r="4159" spans="2:8">
      <c r="B4159">
        <v>1</v>
      </c>
      <c r="C4159">
        <v>102</v>
      </c>
      <c r="D4159">
        <v>1</v>
      </c>
      <c r="E4159">
        <v>0</v>
      </c>
      <c r="F4159">
        <v>-0.12435105506008598</v>
      </c>
      <c r="G4159">
        <v>-0.27001490840999737</v>
      </c>
      <c r="H4159">
        <v>-0.26510182865086496</v>
      </c>
    </row>
    <row r="4160" spans="2:8">
      <c r="B4160">
        <v>1</v>
      </c>
      <c r="C4160">
        <v>102</v>
      </c>
      <c r="D4160">
        <v>1</v>
      </c>
      <c r="E4160">
        <v>0</v>
      </c>
      <c r="F4160">
        <v>6.2936460869486455E-2</v>
      </c>
    </row>
    <row r="4161" spans="2:8">
      <c r="B4161">
        <v>1</v>
      </c>
      <c r="C4161">
        <v>102</v>
      </c>
      <c r="D4161">
        <v>1</v>
      </c>
      <c r="E4161">
        <v>0</v>
      </c>
      <c r="F4161">
        <v>-0.19572052934647219</v>
      </c>
      <c r="G4161">
        <v>-0.4218740022719526</v>
      </c>
      <c r="H4161">
        <v>-0.47491144649111905</v>
      </c>
    </row>
    <row r="4162" spans="2:8">
      <c r="B4162">
        <v>1</v>
      </c>
      <c r="C4162">
        <v>97.960799999999992</v>
      </c>
      <c r="D4162">
        <v>1</v>
      </c>
      <c r="E4162">
        <v>0</v>
      </c>
      <c r="F4162">
        <v>1.2536408577792181E-2</v>
      </c>
    </row>
    <row r="4163" spans="2:8">
      <c r="B4163">
        <v>1</v>
      </c>
      <c r="C4163">
        <v>97.960799999999992</v>
      </c>
      <c r="D4163">
        <v>1</v>
      </c>
      <c r="E4163">
        <v>0</v>
      </c>
      <c r="F4163">
        <v>6.6419831414419525E-2</v>
      </c>
    </row>
    <row r="4164" spans="2:8">
      <c r="B4164">
        <v>1</v>
      </c>
      <c r="C4164">
        <v>102</v>
      </c>
      <c r="D4164">
        <v>1</v>
      </c>
      <c r="E4164">
        <v>0</v>
      </c>
      <c r="F4164">
        <v>2.9800694321447784E-2</v>
      </c>
    </row>
    <row r="4165" spans="2:8">
      <c r="B4165">
        <v>1</v>
      </c>
      <c r="C4165">
        <v>102</v>
      </c>
      <c r="D4165">
        <v>1</v>
      </c>
      <c r="E4165">
        <v>0</v>
      </c>
      <c r="F4165">
        <v>0.17346618371472586</v>
      </c>
    </row>
    <row r="4166" spans="2:8">
      <c r="B4166">
        <v>1</v>
      </c>
      <c r="C4166">
        <v>102</v>
      </c>
      <c r="D4166">
        <v>1</v>
      </c>
      <c r="E4166">
        <v>0</v>
      </c>
      <c r="F4166">
        <v>0.28556189877286436</v>
      </c>
    </row>
    <row r="4167" spans="2:8">
      <c r="B4167">
        <v>3</v>
      </c>
      <c r="C4167">
        <v>92.23681599999999</v>
      </c>
      <c r="D4167">
        <v>1</v>
      </c>
      <c r="E4167">
        <v>0</v>
      </c>
      <c r="F4167">
        <v>-0.1521576725346892</v>
      </c>
      <c r="G4167">
        <v>-0.32810120766962803</v>
      </c>
      <c r="H4167">
        <v>-0.34826730399120137</v>
      </c>
    </row>
    <row r="4168" spans="2:8">
      <c r="B4168">
        <v>1</v>
      </c>
      <c r="C4168">
        <v>97.960799999999992</v>
      </c>
      <c r="D4168">
        <v>1</v>
      </c>
      <c r="E4168">
        <v>0</v>
      </c>
      <c r="F4168">
        <v>2.1964430726436366E-2</v>
      </c>
    </row>
    <row r="4169" spans="2:8">
      <c r="B4169">
        <v>1</v>
      </c>
      <c r="C4169">
        <v>102</v>
      </c>
      <c r="D4169">
        <v>1</v>
      </c>
      <c r="E4169">
        <v>0</v>
      </c>
      <c r="F4169">
        <v>3.4733396027591998E-2</v>
      </c>
    </row>
    <row r="4170" spans="2:8">
      <c r="B4170">
        <v>1</v>
      </c>
      <c r="C4170">
        <v>102</v>
      </c>
      <c r="D4170">
        <v>1</v>
      </c>
      <c r="E4170">
        <v>0</v>
      </c>
      <c r="F4170">
        <v>0.14287172736563208</v>
      </c>
    </row>
    <row r="4171" spans="2:8">
      <c r="B4171">
        <v>3</v>
      </c>
      <c r="C4171">
        <v>26.032614450051256</v>
      </c>
      <c r="D4171">
        <v>1</v>
      </c>
      <c r="E4171">
        <v>0</v>
      </c>
      <c r="F4171">
        <v>-0.27872306347569226</v>
      </c>
      <c r="G4171">
        <v>-0.62699419067218887</v>
      </c>
      <c r="H4171">
        <v>-0.72340803523562403</v>
      </c>
    </row>
    <row r="4172" spans="2:8">
      <c r="B4172">
        <v>1</v>
      </c>
      <c r="C4172">
        <v>102</v>
      </c>
      <c r="D4172">
        <v>1</v>
      </c>
      <c r="E4172">
        <v>0</v>
      </c>
      <c r="F4172">
        <v>0.27172736083811005</v>
      </c>
    </row>
    <row r="4173" spans="2:8">
      <c r="B4173">
        <v>3</v>
      </c>
      <c r="C4173">
        <v>97.771024959999991</v>
      </c>
      <c r="D4173">
        <v>3</v>
      </c>
      <c r="E4173">
        <v>0</v>
      </c>
      <c r="F4173">
        <v>-3.4689055021789303E-2</v>
      </c>
      <c r="G4173">
        <v>-8.807733192178295E-2</v>
      </c>
      <c r="H4173">
        <v>3.0841565174806594E-2</v>
      </c>
    </row>
    <row r="4174" spans="2:8">
      <c r="B4174">
        <v>1</v>
      </c>
      <c r="C4174">
        <v>97.960799999999992</v>
      </c>
      <c r="D4174">
        <v>1</v>
      </c>
      <c r="E4174">
        <v>0</v>
      </c>
      <c r="F4174">
        <v>0.11073377190799732</v>
      </c>
    </row>
    <row r="4175" spans="2:8">
      <c r="B4175">
        <v>1</v>
      </c>
      <c r="C4175">
        <v>102</v>
      </c>
      <c r="D4175">
        <v>1</v>
      </c>
      <c r="E4175">
        <v>0</v>
      </c>
      <c r="F4175">
        <v>-0.18336851848012536</v>
      </c>
      <c r="G4175">
        <v>-0.39483599800679869</v>
      </c>
      <c r="H4175">
        <v>-0.43930208852560915</v>
      </c>
    </row>
    <row r="4176" spans="2:8">
      <c r="B4176">
        <v>3</v>
      </c>
      <c r="C4176">
        <v>97.771024959999991</v>
      </c>
      <c r="D4176">
        <v>3</v>
      </c>
      <c r="E4176">
        <v>0</v>
      </c>
      <c r="F4176">
        <v>-1.4572259695250262E-2</v>
      </c>
      <c r="G4176">
        <v>0.15213215228462534</v>
      </c>
      <c r="H4176">
        <v>0.3116502540083263</v>
      </c>
    </row>
    <row r="4177" spans="2:8">
      <c r="B4177">
        <v>1</v>
      </c>
      <c r="C4177">
        <v>97.960799999999992</v>
      </c>
      <c r="D4177">
        <v>1</v>
      </c>
      <c r="E4177">
        <v>0</v>
      </c>
      <c r="F4177">
        <v>0.23511160630687472</v>
      </c>
    </row>
    <row r="4178" spans="2:8">
      <c r="B4178">
        <v>1</v>
      </c>
      <c r="C4178">
        <v>97.960799999999992</v>
      </c>
      <c r="D4178">
        <v>1</v>
      </c>
      <c r="E4178">
        <v>0</v>
      </c>
      <c r="F4178">
        <v>0.11629946959140557</v>
      </c>
    </row>
    <row r="4179" spans="2:8">
      <c r="B4179">
        <v>1</v>
      </c>
      <c r="C4179">
        <v>97.960799999999992</v>
      </c>
      <c r="D4179">
        <v>1</v>
      </c>
      <c r="E4179">
        <v>0</v>
      </c>
      <c r="F4179">
        <v>9.6546579994948051E-3</v>
      </c>
    </row>
    <row r="4180" spans="2:8">
      <c r="B4180">
        <v>3</v>
      </c>
      <c r="C4180">
        <v>92.23681599999999</v>
      </c>
      <c r="D4180">
        <v>3</v>
      </c>
      <c r="E4180">
        <v>0</v>
      </c>
      <c r="F4180">
        <v>-0.15540707349376834</v>
      </c>
      <c r="G4180">
        <v>-4.4510578319199266E-2</v>
      </c>
      <c r="H4180">
        <v>-6.7389236951308606E-2</v>
      </c>
    </row>
    <row r="4181" spans="2:8">
      <c r="B4181">
        <v>3</v>
      </c>
      <c r="C4181">
        <v>92.23681599999999</v>
      </c>
      <c r="D4181">
        <v>3</v>
      </c>
      <c r="E4181">
        <v>0</v>
      </c>
      <c r="F4181">
        <v>-7.9310131007300222E-2</v>
      </c>
      <c r="G4181">
        <v>-0.17777582908085124</v>
      </c>
      <c r="H4181">
        <v>-0.12385280948235997</v>
      </c>
    </row>
    <row r="4182" spans="2:8">
      <c r="B4182">
        <v>3</v>
      </c>
      <c r="C4182">
        <v>97.771024959999991</v>
      </c>
      <c r="D4182">
        <v>3</v>
      </c>
      <c r="E4182">
        <v>0</v>
      </c>
      <c r="F4182">
        <v>-7.4975859537019116E-2</v>
      </c>
      <c r="G4182">
        <v>-1.1914025938366244E-2</v>
      </c>
      <c r="H4182">
        <v>4.7419433564972989E-2</v>
      </c>
    </row>
    <row r="4183" spans="2:8">
      <c r="B4183">
        <v>3</v>
      </c>
      <c r="C4183">
        <v>92.23681599999999</v>
      </c>
      <c r="D4183">
        <v>3</v>
      </c>
      <c r="E4183">
        <v>0</v>
      </c>
      <c r="F4183">
        <v>-8.8040966443234975E-2</v>
      </c>
      <c r="G4183">
        <v>-0.19550888455267418</v>
      </c>
      <c r="H4183">
        <v>-0.15205962621810248</v>
      </c>
    </row>
    <row r="4184" spans="2:8">
      <c r="B4184">
        <v>1</v>
      </c>
      <c r="C4184">
        <v>102</v>
      </c>
      <c r="D4184">
        <v>1</v>
      </c>
      <c r="E4184">
        <v>0</v>
      </c>
      <c r="F4184">
        <v>-4.9200664224469809E-2</v>
      </c>
      <c r="G4184">
        <v>5.0390073692390652E-2</v>
      </c>
      <c r="H4184">
        <v>0.14548876830933571</v>
      </c>
    </row>
    <row r="4185" spans="2:8">
      <c r="B4185">
        <v>3</v>
      </c>
      <c r="C4185">
        <v>44.172919090040025</v>
      </c>
      <c r="D4185">
        <v>1</v>
      </c>
      <c r="E4185">
        <v>0</v>
      </c>
      <c r="F4185">
        <v>-0.1760734413066046</v>
      </c>
      <c r="G4185">
        <v>-0.37905493880940505</v>
      </c>
      <c r="H4185">
        <v>-0.53067047860542771</v>
      </c>
    </row>
    <row r="4186" spans="2:8">
      <c r="B4186">
        <v>3</v>
      </c>
      <c r="C4186">
        <v>51.1957135201284</v>
      </c>
      <c r="D4186">
        <v>1</v>
      </c>
      <c r="E4186">
        <v>0</v>
      </c>
      <c r="F4186">
        <v>-0.2717228481769759</v>
      </c>
      <c r="G4186">
        <v>-0.3623970439792738</v>
      </c>
      <c r="H4186">
        <v>-0.45605451894907301</v>
      </c>
    </row>
    <row r="4187" spans="2:8">
      <c r="B4187">
        <v>1</v>
      </c>
      <c r="C4187">
        <v>102</v>
      </c>
      <c r="D4187">
        <v>1</v>
      </c>
      <c r="E4187">
        <v>0</v>
      </c>
      <c r="F4187">
        <v>-0.17390079332793765</v>
      </c>
      <c r="G4187">
        <v>-0.3743788691115254</v>
      </c>
      <c r="H4187">
        <v>-0.41188038790558917</v>
      </c>
    </row>
    <row r="4188" spans="2:8">
      <c r="B4188">
        <v>1</v>
      </c>
      <c r="C4188">
        <v>97.960799999999992</v>
      </c>
      <c r="D4188">
        <v>1</v>
      </c>
      <c r="E4188">
        <v>0</v>
      </c>
      <c r="F4188">
        <v>8.6471886773047388E-2</v>
      </c>
    </row>
    <row r="4189" spans="2:8">
      <c r="B4189">
        <v>3</v>
      </c>
      <c r="C4189">
        <v>16.051050272420831</v>
      </c>
      <c r="D4189">
        <v>0</v>
      </c>
      <c r="E4189">
        <v>0</v>
      </c>
      <c r="F4189">
        <v>-0.30485357557888559</v>
      </c>
      <c r="G4189">
        <v>-0.7240801000530378</v>
      </c>
      <c r="H4189">
        <v>-0.82946040475885019</v>
      </c>
    </row>
    <row r="4190" spans="2:8">
      <c r="B4190">
        <v>3</v>
      </c>
      <c r="C4190">
        <v>42.542172785223478</v>
      </c>
      <c r="D4190">
        <v>0</v>
      </c>
      <c r="E4190">
        <v>0</v>
      </c>
      <c r="F4190">
        <v>-0.32776832910542575</v>
      </c>
      <c r="G4190">
        <v>-0.43633943233662315</v>
      </c>
      <c r="H4190">
        <v>-0.54799687220860904</v>
      </c>
    </row>
    <row r="4191" spans="2:8">
      <c r="B4191">
        <v>1</v>
      </c>
      <c r="C4191">
        <v>102</v>
      </c>
      <c r="D4191">
        <v>1</v>
      </c>
      <c r="E4191">
        <v>0</v>
      </c>
      <c r="F4191">
        <v>-0.11325135081328484</v>
      </c>
      <c r="G4191">
        <v>-0.24709757889819872</v>
      </c>
      <c r="H4191">
        <v>-0.23116795482444699</v>
      </c>
    </row>
    <row r="4192" spans="2:8">
      <c r="B4192">
        <v>3</v>
      </c>
      <c r="C4192">
        <v>97.771024959999991</v>
      </c>
      <c r="D4192">
        <v>3</v>
      </c>
      <c r="E4192">
        <v>0</v>
      </c>
      <c r="F4192">
        <v>-8.3664021684692821E-2</v>
      </c>
      <c r="G4192">
        <v>-3.1470387184121949E-2</v>
      </c>
      <c r="H4192">
        <v>1.716146344378134E-2</v>
      </c>
    </row>
    <row r="4193" spans="2:8">
      <c r="B4193">
        <v>3</v>
      </c>
      <c r="C4193">
        <v>92.23681599999999</v>
      </c>
      <c r="D4193">
        <v>3</v>
      </c>
      <c r="E4193">
        <v>0</v>
      </c>
      <c r="F4193">
        <v>-6.2057856297530099E-2</v>
      </c>
      <c r="G4193">
        <v>-0.14291631822572301</v>
      </c>
      <c r="H4193">
        <v>-6.6508050058910057E-2</v>
      </c>
    </row>
    <row r="4194" spans="2:8">
      <c r="B4194">
        <v>1</v>
      </c>
      <c r="C4194">
        <v>102</v>
      </c>
      <c r="D4194">
        <v>1</v>
      </c>
      <c r="E4194">
        <v>0</v>
      </c>
      <c r="F4194">
        <v>-0.12911910866637039</v>
      </c>
      <c r="G4194">
        <v>-0.12568668710514477</v>
      </c>
      <c r="H4194">
        <v>-0.12532164973834672</v>
      </c>
    </row>
    <row r="4195" spans="2:8">
      <c r="B4195">
        <v>1</v>
      </c>
      <c r="C4195">
        <v>97.960799999999992</v>
      </c>
      <c r="D4195">
        <v>1</v>
      </c>
      <c r="E4195">
        <v>0</v>
      </c>
      <c r="F4195">
        <v>8.0320771005061048E-2</v>
      </c>
    </row>
    <row r="4196" spans="2:8">
      <c r="B4196">
        <v>3</v>
      </c>
      <c r="C4196">
        <v>92.23681599999999</v>
      </c>
      <c r="D4196">
        <v>2</v>
      </c>
      <c r="E4196">
        <v>0</v>
      </c>
      <c r="F4196">
        <v>-0.26765361277760913</v>
      </c>
      <c r="G4196">
        <v>-0.24738633555801917</v>
      </c>
      <c r="H4196">
        <v>-0.33936964786087487</v>
      </c>
    </row>
    <row r="4197" spans="2:8">
      <c r="B4197">
        <v>1</v>
      </c>
      <c r="C4197">
        <v>102</v>
      </c>
      <c r="D4197">
        <v>1</v>
      </c>
      <c r="E4197">
        <v>0</v>
      </c>
      <c r="F4197">
        <v>0.20542617480518108</v>
      </c>
    </row>
    <row r="4198" spans="2:8">
      <c r="B4198">
        <v>1</v>
      </c>
      <c r="C4198">
        <v>97.960799999999992</v>
      </c>
      <c r="D4198">
        <v>1</v>
      </c>
      <c r="E4198">
        <v>0</v>
      </c>
      <c r="F4198">
        <v>5.0580039071348171E-3</v>
      </c>
    </row>
    <row r="4199" spans="2:8">
      <c r="B4199">
        <v>3</v>
      </c>
      <c r="C4199">
        <v>92.23681599999999</v>
      </c>
      <c r="D4199">
        <v>1</v>
      </c>
      <c r="E4199">
        <v>0</v>
      </c>
      <c r="F4199">
        <v>-0.14007217592918292</v>
      </c>
      <c r="G4199">
        <v>-0.30272484027008512</v>
      </c>
      <c r="H4199">
        <v>-0.31241113149219552</v>
      </c>
    </row>
    <row r="4200" spans="2:8">
      <c r="B4200">
        <v>1</v>
      </c>
      <c r="C4200">
        <v>102</v>
      </c>
      <c r="D4200">
        <v>1</v>
      </c>
      <c r="E4200">
        <v>0</v>
      </c>
      <c r="F4200">
        <v>-0.11964580839820853</v>
      </c>
      <c r="G4200">
        <v>-0.10700449067326692</v>
      </c>
      <c r="H4200">
        <v>-9.7496325885509397E-2</v>
      </c>
    </row>
    <row r="4201" spans="2:8">
      <c r="B4201">
        <v>1</v>
      </c>
      <c r="C4201">
        <v>102</v>
      </c>
      <c r="D4201">
        <v>1</v>
      </c>
      <c r="E4201">
        <v>0</v>
      </c>
      <c r="F4201">
        <v>4.6821654137251742E-2</v>
      </c>
    </row>
    <row r="4202" spans="2:8">
      <c r="B4202">
        <v>3</v>
      </c>
      <c r="C4202">
        <v>92.23681599999999</v>
      </c>
      <c r="D4202">
        <v>3</v>
      </c>
      <c r="E4202">
        <v>0</v>
      </c>
      <c r="F4202">
        <v>-0.14508833741885413</v>
      </c>
      <c r="G4202">
        <v>-1.900658938250854E-2</v>
      </c>
      <c r="H4202">
        <v>-3.3118447201828466E-2</v>
      </c>
    </row>
    <row r="4203" spans="2:8">
      <c r="B4203">
        <v>3</v>
      </c>
      <c r="C4203">
        <v>92.23681599999999</v>
      </c>
      <c r="D4203">
        <v>3</v>
      </c>
      <c r="E4203">
        <v>0</v>
      </c>
      <c r="F4203">
        <v>-0.10585281213527756</v>
      </c>
      <c r="G4203">
        <v>-0.23189463374103086</v>
      </c>
      <c r="H4203">
        <v>-0.20826861875640987</v>
      </c>
    </row>
    <row r="4204" spans="2:8">
      <c r="B4204">
        <v>1</v>
      </c>
      <c r="C4204">
        <v>97.960799999999992</v>
      </c>
      <c r="D4204">
        <v>1</v>
      </c>
      <c r="E4204">
        <v>0</v>
      </c>
      <c r="F4204">
        <v>3.3297774636286059E-3</v>
      </c>
    </row>
    <row r="4205" spans="2:8">
      <c r="B4205">
        <v>1</v>
      </c>
      <c r="C4205">
        <v>97.960799999999992</v>
      </c>
      <c r="D4205">
        <v>1</v>
      </c>
      <c r="E4205">
        <v>0</v>
      </c>
      <c r="F4205">
        <v>0.10367509571441212</v>
      </c>
    </row>
    <row r="4206" spans="2:8">
      <c r="B4206">
        <v>1</v>
      </c>
      <c r="C4206">
        <v>102</v>
      </c>
      <c r="D4206">
        <v>1</v>
      </c>
      <c r="E4206">
        <v>0</v>
      </c>
      <c r="F4206">
        <v>-0.166172014716961</v>
      </c>
      <c r="G4206">
        <v>-6.9114131590740355E-2</v>
      </c>
      <c r="H4206">
        <v>-0.10067089995824995</v>
      </c>
    </row>
    <row r="4207" spans="2:8">
      <c r="B4207">
        <v>3</v>
      </c>
      <c r="C4207">
        <v>92.23681599999999</v>
      </c>
      <c r="D4207">
        <v>3</v>
      </c>
      <c r="E4207">
        <v>0</v>
      </c>
      <c r="F4207">
        <v>-5.3484806597154551E-2</v>
      </c>
      <c r="G4207">
        <v>-0.12567898745685724</v>
      </c>
      <c r="H4207">
        <v>-3.702408953526086E-2</v>
      </c>
    </row>
    <row r="4208" spans="2:8">
      <c r="B4208">
        <v>3</v>
      </c>
      <c r="C4208">
        <v>92.23681599999999</v>
      </c>
      <c r="D4208">
        <v>2</v>
      </c>
      <c r="E4208">
        <v>0</v>
      </c>
      <c r="F4208">
        <v>-0.15942676517883417</v>
      </c>
      <c r="G4208">
        <v>-0.18266232765692492</v>
      </c>
      <c r="H4208">
        <v>-0.31914749669093223</v>
      </c>
    </row>
    <row r="4209" spans="2:8">
      <c r="B4209">
        <v>1</v>
      </c>
      <c r="C4209">
        <v>102</v>
      </c>
      <c r="D4209">
        <v>1</v>
      </c>
      <c r="E4209">
        <v>0</v>
      </c>
      <c r="F4209">
        <v>0.31591568883789584</v>
      </c>
    </row>
    <row r="4210" spans="2:8">
      <c r="B4210">
        <v>3</v>
      </c>
      <c r="C4210">
        <v>92.23681599999999</v>
      </c>
      <c r="D4210">
        <v>2</v>
      </c>
      <c r="E4210">
        <v>0</v>
      </c>
      <c r="F4210">
        <v>-4.7577726851584769E-2</v>
      </c>
      <c r="G4210">
        <v>-0.30621394384264167</v>
      </c>
      <c r="H4210">
        <v>-0.20861152477567979</v>
      </c>
    </row>
    <row r="4211" spans="2:8">
      <c r="B4211">
        <v>1</v>
      </c>
      <c r="C4211">
        <v>102</v>
      </c>
      <c r="D4211">
        <v>1</v>
      </c>
      <c r="E4211">
        <v>0</v>
      </c>
      <c r="F4211">
        <v>0.19963630312174377</v>
      </c>
    </row>
    <row r="4212" spans="2:8">
      <c r="B4212">
        <v>1</v>
      </c>
      <c r="C4212">
        <v>97.960799999999992</v>
      </c>
      <c r="D4212">
        <v>1</v>
      </c>
      <c r="E4212">
        <v>0</v>
      </c>
      <c r="F4212">
        <v>0.17067856711121504</v>
      </c>
    </row>
    <row r="4213" spans="2:8">
      <c r="B4213">
        <v>3</v>
      </c>
      <c r="C4213">
        <v>92.23681599999999</v>
      </c>
      <c r="D4213">
        <v>3</v>
      </c>
      <c r="E4213">
        <v>0</v>
      </c>
      <c r="F4213">
        <v>-6.9026189947287625E-2</v>
      </c>
      <c r="G4213">
        <v>-0.15696825076649479</v>
      </c>
      <c r="H4213">
        <v>-8.9957382210453393E-2</v>
      </c>
    </row>
    <row r="4214" spans="2:8">
      <c r="B4214">
        <v>1</v>
      </c>
      <c r="C4214">
        <v>102</v>
      </c>
      <c r="D4214">
        <v>1</v>
      </c>
      <c r="E4214">
        <v>0</v>
      </c>
      <c r="F4214">
        <v>-0.25519085113834827</v>
      </c>
      <c r="G4214">
        <v>-0.33875652536808565</v>
      </c>
      <c r="H4214">
        <v>-0.55679269410950172</v>
      </c>
    </row>
    <row r="4215" spans="2:8">
      <c r="B4215">
        <v>3</v>
      </c>
      <c r="C4215">
        <v>92.23681599999999</v>
      </c>
      <c r="D4215">
        <v>3</v>
      </c>
      <c r="E4215">
        <v>0</v>
      </c>
      <c r="F4215">
        <v>-7.7666572366796513E-2</v>
      </c>
      <c r="G4215">
        <v>-0.17444470254604677</v>
      </c>
      <c r="H4215">
        <v>-0.11848734337554269</v>
      </c>
    </row>
    <row r="4216" spans="2:8">
      <c r="B4216">
        <v>3</v>
      </c>
      <c r="C4216">
        <v>52.323409673653266</v>
      </c>
      <c r="D4216">
        <v>2</v>
      </c>
      <c r="E4216">
        <v>0</v>
      </c>
      <c r="F4216">
        <v>-0.20732407575658493</v>
      </c>
      <c r="G4216">
        <v>-0.26499701134676218</v>
      </c>
      <c r="H4216">
        <v>-0.44407294501384131</v>
      </c>
    </row>
    <row r="4217" spans="2:8">
      <c r="B4217">
        <v>3</v>
      </c>
      <c r="C4217">
        <v>92.23681599999999</v>
      </c>
      <c r="D4217">
        <v>1</v>
      </c>
      <c r="E4217">
        <v>0</v>
      </c>
      <c r="F4217">
        <v>-0.16277493382898212</v>
      </c>
      <c r="G4217">
        <v>-0.35058831186706052</v>
      </c>
      <c r="H4217">
        <v>-0.37945711383940645</v>
      </c>
    </row>
    <row r="4218" spans="2:8">
      <c r="B4218">
        <v>1</v>
      </c>
      <c r="C4218">
        <v>102</v>
      </c>
      <c r="D4218">
        <v>1</v>
      </c>
      <c r="E4218">
        <v>0</v>
      </c>
      <c r="F4218">
        <v>5.2073994043318139E-2</v>
      </c>
    </row>
    <row r="4219" spans="2:8">
      <c r="B4219">
        <v>1</v>
      </c>
      <c r="C4219">
        <v>102</v>
      </c>
      <c r="D4219">
        <v>1</v>
      </c>
      <c r="E4219">
        <v>0</v>
      </c>
      <c r="F4219">
        <v>-0.16072840531551638</v>
      </c>
      <c r="G4219">
        <v>-0.34623840780960347</v>
      </c>
      <c r="H4219">
        <v>-0.37346548997031032</v>
      </c>
    </row>
    <row r="4220" spans="2:8">
      <c r="B4220">
        <v>3</v>
      </c>
      <c r="C4220">
        <v>97.771024959999991</v>
      </c>
      <c r="D4220">
        <v>3</v>
      </c>
      <c r="E4220">
        <v>0</v>
      </c>
      <c r="F4220">
        <v>-6.6352934819965098E-2</v>
      </c>
      <c r="G4220">
        <v>8.1396692587774148E-3</v>
      </c>
      <c r="H4220">
        <v>7.8701311746012706E-2</v>
      </c>
    </row>
    <row r="4221" spans="2:8">
      <c r="B4221">
        <v>1</v>
      </c>
      <c r="C4221">
        <v>102</v>
      </c>
      <c r="D4221">
        <v>1</v>
      </c>
      <c r="E4221">
        <v>0</v>
      </c>
      <c r="F4221">
        <v>-0.11499776673831542</v>
      </c>
      <c r="G4221">
        <v>-0.2506944500546246</v>
      </c>
      <c r="H4221">
        <v>-0.23653930023554637</v>
      </c>
    </row>
    <row r="4222" spans="2:8">
      <c r="B4222">
        <v>1</v>
      </c>
      <c r="C4222">
        <v>97.960799999999992</v>
      </c>
      <c r="D4222">
        <v>1</v>
      </c>
      <c r="E4222">
        <v>0</v>
      </c>
      <c r="F4222">
        <v>3.1659293499281808E-2</v>
      </c>
    </row>
    <row r="4223" spans="2:8">
      <c r="B4223">
        <v>1</v>
      </c>
      <c r="C4223">
        <v>97.960799999999992</v>
      </c>
      <c r="D4223">
        <v>1</v>
      </c>
      <c r="E4223">
        <v>0</v>
      </c>
      <c r="F4223">
        <v>6.1685433547930893E-3</v>
      </c>
    </row>
    <row r="4224" spans="2:8">
      <c r="B4224">
        <v>3</v>
      </c>
      <c r="C4224">
        <v>37.488288706128557</v>
      </c>
      <c r="D4224">
        <v>1</v>
      </c>
      <c r="E4224">
        <v>0</v>
      </c>
      <c r="F4224">
        <v>-0.27593890413141031</v>
      </c>
      <c r="G4224">
        <v>-0.3682838829699191</v>
      </c>
      <c r="H4224">
        <v>-0.60169350455455894</v>
      </c>
    </row>
    <row r="4225" spans="2:8">
      <c r="B4225">
        <v>3</v>
      </c>
      <c r="C4225">
        <v>92.23681599999999</v>
      </c>
      <c r="D4225">
        <v>3</v>
      </c>
      <c r="E4225">
        <v>0</v>
      </c>
      <c r="F4225">
        <v>-5.1862458140318042E-2</v>
      </c>
      <c r="G4225">
        <v>-0.1224231990679532</v>
      </c>
      <c r="H4225">
        <v>-3.1355422808864157E-2</v>
      </c>
    </row>
    <row r="4226" spans="2:8">
      <c r="B4226">
        <v>1</v>
      </c>
      <c r="C4226">
        <v>97.960799999999992</v>
      </c>
      <c r="D4226">
        <v>1</v>
      </c>
      <c r="E4226">
        <v>0</v>
      </c>
      <c r="F4226">
        <v>0.25996316906334932</v>
      </c>
    </row>
    <row r="4227" spans="2:8">
      <c r="B4227">
        <v>1</v>
      </c>
      <c r="C4227">
        <v>102</v>
      </c>
      <c r="D4227">
        <v>1</v>
      </c>
      <c r="E4227">
        <v>0</v>
      </c>
      <c r="F4227">
        <v>9.5306888245736729E-2</v>
      </c>
    </row>
    <row r="4228" spans="2:8">
      <c r="B4228">
        <v>1</v>
      </c>
      <c r="C4228">
        <v>97.960799999999992</v>
      </c>
      <c r="D4228">
        <v>1</v>
      </c>
      <c r="E4228">
        <v>0</v>
      </c>
      <c r="F4228">
        <v>5.4092648252245336E-2</v>
      </c>
    </row>
    <row r="4229" spans="2:8">
      <c r="B4229">
        <v>1</v>
      </c>
      <c r="C4229">
        <v>97.960799999999992</v>
      </c>
      <c r="D4229">
        <v>1</v>
      </c>
      <c r="E4229">
        <v>0</v>
      </c>
      <c r="F4229">
        <v>0.25323241604636132</v>
      </c>
    </row>
    <row r="4230" spans="2:8">
      <c r="B4230">
        <v>3</v>
      </c>
      <c r="C4230">
        <v>92.23681599999999</v>
      </c>
      <c r="D4230">
        <v>3</v>
      </c>
      <c r="E4230">
        <v>0</v>
      </c>
      <c r="F4230">
        <v>-0.13699870133181932</v>
      </c>
      <c r="G4230">
        <v>-0.14089588175139348</v>
      </c>
      <c r="H4230">
        <v>-0.14781616296616534</v>
      </c>
    </row>
    <row r="4231" spans="2:8">
      <c r="B4231">
        <v>1</v>
      </c>
      <c r="C4231">
        <v>102</v>
      </c>
      <c r="D4231">
        <v>1</v>
      </c>
      <c r="E4231">
        <v>0</v>
      </c>
      <c r="F4231">
        <v>-1.8965644672302991E-2</v>
      </c>
      <c r="G4231">
        <v>-5.6819544080581319E-2</v>
      </c>
      <c r="H4231">
        <v>9.2786412648810185E-2</v>
      </c>
    </row>
    <row r="4232" spans="2:8">
      <c r="B4232">
        <v>1</v>
      </c>
      <c r="C4232">
        <v>97.960799999999992</v>
      </c>
      <c r="D4232">
        <v>1</v>
      </c>
      <c r="E4232">
        <v>0</v>
      </c>
      <c r="F4232">
        <v>0.37191023028088194</v>
      </c>
    </row>
    <row r="4233" spans="2:8">
      <c r="B4233">
        <v>1</v>
      </c>
      <c r="C4233">
        <v>102</v>
      </c>
      <c r="D4233">
        <v>1</v>
      </c>
      <c r="E4233">
        <v>0</v>
      </c>
      <c r="F4233">
        <v>5.9507057851274768E-2</v>
      </c>
    </row>
    <row r="4234" spans="2:8">
      <c r="B4234">
        <v>1</v>
      </c>
      <c r="C4234">
        <v>97.960799999999992</v>
      </c>
      <c r="D4234">
        <v>1</v>
      </c>
      <c r="E4234">
        <v>0</v>
      </c>
      <c r="F4234">
        <v>0.1960945187869248</v>
      </c>
    </row>
    <row r="4235" spans="2:8">
      <c r="B4235">
        <v>1</v>
      </c>
      <c r="C4235">
        <v>102</v>
      </c>
      <c r="D4235">
        <v>1</v>
      </c>
      <c r="E4235">
        <v>0</v>
      </c>
      <c r="F4235">
        <v>-9.5195437485632736E-2</v>
      </c>
      <c r="G4235">
        <v>-0.21008908730516823</v>
      </c>
      <c r="H4235">
        <v>-0.17483583081547319</v>
      </c>
    </row>
    <row r="4236" spans="2:8">
      <c r="B4236">
        <v>1</v>
      </c>
      <c r="C4236">
        <v>102</v>
      </c>
      <c r="D4236">
        <v>1</v>
      </c>
      <c r="E4236">
        <v>0</v>
      </c>
      <c r="F4236">
        <v>-0.13886837575261762</v>
      </c>
      <c r="G4236">
        <v>-0.14446243272267434</v>
      </c>
      <c r="H4236">
        <v>-0.15307032329655149</v>
      </c>
    </row>
    <row r="4237" spans="2:8">
      <c r="B4237">
        <v>1</v>
      </c>
      <c r="C4237">
        <v>97.960799999999992</v>
      </c>
      <c r="D4237">
        <v>1</v>
      </c>
      <c r="E4237">
        <v>0</v>
      </c>
      <c r="F4237">
        <v>0.1210223467111107</v>
      </c>
    </row>
    <row r="4238" spans="2:8">
      <c r="B4238">
        <v>1</v>
      </c>
      <c r="C4238">
        <v>97.960799999999992</v>
      </c>
      <c r="D4238">
        <v>1</v>
      </c>
      <c r="E4238">
        <v>0</v>
      </c>
      <c r="F4238">
        <v>0.14990836628833193</v>
      </c>
    </row>
    <row r="4239" spans="2:8">
      <c r="B4239">
        <v>3</v>
      </c>
      <c r="C4239">
        <v>92.23681599999999</v>
      </c>
      <c r="D4239">
        <v>3</v>
      </c>
      <c r="E4239">
        <v>0</v>
      </c>
      <c r="F4239">
        <v>-4.32893183356165E-2</v>
      </c>
      <c r="G4239">
        <v>-0.10525048242491714</v>
      </c>
      <c r="H4239">
        <v>-8.525569583371441E-4</v>
      </c>
    </row>
    <row r="4240" spans="2:8">
      <c r="B4240">
        <v>1</v>
      </c>
      <c r="C4240">
        <v>102</v>
      </c>
      <c r="D4240">
        <v>1</v>
      </c>
      <c r="E4240">
        <v>0</v>
      </c>
      <c r="F4240">
        <v>0.16238370716244729</v>
      </c>
    </row>
    <row r="4241" spans="2:8">
      <c r="B4241">
        <v>1</v>
      </c>
      <c r="C4241">
        <v>102</v>
      </c>
      <c r="D4241">
        <v>1</v>
      </c>
      <c r="E4241">
        <v>0</v>
      </c>
      <c r="F4241">
        <v>-0.40079765805553103</v>
      </c>
      <c r="G4241">
        <v>-0.15656187186691872</v>
      </c>
      <c r="H4241">
        <v>-0.28041872541229707</v>
      </c>
    </row>
    <row r="4242" spans="2:8">
      <c r="B4242">
        <v>1</v>
      </c>
      <c r="C4242">
        <v>102</v>
      </c>
      <c r="D4242">
        <v>1</v>
      </c>
      <c r="E4242">
        <v>0</v>
      </c>
      <c r="F4242">
        <v>-0.20475611212201042</v>
      </c>
      <c r="G4242">
        <v>-0.26080615043871908</v>
      </c>
      <c r="H4242">
        <v>-0.31975138162241118</v>
      </c>
    </row>
    <row r="4243" spans="2:8">
      <c r="B4243">
        <v>1</v>
      </c>
      <c r="C4243">
        <v>102</v>
      </c>
      <c r="D4243">
        <v>1</v>
      </c>
      <c r="E4243">
        <v>0</v>
      </c>
      <c r="F4243">
        <v>0.2436972770907406</v>
      </c>
    </row>
    <row r="4244" spans="2:8">
      <c r="B4244">
        <v>1</v>
      </c>
      <c r="C4244">
        <v>102</v>
      </c>
      <c r="D4244">
        <v>1</v>
      </c>
      <c r="E4244">
        <v>0</v>
      </c>
      <c r="F4244">
        <v>-2.1682245172402567E-2</v>
      </c>
      <c r="G4244">
        <v>-0.23145837794915372</v>
      </c>
      <c r="H4244">
        <v>-8.7638964619744686E-2</v>
      </c>
    </row>
    <row r="4245" spans="2:8">
      <c r="B4245">
        <v>1</v>
      </c>
      <c r="C4245">
        <v>97.960799999999992</v>
      </c>
      <c r="D4245">
        <v>1</v>
      </c>
      <c r="E4245">
        <v>0</v>
      </c>
      <c r="F4245">
        <v>5.5394649232385171E-2</v>
      </c>
    </row>
    <row r="4246" spans="2:8">
      <c r="B4246">
        <v>1</v>
      </c>
      <c r="C4246">
        <v>97.960799999999992</v>
      </c>
      <c r="D4246">
        <v>1</v>
      </c>
      <c r="E4246">
        <v>0</v>
      </c>
      <c r="F4246">
        <v>6.0839837910115928E-2</v>
      </c>
    </row>
    <row r="4247" spans="2:8">
      <c r="B4247">
        <v>1</v>
      </c>
      <c r="C4247">
        <v>97.960799999999992</v>
      </c>
      <c r="D4247">
        <v>1</v>
      </c>
      <c r="E4247">
        <v>0</v>
      </c>
      <c r="F4247">
        <v>4.4860507110851121E-2</v>
      </c>
    </row>
    <row r="4248" spans="2:8">
      <c r="B4248">
        <v>1</v>
      </c>
      <c r="C4248">
        <v>97.960799999999992</v>
      </c>
      <c r="D4248">
        <v>1</v>
      </c>
      <c r="E4248">
        <v>0</v>
      </c>
      <c r="F4248">
        <v>9.6908361882757491E-2</v>
      </c>
    </row>
    <row r="4249" spans="2:8">
      <c r="B4249">
        <v>1</v>
      </c>
      <c r="C4249">
        <v>102</v>
      </c>
      <c r="D4249">
        <v>1</v>
      </c>
      <c r="E4249">
        <v>0</v>
      </c>
      <c r="F4249">
        <v>-0.15019700647099532</v>
      </c>
      <c r="G4249">
        <v>-0.32396923375613407</v>
      </c>
      <c r="H4249">
        <v>-0.34247732576428352</v>
      </c>
    </row>
    <row r="4250" spans="2:8">
      <c r="B4250">
        <v>3</v>
      </c>
      <c r="C4250">
        <v>92.23681599999999</v>
      </c>
      <c r="D4250">
        <v>3</v>
      </c>
      <c r="E4250">
        <v>0</v>
      </c>
      <c r="F4250">
        <v>-9.2444524353554186E-2</v>
      </c>
      <c r="G4250">
        <v>-5.0655185165213897E-2</v>
      </c>
      <c r="H4250">
        <v>-1.2289538410920937E-2</v>
      </c>
    </row>
    <row r="4251" spans="2:8">
      <c r="B4251">
        <v>1</v>
      </c>
      <c r="C4251">
        <v>102</v>
      </c>
      <c r="D4251">
        <v>1</v>
      </c>
      <c r="E4251">
        <v>0</v>
      </c>
      <c r="F4251">
        <v>-3.6320799321834012E-2</v>
      </c>
      <c r="G4251">
        <v>-9.1331495904025672E-2</v>
      </c>
      <c r="H4251">
        <v>2.4730925321001383E-2</v>
      </c>
    </row>
    <row r="4252" spans="2:8">
      <c r="B4252">
        <v>1</v>
      </c>
      <c r="C4252">
        <v>102</v>
      </c>
      <c r="D4252">
        <v>1</v>
      </c>
      <c r="E4252">
        <v>0</v>
      </c>
      <c r="F4252">
        <v>-0.23738176099037128</v>
      </c>
      <c r="G4252">
        <v>-0.3122601559085913</v>
      </c>
      <c r="H4252">
        <v>-0.51631501724144147</v>
      </c>
    </row>
    <row r="4253" spans="2:8">
      <c r="B4253">
        <v>1</v>
      </c>
      <c r="C4253">
        <v>102</v>
      </c>
      <c r="D4253">
        <v>1</v>
      </c>
      <c r="E4253">
        <v>0</v>
      </c>
      <c r="F4253">
        <v>-0.10414144509277833</v>
      </c>
      <c r="G4253">
        <v>-0.22838580648375709</v>
      </c>
      <c r="H4253">
        <v>-0.20293696076204537</v>
      </c>
    </row>
    <row r="4254" spans="2:8">
      <c r="B4254">
        <v>1</v>
      </c>
      <c r="C4254">
        <v>102</v>
      </c>
      <c r="D4254">
        <v>1</v>
      </c>
      <c r="E4254">
        <v>0</v>
      </c>
      <c r="F4254">
        <v>-0.11040172251206937</v>
      </c>
      <c r="G4254">
        <v>-8.8329642400113081E-2</v>
      </c>
      <c r="H4254">
        <v>-6.9470407104974638E-2</v>
      </c>
    </row>
    <row r="4255" spans="2:8">
      <c r="B4255">
        <v>1</v>
      </c>
      <c r="C4255">
        <v>97.960799999999992</v>
      </c>
      <c r="D4255">
        <v>1</v>
      </c>
      <c r="E4255">
        <v>0</v>
      </c>
      <c r="F4255">
        <v>1.7220067092953782E-2</v>
      </c>
    </row>
    <row r="4256" spans="2:8">
      <c r="B4256">
        <v>1</v>
      </c>
      <c r="C4256">
        <v>102</v>
      </c>
      <c r="D4256">
        <v>1</v>
      </c>
      <c r="E4256">
        <v>0</v>
      </c>
      <c r="F4256">
        <v>5.0071881662689187E-2</v>
      </c>
    </row>
    <row r="4257" spans="2:8">
      <c r="B4257">
        <v>1</v>
      </c>
      <c r="C4257">
        <v>97.960799999999992</v>
      </c>
      <c r="D4257">
        <v>1</v>
      </c>
      <c r="E4257">
        <v>0</v>
      </c>
      <c r="F4257">
        <v>7.804214027361242E-2</v>
      </c>
    </row>
    <row r="4258" spans="2:8">
      <c r="B4258">
        <v>1</v>
      </c>
      <c r="C4258">
        <v>97.960799999999992</v>
      </c>
      <c r="D4258">
        <v>1</v>
      </c>
      <c r="E4258">
        <v>0</v>
      </c>
      <c r="F4258">
        <v>1.6080636093709643E-3</v>
      </c>
    </row>
    <row r="4259" spans="2:8">
      <c r="B4259">
        <v>1</v>
      </c>
      <c r="C4259">
        <v>102</v>
      </c>
      <c r="D4259">
        <v>1</v>
      </c>
      <c r="E4259">
        <v>0</v>
      </c>
      <c r="F4259">
        <v>-0.24598696618679156</v>
      </c>
      <c r="G4259">
        <v>-0.53846694614994195</v>
      </c>
      <c r="H4259">
        <v>-0.74936144308659336</v>
      </c>
    </row>
    <row r="4260" spans="2:8">
      <c r="B4260">
        <v>1</v>
      </c>
      <c r="C4260">
        <v>102</v>
      </c>
      <c r="D4260">
        <v>1</v>
      </c>
      <c r="E4260">
        <v>0</v>
      </c>
      <c r="F4260">
        <v>1.8365160163477171E-2</v>
      </c>
    </row>
    <row r="4261" spans="2:8">
      <c r="B4261">
        <v>3</v>
      </c>
      <c r="C4261">
        <v>92.23681599999999</v>
      </c>
      <c r="D4261">
        <v>2</v>
      </c>
      <c r="E4261">
        <v>0</v>
      </c>
      <c r="F4261">
        <v>-4.1206509744473818E-2</v>
      </c>
      <c r="G4261">
        <v>-0.21934429070384812</v>
      </c>
      <c r="H4261">
        <v>-0.35095441111001596</v>
      </c>
    </row>
    <row r="4262" spans="2:8">
      <c r="B4262">
        <v>1</v>
      </c>
      <c r="C4262">
        <v>102</v>
      </c>
      <c r="D4262">
        <v>1</v>
      </c>
      <c r="E4262">
        <v>0</v>
      </c>
      <c r="F4262">
        <v>-0.1746791786064327</v>
      </c>
      <c r="G4262">
        <v>-0.32157605842890158</v>
      </c>
      <c r="H4262">
        <v>-0.47193662606327336</v>
      </c>
    </row>
    <row r="4263" spans="2:8">
      <c r="B4263">
        <v>1</v>
      </c>
      <c r="C4263">
        <v>102</v>
      </c>
      <c r="D4263">
        <v>1</v>
      </c>
      <c r="E4263">
        <v>0</v>
      </c>
      <c r="F4263">
        <v>0.13095296941123857</v>
      </c>
    </row>
    <row r="4264" spans="2:8">
      <c r="B4264">
        <v>1</v>
      </c>
      <c r="C4264">
        <v>97.960799999999992</v>
      </c>
      <c r="D4264">
        <v>1</v>
      </c>
      <c r="E4264">
        <v>0</v>
      </c>
      <c r="F4264">
        <v>0.17189344252919245</v>
      </c>
    </row>
    <row r="4265" spans="2:8">
      <c r="B4265">
        <v>3</v>
      </c>
      <c r="C4265">
        <v>10.902641062690748</v>
      </c>
      <c r="D4265">
        <v>1</v>
      </c>
      <c r="E4265">
        <v>0</v>
      </c>
      <c r="F4265">
        <v>-0.12977337079423271</v>
      </c>
      <c r="G4265">
        <v>-0.62393909216008381</v>
      </c>
      <c r="H4265">
        <v>-0.88416135004663499</v>
      </c>
    </row>
    <row r="4266" spans="2:8">
      <c r="B4266">
        <v>1</v>
      </c>
      <c r="C4266">
        <v>102</v>
      </c>
      <c r="D4266">
        <v>1</v>
      </c>
      <c r="E4266">
        <v>0</v>
      </c>
      <c r="F4266">
        <v>0.12290802233271221</v>
      </c>
    </row>
    <row r="4267" spans="2:8">
      <c r="B4267">
        <v>1</v>
      </c>
      <c r="C4267">
        <v>102</v>
      </c>
      <c r="D4267">
        <v>1</v>
      </c>
      <c r="E4267">
        <v>0</v>
      </c>
      <c r="F4267">
        <v>0.21337592825008109</v>
      </c>
    </row>
    <row r="4268" spans="2:8">
      <c r="B4268">
        <v>3</v>
      </c>
      <c r="C4268">
        <v>12.719019302896374</v>
      </c>
      <c r="D4268">
        <v>1</v>
      </c>
      <c r="E4268">
        <v>0</v>
      </c>
      <c r="F4268">
        <v>-0.17685998852669382</v>
      </c>
      <c r="G4268">
        <v>-0.32569312550606638</v>
      </c>
      <c r="H4268">
        <v>-0.86486264967300641</v>
      </c>
    </row>
    <row r="4269" spans="2:8">
      <c r="B4269">
        <v>3</v>
      </c>
      <c r="C4269">
        <v>92.23681599999999</v>
      </c>
      <c r="D4269">
        <v>3</v>
      </c>
      <c r="E4269">
        <v>0</v>
      </c>
      <c r="F4269">
        <v>-0.21703004344591231</v>
      </c>
      <c r="G4269">
        <v>-0.11055991655228273</v>
      </c>
      <c r="H4269">
        <v>-0.29787282847336921</v>
      </c>
    </row>
    <row r="4270" spans="2:8">
      <c r="B4270">
        <v>1</v>
      </c>
      <c r="C4270">
        <v>102</v>
      </c>
      <c r="D4270">
        <v>1</v>
      </c>
      <c r="E4270">
        <v>0</v>
      </c>
      <c r="F4270">
        <v>9.441463866565164E-2</v>
      </c>
    </row>
    <row r="4271" spans="2:8">
      <c r="B4271">
        <v>3</v>
      </c>
      <c r="C4271">
        <v>92.23681599999999</v>
      </c>
      <c r="D4271">
        <v>2</v>
      </c>
      <c r="E4271">
        <v>0</v>
      </c>
      <c r="F4271">
        <v>-0.27749293014670962</v>
      </c>
      <c r="G4271">
        <v>-0.32925885813331007</v>
      </c>
      <c r="H4271">
        <v>-0.20742771098739143</v>
      </c>
    </row>
    <row r="4272" spans="2:8">
      <c r="B4272">
        <v>3</v>
      </c>
      <c r="C4272">
        <v>97.771024959999991</v>
      </c>
      <c r="D4272">
        <v>3</v>
      </c>
      <c r="E4272">
        <v>0</v>
      </c>
      <c r="F4272">
        <v>-2.4982104613052E-2</v>
      </c>
      <c r="G4272">
        <v>0.11809352817121052</v>
      </c>
      <c r="H4272">
        <v>0.11286596491825203</v>
      </c>
    </row>
    <row r="4273" spans="2:8">
      <c r="B4273">
        <v>1</v>
      </c>
      <c r="C4273">
        <v>102</v>
      </c>
      <c r="D4273">
        <v>1</v>
      </c>
      <c r="E4273">
        <v>0</v>
      </c>
      <c r="F4273">
        <v>-2.3926605812017679E-2</v>
      </c>
      <c r="G4273">
        <v>-0.17993237210454882</v>
      </c>
      <c r="H4273">
        <v>-0.18407289251630307</v>
      </c>
    </row>
    <row r="4274" spans="2:8">
      <c r="B4274">
        <v>3</v>
      </c>
      <c r="C4274">
        <v>27.770435063975889</v>
      </c>
      <c r="D4274">
        <v>1</v>
      </c>
      <c r="E4274">
        <v>0</v>
      </c>
      <c r="F4274">
        <v>-0.26263555320996801</v>
      </c>
      <c r="G4274">
        <v>-0.48127125374999286</v>
      </c>
      <c r="H4274">
        <v>-0.70494399586932432</v>
      </c>
    </row>
    <row r="4275" spans="2:8">
      <c r="B4275">
        <v>1</v>
      </c>
      <c r="C4275">
        <v>102</v>
      </c>
      <c r="D4275">
        <v>1</v>
      </c>
      <c r="E4275">
        <v>0</v>
      </c>
      <c r="F4275">
        <v>-0.15612469440626853</v>
      </c>
      <c r="G4275">
        <v>4.9656787223044702E-2</v>
      </c>
      <c r="H4275">
        <v>-8.3790712362631289E-2</v>
      </c>
    </row>
    <row r="4276" spans="2:8">
      <c r="B4276">
        <v>3</v>
      </c>
      <c r="C4276">
        <v>92.23681599999999</v>
      </c>
      <c r="D4276">
        <v>3</v>
      </c>
      <c r="E4276">
        <v>0</v>
      </c>
      <c r="F4276">
        <v>-5.244562604230172E-2</v>
      </c>
      <c r="G4276">
        <v>-8.2719039697470381E-2</v>
      </c>
      <c r="H4276">
        <v>-0.11591129994788997</v>
      </c>
    </row>
    <row r="4277" spans="2:8">
      <c r="B4277">
        <v>3</v>
      </c>
      <c r="C4277">
        <v>42.036224220517909</v>
      </c>
      <c r="D4277">
        <v>1</v>
      </c>
      <c r="E4277">
        <v>0</v>
      </c>
      <c r="F4277">
        <v>-0.3303603423419656</v>
      </c>
      <c r="G4277">
        <v>-0.28538355986814773</v>
      </c>
      <c r="H4277">
        <v>-0.55337248701096153</v>
      </c>
    </row>
    <row r="4278" spans="2:8">
      <c r="B4278">
        <v>3</v>
      </c>
      <c r="C4278">
        <v>92.23681599999999</v>
      </c>
      <c r="D4278">
        <v>3</v>
      </c>
      <c r="E4278">
        <v>0</v>
      </c>
      <c r="F4278">
        <v>-8.5318713549137393E-2</v>
      </c>
      <c r="G4278">
        <v>-3.5128159266383012E-2</v>
      </c>
      <c r="H4278">
        <v>-0.10103215610469779</v>
      </c>
    </row>
    <row r="4279" spans="2:8">
      <c r="B4279">
        <v>1</v>
      </c>
      <c r="C4279">
        <v>102</v>
      </c>
      <c r="D4279">
        <v>1</v>
      </c>
      <c r="E4279">
        <v>0</v>
      </c>
      <c r="F4279">
        <v>-0.38138463040204035</v>
      </c>
      <c r="G4279">
        <v>-0.34653914011055387</v>
      </c>
      <c r="H4279">
        <v>-0.63794611278828339</v>
      </c>
    </row>
    <row r="4280" spans="2:8">
      <c r="B4280">
        <v>1</v>
      </c>
      <c r="C4280">
        <v>102</v>
      </c>
      <c r="D4280">
        <v>1</v>
      </c>
      <c r="E4280">
        <v>0</v>
      </c>
      <c r="F4280">
        <v>-5.9392956616917555E-2</v>
      </c>
      <c r="G4280">
        <v>2.4864860936967385E-2</v>
      </c>
      <c r="H4280">
        <v>-1.5308215982071537E-2</v>
      </c>
    </row>
    <row r="4281" spans="2:8">
      <c r="B4281">
        <v>1</v>
      </c>
      <c r="C4281">
        <v>102</v>
      </c>
      <c r="D4281">
        <v>1</v>
      </c>
      <c r="E4281">
        <v>0</v>
      </c>
      <c r="F4281">
        <v>9.8524966029716124E-2</v>
      </c>
    </row>
    <row r="4282" spans="2:8">
      <c r="B4282">
        <v>3</v>
      </c>
      <c r="C4282">
        <v>49.233379155274072</v>
      </c>
      <c r="D4282">
        <v>2</v>
      </c>
      <c r="E4282">
        <v>0</v>
      </c>
      <c r="F4282">
        <v>-0.12499630987601487</v>
      </c>
      <c r="G4282">
        <v>-0.2262416967676075</v>
      </c>
      <c r="H4282">
        <v>-0.47690397755958325</v>
      </c>
    </row>
    <row r="4283" spans="2:8">
      <c r="B4283">
        <v>1</v>
      </c>
      <c r="C4283">
        <v>97.960799999999992</v>
      </c>
      <c r="D4283">
        <v>1</v>
      </c>
      <c r="E4283">
        <v>0</v>
      </c>
      <c r="F4283">
        <v>0.10108011417317693</v>
      </c>
    </row>
    <row r="4284" spans="2:8">
      <c r="E4284">
        <v>0</v>
      </c>
      <c r="F4284">
        <v>-0.31907299700987346</v>
      </c>
    </row>
    <row r="4285" spans="2:8">
      <c r="B4285">
        <v>1</v>
      </c>
      <c r="C4285">
        <v>102</v>
      </c>
      <c r="D4285">
        <v>1</v>
      </c>
    </row>
    <row r="4290" spans="2:4">
      <c r="B4290">
        <v>1</v>
      </c>
      <c r="C4290">
        <v>102</v>
      </c>
      <c r="D4290">
        <v>1</v>
      </c>
    </row>
    <row r="4291" spans="2:4">
      <c r="B4291">
        <v>1</v>
      </c>
      <c r="C4291">
        <v>102</v>
      </c>
      <c r="D4291">
        <v>1</v>
      </c>
    </row>
    <row r="4295" spans="2:4">
      <c r="B4295">
        <v>1</v>
      </c>
      <c r="C4295">
        <v>102</v>
      </c>
      <c r="D4295">
        <v>1</v>
      </c>
    </row>
    <row r="4296" spans="2:4">
      <c r="B4296">
        <v>1</v>
      </c>
      <c r="C4296">
        <v>102</v>
      </c>
      <c r="D4296">
        <v>1</v>
      </c>
    </row>
    <row r="4299" spans="2:4">
      <c r="B4299">
        <v>1</v>
      </c>
      <c r="C4299">
        <v>102</v>
      </c>
      <c r="D4299">
        <v>1</v>
      </c>
    </row>
    <row r="4301" spans="2:4">
      <c r="B4301">
        <v>1</v>
      </c>
      <c r="C4301">
        <v>102</v>
      </c>
      <c r="D4301">
        <v>1</v>
      </c>
    </row>
    <row r="4304" spans="2:4">
      <c r="B4304">
        <v>1</v>
      </c>
      <c r="C4304">
        <v>102</v>
      </c>
      <c r="D4304">
        <v>1</v>
      </c>
    </row>
    <row r="4309" spans="2:4">
      <c r="B4309">
        <v>1</v>
      </c>
      <c r="C4309">
        <v>102</v>
      </c>
      <c r="D4309">
        <v>1</v>
      </c>
    </row>
    <row r="4310" spans="2:4">
      <c r="B4310">
        <v>1</v>
      </c>
      <c r="C4310">
        <v>102</v>
      </c>
      <c r="D4310">
        <v>1</v>
      </c>
    </row>
    <row r="4311" spans="2:4">
      <c r="B4311">
        <v>1</v>
      </c>
      <c r="C4311">
        <v>102</v>
      </c>
      <c r="D4311">
        <v>1</v>
      </c>
    </row>
    <row r="4313" spans="2:4">
      <c r="B4313">
        <v>1</v>
      </c>
      <c r="C4313">
        <v>102</v>
      </c>
      <c r="D4313">
        <v>1</v>
      </c>
    </row>
    <row r="4314" spans="2:4">
      <c r="B4314">
        <v>1</v>
      </c>
      <c r="C4314">
        <v>102</v>
      </c>
      <c r="D4314">
        <v>1</v>
      </c>
    </row>
    <row r="4320" spans="2:4">
      <c r="B4320">
        <v>1</v>
      </c>
      <c r="C4320">
        <v>102</v>
      </c>
      <c r="D4320">
        <v>1</v>
      </c>
    </row>
    <row r="4321" spans="2:4">
      <c r="B4321">
        <v>1</v>
      </c>
      <c r="C4321">
        <v>102</v>
      </c>
      <c r="D4321">
        <v>1</v>
      </c>
    </row>
    <row r="4323" spans="2:4">
      <c r="B4323">
        <v>1</v>
      </c>
      <c r="C4323">
        <v>102</v>
      </c>
      <c r="D4323">
        <v>1</v>
      </c>
    </row>
    <row r="4326" spans="2:4">
      <c r="B4326">
        <v>1</v>
      </c>
      <c r="C4326">
        <v>102</v>
      </c>
      <c r="D4326">
        <v>1</v>
      </c>
    </row>
    <row r="4330" spans="2:4">
      <c r="B4330">
        <v>1</v>
      </c>
      <c r="C4330">
        <v>102</v>
      </c>
      <c r="D4330">
        <v>1</v>
      </c>
    </row>
    <row r="4332" spans="2:4">
      <c r="B4332">
        <v>1</v>
      </c>
      <c r="C4332">
        <v>102</v>
      </c>
      <c r="D4332">
        <v>1</v>
      </c>
    </row>
    <row r="4333" spans="2:4">
      <c r="B4333">
        <v>1</v>
      </c>
      <c r="C4333">
        <v>102</v>
      </c>
      <c r="D4333">
        <v>1</v>
      </c>
    </row>
    <row r="4335" spans="2:4">
      <c r="B4335">
        <v>1</v>
      </c>
      <c r="C4335">
        <v>102</v>
      </c>
      <c r="D4335">
        <v>1</v>
      </c>
    </row>
    <row r="4338" spans="2:4">
      <c r="B4338">
        <v>1</v>
      </c>
      <c r="C4338">
        <v>102</v>
      </c>
      <c r="D4338">
        <v>1</v>
      </c>
    </row>
    <row r="4340" spans="2:4">
      <c r="B4340">
        <v>1</v>
      </c>
      <c r="C4340">
        <v>102</v>
      </c>
      <c r="D4340">
        <v>1</v>
      </c>
    </row>
    <row r="4341" spans="2:4">
      <c r="B4341">
        <v>1</v>
      </c>
      <c r="C4341">
        <v>102</v>
      </c>
      <c r="D4341">
        <v>1</v>
      </c>
    </row>
    <row r="4343" spans="2:4">
      <c r="B4343">
        <v>1</v>
      </c>
      <c r="C4343">
        <v>102</v>
      </c>
      <c r="D4343">
        <v>1</v>
      </c>
    </row>
    <row r="4348" spans="2:4">
      <c r="B4348">
        <v>1</v>
      </c>
      <c r="C4348">
        <v>102</v>
      </c>
      <c r="D4348">
        <v>1</v>
      </c>
    </row>
    <row r="4350" spans="2:4">
      <c r="B4350">
        <v>1</v>
      </c>
      <c r="C4350">
        <v>102</v>
      </c>
      <c r="D4350">
        <v>1</v>
      </c>
    </row>
    <row r="4353" spans="2:4">
      <c r="B4353">
        <v>1</v>
      </c>
      <c r="C4353">
        <v>102</v>
      </c>
      <c r="D4353">
        <v>1</v>
      </c>
    </row>
    <row r="4354" spans="2:4">
      <c r="B4354">
        <v>1</v>
      </c>
      <c r="C4354">
        <v>102</v>
      </c>
      <c r="D4354">
        <v>1</v>
      </c>
    </row>
    <row r="4356" spans="2:4">
      <c r="B4356">
        <v>1</v>
      </c>
      <c r="C4356">
        <v>102</v>
      </c>
      <c r="D4356">
        <v>1</v>
      </c>
    </row>
    <row r="4358" spans="2:4">
      <c r="B4358">
        <v>1</v>
      </c>
      <c r="C4358">
        <v>102</v>
      </c>
      <c r="D4358">
        <v>1</v>
      </c>
    </row>
    <row r="4360" spans="2:4">
      <c r="B4360">
        <v>1</v>
      </c>
      <c r="C4360">
        <v>102</v>
      </c>
      <c r="D4360">
        <v>1</v>
      </c>
    </row>
    <row r="4365" spans="2:4">
      <c r="B4365">
        <v>1</v>
      </c>
      <c r="C4365">
        <v>102</v>
      </c>
      <c r="D4365">
        <v>1</v>
      </c>
    </row>
    <row r="4366" spans="2:4">
      <c r="B4366">
        <v>1</v>
      </c>
      <c r="C4366">
        <v>102</v>
      </c>
      <c r="D4366">
        <v>1</v>
      </c>
    </row>
    <row r="4367" spans="2:4">
      <c r="B4367">
        <v>1</v>
      </c>
      <c r="C4367">
        <v>102</v>
      </c>
      <c r="D4367">
        <v>1</v>
      </c>
    </row>
    <row r="4373" spans="2:4">
      <c r="B4373">
        <v>1</v>
      </c>
      <c r="C4373">
        <v>102</v>
      </c>
      <c r="D4373">
        <v>1</v>
      </c>
    </row>
    <row r="4376" spans="2:4">
      <c r="B4376">
        <v>1</v>
      </c>
      <c r="C4376">
        <v>102</v>
      </c>
      <c r="D4376">
        <v>1</v>
      </c>
    </row>
    <row r="4383" spans="2:4">
      <c r="B4383">
        <v>1</v>
      </c>
      <c r="C4383">
        <v>102</v>
      </c>
      <c r="D4383">
        <v>1</v>
      </c>
    </row>
    <row r="4385" spans="2:4">
      <c r="B4385">
        <v>1</v>
      </c>
      <c r="C4385">
        <v>102</v>
      </c>
      <c r="D4385">
        <v>1</v>
      </c>
    </row>
    <row r="4386" spans="2:4">
      <c r="B4386">
        <v>1</v>
      </c>
      <c r="C4386">
        <v>102</v>
      </c>
      <c r="D4386">
        <v>1</v>
      </c>
    </row>
    <row r="4389" spans="2:4">
      <c r="B4389">
        <v>1</v>
      </c>
      <c r="C4389">
        <v>102</v>
      </c>
      <c r="D4389">
        <v>1</v>
      </c>
    </row>
    <row r="4392" spans="2:4">
      <c r="B4392">
        <v>1</v>
      </c>
      <c r="C4392">
        <v>102</v>
      </c>
      <c r="D4392">
        <v>1</v>
      </c>
    </row>
    <row r="4396" spans="2:4">
      <c r="B4396">
        <v>1</v>
      </c>
      <c r="C4396">
        <v>102</v>
      </c>
      <c r="D4396">
        <v>1</v>
      </c>
    </row>
    <row r="4397" spans="2:4">
      <c r="B4397">
        <v>1</v>
      </c>
      <c r="C4397">
        <v>102</v>
      </c>
      <c r="D4397">
        <v>1</v>
      </c>
    </row>
    <row r="4399" spans="2:4">
      <c r="B4399">
        <v>1</v>
      </c>
      <c r="C4399">
        <v>102</v>
      </c>
      <c r="D4399">
        <v>1</v>
      </c>
    </row>
    <row r="4400" spans="2:4">
      <c r="B4400">
        <v>1</v>
      </c>
      <c r="C4400">
        <v>102</v>
      </c>
      <c r="D4400">
        <v>1</v>
      </c>
    </row>
    <row r="4402" spans="2:4">
      <c r="B4402">
        <v>1</v>
      </c>
      <c r="C4402">
        <v>102</v>
      </c>
      <c r="D4402">
        <v>1</v>
      </c>
    </row>
    <row r="4404" spans="2:4">
      <c r="B4404">
        <v>1</v>
      </c>
      <c r="C4404">
        <v>102</v>
      </c>
      <c r="D4404">
        <v>1</v>
      </c>
    </row>
    <row r="4406" spans="2:4">
      <c r="B4406">
        <v>1</v>
      </c>
      <c r="C4406">
        <v>102</v>
      </c>
      <c r="D4406">
        <v>1</v>
      </c>
    </row>
    <row r="4410" spans="2:4">
      <c r="B4410">
        <v>1</v>
      </c>
      <c r="C4410">
        <v>102</v>
      </c>
      <c r="D4410">
        <v>1</v>
      </c>
    </row>
    <row r="4412" spans="2:4">
      <c r="B4412">
        <v>1</v>
      </c>
      <c r="C4412">
        <v>102</v>
      </c>
      <c r="D4412">
        <v>1</v>
      </c>
    </row>
    <row r="4414" spans="2:4">
      <c r="B4414">
        <v>1</v>
      </c>
      <c r="C4414">
        <v>102</v>
      </c>
      <c r="D4414">
        <v>1</v>
      </c>
    </row>
    <row r="4415" spans="2:4">
      <c r="B4415">
        <v>1</v>
      </c>
      <c r="C4415">
        <v>102</v>
      </c>
      <c r="D4415">
        <v>1</v>
      </c>
    </row>
    <row r="4416" spans="2:4">
      <c r="B4416">
        <v>1</v>
      </c>
      <c r="C4416">
        <v>102</v>
      </c>
      <c r="D4416">
        <v>1</v>
      </c>
    </row>
    <row r="4417" spans="2:4">
      <c r="B4417">
        <v>1</v>
      </c>
      <c r="C4417">
        <v>102</v>
      </c>
      <c r="D4417">
        <v>1</v>
      </c>
    </row>
    <row r="4420" spans="2:4">
      <c r="B4420">
        <v>1</v>
      </c>
      <c r="C4420">
        <v>102</v>
      </c>
      <c r="D4420">
        <v>1</v>
      </c>
    </row>
    <row r="4421" spans="2:4">
      <c r="B4421">
        <v>1</v>
      </c>
      <c r="C4421">
        <v>102</v>
      </c>
      <c r="D4421">
        <v>1</v>
      </c>
    </row>
    <row r="4422" spans="2:4">
      <c r="B4422">
        <v>1</v>
      </c>
      <c r="C4422">
        <v>102</v>
      </c>
      <c r="D4422">
        <v>1</v>
      </c>
    </row>
    <row r="4425" spans="2:4">
      <c r="B4425">
        <v>1</v>
      </c>
      <c r="C4425">
        <v>102</v>
      </c>
      <c r="D4425">
        <v>1</v>
      </c>
    </row>
    <row r="4426" spans="2:4">
      <c r="B4426">
        <v>1</v>
      </c>
      <c r="C4426">
        <v>102</v>
      </c>
      <c r="D4426">
        <v>1</v>
      </c>
    </row>
    <row r="4428" spans="2:4">
      <c r="B4428">
        <v>1</v>
      </c>
      <c r="C4428">
        <v>102</v>
      </c>
      <c r="D4428">
        <v>1</v>
      </c>
    </row>
    <row r="4431" spans="2:4">
      <c r="B4431">
        <v>1</v>
      </c>
      <c r="C4431">
        <v>102</v>
      </c>
      <c r="D4431">
        <v>1</v>
      </c>
    </row>
    <row r="4440" spans="2:4">
      <c r="B4440">
        <v>1</v>
      </c>
      <c r="C4440">
        <v>102</v>
      </c>
      <c r="D4440">
        <v>1</v>
      </c>
    </row>
    <row r="4443" spans="2:4">
      <c r="B4443">
        <v>1</v>
      </c>
      <c r="C4443">
        <v>102</v>
      </c>
      <c r="D4443">
        <v>1</v>
      </c>
    </row>
    <row r="4447" spans="2:4">
      <c r="B4447">
        <v>1</v>
      </c>
      <c r="C4447">
        <v>102</v>
      </c>
      <c r="D4447">
        <v>1</v>
      </c>
    </row>
    <row r="4450" spans="2:4">
      <c r="B4450">
        <v>1</v>
      </c>
      <c r="C4450">
        <v>102</v>
      </c>
      <c r="D4450">
        <v>1</v>
      </c>
    </row>
    <row r="4453" spans="2:4">
      <c r="B4453">
        <v>1</v>
      </c>
      <c r="C4453">
        <v>102</v>
      </c>
      <c r="D4453">
        <v>1</v>
      </c>
    </row>
    <row r="4456" spans="2:4">
      <c r="B4456">
        <v>1</v>
      </c>
      <c r="C4456">
        <v>102</v>
      </c>
      <c r="D4456">
        <v>1</v>
      </c>
    </row>
    <row r="4457" spans="2:4">
      <c r="B4457">
        <v>1</v>
      </c>
      <c r="C4457">
        <v>102</v>
      </c>
      <c r="D4457">
        <v>1</v>
      </c>
    </row>
    <row r="4462" spans="2:4">
      <c r="B4462">
        <v>1</v>
      </c>
      <c r="C4462">
        <v>102</v>
      </c>
      <c r="D4462">
        <v>1</v>
      </c>
    </row>
    <row r="4465" spans="2:4">
      <c r="B4465">
        <v>1</v>
      </c>
      <c r="C4465">
        <v>102</v>
      </c>
      <c r="D4465">
        <v>1</v>
      </c>
    </row>
    <row r="4467" spans="2:4">
      <c r="B4467">
        <v>1</v>
      </c>
      <c r="C4467">
        <v>102</v>
      </c>
      <c r="D4467">
        <v>1</v>
      </c>
    </row>
    <row r="4470" spans="2:4">
      <c r="B4470">
        <v>1</v>
      </c>
      <c r="C4470">
        <v>102</v>
      </c>
      <c r="D4470">
        <v>1</v>
      </c>
    </row>
    <row r="4474" spans="2:4">
      <c r="B4474">
        <v>1</v>
      </c>
      <c r="C4474">
        <v>102</v>
      </c>
      <c r="D4474">
        <v>1</v>
      </c>
    </row>
    <row r="4475" spans="2:4">
      <c r="B4475">
        <v>1</v>
      </c>
      <c r="C4475">
        <v>102</v>
      </c>
      <c r="D4475">
        <v>1</v>
      </c>
    </row>
    <row r="4477" spans="2:4">
      <c r="B4477">
        <v>1</v>
      </c>
      <c r="C4477">
        <v>102</v>
      </c>
      <c r="D4477">
        <v>1</v>
      </c>
    </row>
    <row r="4483" spans="2:4">
      <c r="B4483">
        <v>1</v>
      </c>
      <c r="C4483">
        <v>102</v>
      </c>
      <c r="D4483">
        <v>1</v>
      </c>
    </row>
    <row r="4487" spans="2:4">
      <c r="B4487">
        <v>1</v>
      </c>
      <c r="C4487">
        <v>102</v>
      </c>
      <c r="D4487">
        <v>1</v>
      </c>
    </row>
    <row r="4489" spans="2:4">
      <c r="B4489">
        <v>1</v>
      </c>
      <c r="C4489">
        <v>102</v>
      </c>
      <c r="D4489">
        <v>1</v>
      </c>
    </row>
    <row r="4491" spans="2:4">
      <c r="B4491">
        <v>1</v>
      </c>
      <c r="C4491">
        <v>102</v>
      </c>
      <c r="D4491">
        <v>1</v>
      </c>
    </row>
    <row r="4492" spans="2:4">
      <c r="B4492">
        <v>1</v>
      </c>
      <c r="C4492">
        <v>102</v>
      </c>
      <c r="D4492">
        <v>1</v>
      </c>
    </row>
    <row r="4496" spans="2:4">
      <c r="B4496">
        <v>1</v>
      </c>
      <c r="C4496">
        <v>102</v>
      </c>
      <c r="D4496">
        <v>1</v>
      </c>
    </row>
    <row r="4497" spans="2:4">
      <c r="B4497">
        <v>1</v>
      </c>
      <c r="C4497">
        <v>102</v>
      </c>
      <c r="D4497">
        <v>1</v>
      </c>
    </row>
    <row r="4498" spans="2:4">
      <c r="B4498">
        <v>1</v>
      </c>
      <c r="C4498">
        <v>102</v>
      </c>
      <c r="D4498">
        <v>1</v>
      </c>
    </row>
    <row r="4499" spans="2:4">
      <c r="B4499">
        <v>1</v>
      </c>
      <c r="C4499">
        <v>102</v>
      </c>
      <c r="D4499">
        <v>1</v>
      </c>
    </row>
    <row r="4500" spans="2:4">
      <c r="B4500">
        <v>1</v>
      </c>
      <c r="C4500">
        <v>102</v>
      </c>
      <c r="D4500">
        <v>1</v>
      </c>
    </row>
    <row r="4505" spans="2:4">
      <c r="B4505">
        <v>1</v>
      </c>
      <c r="C4505">
        <v>102</v>
      </c>
      <c r="D4505">
        <v>1</v>
      </c>
    </row>
    <row r="4507" spans="2:4">
      <c r="B4507">
        <v>1</v>
      </c>
      <c r="C4507">
        <v>102</v>
      </c>
      <c r="D4507">
        <v>1</v>
      </c>
    </row>
    <row r="4508" spans="2:4">
      <c r="B4508">
        <v>1</v>
      </c>
      <c r="C4508">
        <v>102</v>
      </c>
      <c r="D4508">
        <v>1</v>
      </c>
    </row>
    <row r="4509" spans="2:4">
      <c r="B4509">
        <v>1</v>
      </c>
      <c r="C4509">
        <v>102</v>
      </c>
      <c r="D4509">
        <v>1</v>
      </c>
    </row>
    <row r="4510" spans="2:4">
      <c r="B4510">
        <v>1</v>
      </c>
      <c r="C4510">
        <v>102</v>
      </c>
      <c r="D4510">
        <v>1</v>
      </c>
    </row>
    <row r="4512" spans="2:4">
      <c r="B4512">
        <v>1</v>
      </c>
      <c r="C4512">
        <v>102</v>
      </c>
      <c r="D4512">
        <v>1</v>
      </c>
    </row>
    <row r="4515" spans="2:4">
      <c r="B4515">
        <v>1</v>
      </c>
      <c r="C4515">
        <v>102</v>
      </c>
      <c r="D4515">
        <v>1</v>
      </c>
    </row>
    <row r="4516" spans="2:4">
      <c r="B4516">
        <v>1</v>
      </c>
      <c r="C4516">
        <v>102</v>
      </c>
      <c r="D4516">
        <v>1</v>
      </c>
    </row>
    <row r="4518" spans="2:4">
      <c r="B4518">
        <v>1</v>
      </c>
      <c r="C4518">
        <v>102</v>
      </c>
      <c r="D4518">
        <v>1</v>
      </c>
    </row>
    <row r="4519" spans="2:4">
      <c r="B4519">
        <v>1</v>
      </c>
      <c r="C4519">
        <v>102</v>
      </c>
      <c r="D4519">
        <v>1</v>
      </c>
    </row>
    <row r="4522" spans="2:4">
      <c r="B4522">
        <v>1</v>
      </c>
      <c r="C4522">
        <v>102</v>
      </c>
      <c r="D4522">
        <v>1</v>
      </c>
    </row>
    <row r="4523" spans="2:4">
      <c r="B4523">
        <v>1</v>
      </c>
      <c r="C4523">
        <v>102</v>
      </c>
      <c r="D4523">
        <v>1</v>
      </c>
    </row>
    <row r="4525" spans="2:4">
      <c r="B4525">
        <v>1</v>
      </c>
      <c r="C4525">
        <v>102</v>
      </c>
      <c r="D4525">
        <v>1</v>
      </c>
    </row>
    <row r="4528" spans="2:4">
      <c r="B4528">
        <v>1</v>
      </c>
      <c r="C4528">
        <v>102</v>
      </c>
      <c r="D4528">
        <v>1</v>
      </c>
    </row>
    <row r="4530" spans="2:4">
      <c r="B4530">
        <v>1</v>
      </c>
      <c r="C4530">
        <v>102</v>
      </c>
      <c r="D4530">
        <v>1</v>
      </c>
    </row>
    <row r="4532" spans="2:4">
      <c r="B4532">
        <v>1</v>
      </c>
      <c r="C4532">
        <v>102</v>
      </c>
      <c r="D4532">
        <v>1</v>
      </c>
    </row>
    <row r="4533" spans="2:4">
      <c r="B4533">
        <v>1</v>
      </c>
      <c r="C4533">
        <v>102</v>
      </c>
      <c r="D4533">
        <v>1</v>
      </c>
    </row>
    <row r="4537" spans="2:4">
      <c r="B4537">
        <v>1</v>
      </c>
      <c r="C4537">
        <v>102</v>
      </c>
      <c r="D4537">
        <v>1</v>
      </c>
    </row>
    <row r="4540" spans="2:4">
      <c r="B4540">
        <v>1</v>
      </c>
      <c r="C4540">
        <v>102</v>
      </c>
      <c r="D4540">
        <v>1</v>
      </c>
    </row>
    <row r="4543" spans="2:4">
      <c r="B4543">
        <v>1</v>
      </c>
      <c r="C4543">
        <v>102</v>
      </c>
      <c r="D4543">
        <v>1</v>
      </c>
    </row>
    <row r="4544" spans="2:4">
      <c r="B4544">
        <v>1</v>
      </c>
      <c r="C4544">
        <v>102</v>
      </c>
      <c r="D4544">
        <v>1</v>
      </c>
    </row>
    <row r="4545" spans="2:4">
      <c r="B4545">
        <v>1</v>
      </c>
      <c r="C4545">
        <v>102</v>
      </c>
      <c r="D4545">
        <v>1</v>
      </c>
    </row>
    <row r="4546" spans="2:4">
      <c r="B4546">
        <v>1</v>
      </c>
      <c r="C4546">
        <v>102</v>
      </c>
      <c r="D4546">
        <v>1</v>
      </c>
    </row>
    <row r="4548" spans="2:4">
      <c r="B4548">
        <v>1</v>
      </c>
      <c r="C4548">
        <v>102</v>
      </c>
      <c r="D4548">
        <v>1</v>
      </c>
    </row>
    <row r="4549" spans="2:4">
      <c r="B4549">
        <v>1</v>
      </c>
      <c r="C4549">
        <v>102</v>
      </c>
      <c r="D4549">
        <v>1</v>
      </c>
    </row>
    <row r="4550" spans="2:4">
      <c r="B4550">
        <v>1</v>
      </c>
      <c r="C4550">
        <v>102</v>
      </c>
      <c r="D4550">
        <v>1</v>
      </c>
    </row>
    <row r="4552" spans="2:4">
      <c r="B4552">
        <v>1</v>
      </c>
      <c r="C4552">
        <v>102</v>
      </c>
      <c r="D4552">
        <v>1</v>
      </c>
    </row>
    <row r="4554" spans="2:4">
      <c r="B4554">
        <v>1</v>
      </c>
      <c r="C4554">
        <v>102</v>
      </c>
      <c r="D4554">
        <v>1</v>
      </c>
    </row>
    <row r="4557" spans="2:4">
      <c r="B4557">
        <v>1</v>
      </c>
      <c r="C4557">
        <v>102</v>
      </c>
      <c r="D4557">
        <v>1</v>
      </c>
    </row>
    <row r="4558" spans="2:4">
      <c r="B4558">
        <v>1</v>
      </c>
      <c r="C4558">
        <v>102</v>
      </c>
      <c r="D4558">
        <v>1</v>
      </c>
    </row>
    <row r="4568" spans="2:4">
      <c r="B4568">
        <v>1</v>
      </c>
      <c r="C4568">
        <v>102</v>
      </c>
      <c r="D4568">
        <v>1</v>
      </c>
    </row>
    <row r="4575" spans="2:4">
      <c r="B4575">
        <v>1</v>
      </c>
      <c r="C4575">
        <v>102</v>
      </c>
      <c r="D4575">
        <v>1</v>
      </c>
    </row>
    <row r="4577" spans="2:4">
      <c r="B4577">
        <v>1</v>
      </c>
      <c r="C4577">
        <v>102</v>
      </c>
      <c r="D4577">
        <v>1</v>
      </c>
    </row>
    <row r="4581" spans="2:4">
      <c r="B4581">
        <v>1</v>
      </c>
      <c r="C4581">
        <v>102</v>
      </c>
      <c r="D4581">
        <v>1</v>
      </c>
    </row>
    <row r="4585" spans="2:4">
      <c r="B4585">
        <v>1</v>
      </c>
      <c r="C4585">
        <v>102</v>
      </c>
      <c r="D4585">
        <v>1</v>
      </c>
    </row>
    <row r="4589" spans="2:4">
      <c r="B4589">
        <v>1</v>
      </c>
      <c r="C4589">
        <v>102</v>
      </c>
      <c r="D4589">
        <v>1</v>
      </c>
    </row>
    <row r="4591" spans="2:4">
      <c r="B4591">
        <v>1</v>
      </c>
      <c r="C4591">
        <v>102</v>
      </c>
      <c r="D4591">
        <v>1</v>
      </c>
    </row>
    <row r="4592" spans="2:4">
      <c r="B4592">
        <v>1</v>
      </c>
      <c r="C4592">
        <v>102</v>
      </c>
      <c r="D4592">
        <v>1</v>
      </c>
    </row>
    <row r="4598" spans="2:4">
      <c r="B4598">
        <v>1</v>
      </c>
      <c r="C4598">
        <v>102</v>
      </c>
      <c r="D4598">
        <v>1</v>
      </c>
    </row>
    <row r="4602" spans="2:4">
      <c r="B4602">
        <v>1</v>
      </c>
      <c r="C4602">
        <v>102</v>
      </c>
      <c r="D4602">
        <v>1</v>
      </c>
    </row>
    <row r="4606" spans="2:4">
      <c r="B4606">
        <v>1</v>
      </c>
      <c r="C4606">
        <v>102</v>
      </c>
      <c r="D4606">
        <v>1</v>
      </c>
    </row>
    <row r="4607" spans="2:4">
      <c r="B4607">
        <v>1</v>
      </c>
      <c r="C4607">
        <v>102</v>
      </c>
      <c r="D4607">
        <v>1</v>
      </c>
    </row>
    <row r="4608" spans="2:4">
      <c r="B4608">
        <v>1</v>
      </c>
      <c r="C4608">
        <v>102</v>
      </c>
      <c r="D4608">
        <v>1</v>
      </c>
    </row>
    <row r="4609" spans="2:4">
      <c r="B4609">
        <v>1</v>
      </c>
      <c r="C4609">
        <v>102</v>
      </c>
      <c r="D4609">
        <v>1</v>
      </c>
    </row>
    <row r="4612" spans="2:4">
      <c r="B4612">
        <v>1</v>
      </c>
      <c r="C4612">
        <v>102</v>
      </c>
      <c r="D4612">
        <v>1</v>
      </c>
    </row>
    <row r="4613" spans="2:4">
      <c r="B4613">
        <v>1</v>
      </c>
      <c r="C4613">
        <v>102</v>
      </c>
      <c r="D4613">
        <v>1</v>
      </c>
    </row>
    <row r="4614" spans="2:4">
      <c r="B4614">
        <v>1</v>
      </c>
      <c r="C4614">
        <v>102</v>
      </c>
      <c r="D4614">
        <v>1</v>
      </c>
    </row>
    <row r="4617" spans="2:4">
      <c r="B4617">
        <v>1</v>
      </c>
      <c r="C4617">
        <v>102</v>
      </c>
      <c r="D4617">
        <v>1</v>
      </c>
    </row>
    <row r="4618" spans="2:4">
      <c r="B4618">
        <v>1</v>
      </c>
      <c r="C4618">
        <v>102</v>
      </c>
      <c r="D4618">
        <v>1</v>
      </c>
    </row>
    <row r="4620" spans="2:4">
      <c r="B4620">
        <v>1</v>
      </c>
      <c r="C4620">
        <v>102</v>
      </c>
      <c r="D4620">
        <v>1</v>
      </c>
    </row>
    <row r="4621" spans="2:4">
      <c r="B4621">
        <v>1</v>
      </c>
      <c r="C4621">
        <v>102</v>
      </c>
      <c r="D4621">
        <v>1</v>
      </c>
    </row>
    <row r="4623" spans="2:4">
      <c r="B4623">
        <v>1</v>
      </c>
      <c r="C4623">
        <v>102</v>
      </c>
      <c r="D4623">
        <v>1</v>
      </c>
    </row>
    <row r="4625" spans="2:4">
      <c r="B4625">
        <v>1</v>
      </c>
      <c r="C4625">
        <v>102</v>
      </c>
      <c r="D4625">
        <v>1</v>
      </c>
    </row>
    <row r="4626" spans="2:4">
      <c r="B4626">
        <v>1</v>
      </c>
      <c r="C4626">
        <v>102</v>
      </c>
      <c r="D4626">
        <v>1</v>
      </c>
    </row>
    <row r="4627" spans="2:4">
      <c r="B4627">
        <v>1</v>
      </c>
      <c r="C4627">
        <v>102</v>
      </c>
      <c r="D4627">
        <v>1</v>
      </c>
    </row>
    <row r="4628" spans="2:4">
      <c r="B4628">
        <v>1</v>
      </c>
      <c r="C4628">
        <v>102</v>
      </c>
      <c r="D4628">
        <v>1</v>
      </c>
    </row>
    <row r="4636" spans="2:4">
      <c r="B4636">
        <v>1</v>
      </c>
      <c r="C4636">
        <v>102</v>
      </c>
      <c r="D4636">
        <v>1</v>
      </c>
    </row>
    <row r="4637" spans="2:4">
      <c r="B4637">
        <v>1</v>
      </c>
      <c r="C4637">
        <v>102</v>
      </c>
      <c r="D4637">
        <v>1</v>
      </c>
    </row>
    <row r="4642" spans="2:4">
      <c r="B4642">
        <v>1</v>
      </c>
      <c r="C4642">
        <v>102</v>
      </c>
      <c r="D4642">
        <v>1</v>
      </c>
    </row>
    <row r="4647" spans="2:4">
      <c r="B4647">
        <v>1</v>
      </c>
      <c r="C4647">
        <v>102</v>
      </c>
      <c r="D4647">
        <v>1</v>
      </c>
    </row>
    <row r="4648" spans="2:4">
      <c r="B4648">
        <v>1</v>
      </c>
      <c r="C4648">
        <v>102</v>
      </c>
      <c r="D4648">
        <v>1</v>
      </c>
    </row>
    <row r="4649" spans="2:4">
      <c r="B4649">
        <v>1</v>
      </c>
      <c r="C4649">
        <v>102</v>
      </c>
      <c r="D4649">
        <v>1</v>
      </c>
    </row>
    <row r="4651" spans="2:4">
      <c r="B4651">
        <v>1</v>
      </c>
      <c r="C4651">
        <v>102</v>
      </c>
      <c r="D4651">
        <v>1</v>
      </c>
    </row>
    <row r="4654" spans="2:4">
      <c r="B4654">
        <v>1</v>
      </c>
      <c r="C4654">
        <v>102</v>
      </c>
      <c r="D4654">
        <v>1</v>
      </c>
    </row>
    <row r="4655" spans="2:4">
      <c r="B4655">
        <v>1</v>
      </c>
      <c r="C4655">
        <v>102</v>
      </c>
      <c r="D4655">
        <v>1</v>
      </c>
    </row>
    <row r="4657" spans="2:4">
      <c r="B4657">
        <v>1</v>
      </c>
      <c r="C4657">
        <v>102</v>
      </c>
      <c r="D4657">
        <v>1</v>
      </c>
    </row>
    <row r="4659" spans="2:4">
      <c r="B4659">
        <v>1</v>
      </c>
      <c r="C4659">
        <v>102</v>
      </c>
      <c r="D4659">
        <v>1</v>
      </c>
    </row>
    <row r="4664" spans="2:4">
      <c r="B4664">
        <v>1</v>
      </c>
      <c r="C4664">
        <v>102</v>
      </c>
      <c r="D4664">
        <v>1</v>
      </c>
    </row>
    <row r="4666" spans="2:4">
      <c r="B4666">
        <v>1</v>
      </c>
      <c r="C4666">
        <v>102</v>
      </c>
      <c r="D4666">
        <v>1</v>
      </c>
    </row>
    <row r="4667" spans="2:4">
      <c r="B4667">
        <v>1</v>
      </c>
      <c r="C4667">
        <v>102</v>
      </c>
      <c r="D4667">
        <v>1</v>
      </c>
    </row>
    <row r="4669" spans="2:4">
      <c r="B4669">
        <v>1</v>
      </c>
      <c r="C4669">
        <v>102</v>
      </c>
      <c r="D4669">
        <v>1</v>
      </c>
    </row>
    <row r="4670" spans="2:4">
      <c r="B4670">
        <v>1</v>
      </c>
      <c r="C4670">
        <v>102</v>
      </c>
      <c r="D4670">
        <v>1</v>
      </c>
    </row>
    <row r="4675" spans="2:4">
      <c r="B4675">
        <v>1</v>
      </c>
      <c r="C4675">
        <v>102</v>
      </c>
      <c r="D4675">
        <v>1</v>
      </c>
    </row>
    <row r="4679" spans="2:4">
      <c r="B4679">
        <v>1</v>
      </c>
      <c r="C4679">
        <v>102</v>
      </c>
      <c r="D4679">
        <v>1</v>
      </c>
    </row>
    <row r="4683" spans="2:4">
      <c r="B4683">
        <v>1</v>
      </c>
      <c r="C4683">
        <v>102</v>
      </c>
      <c r="D4683">
        <v>1</v>
      </c>
    </row>
    <row r="4684" spans="2:4">
      <c r="B4684">
        <v>1</v>
      </c>
      <c r="C4684">
        <v>102</v>
      </c>
      <c r="D4684">
        <v>1</v>
      </c>
    </row>
    <row r="4688" spans="2:4">
      <c r="B4688">
        <v>1</v>
      </c>
      <c r="C4688">
        <v>102</v>
      </c>
      <c r="D4688">
        <v>1</v>
      </c>
    </row>
    <row r="4689" spans="2:4">
      <c r="B4689">
        <v>1</v>
      </c>
      <c r="C4689">
        <v>102</v>
      </c>
      <c r="D4689">
        <v>1</v>
      </c>
    </row>
    <row r="4690" spans="2:4">
      <c r="B4690">
        <v>1</v>
      </c>
      <c r="C4690">
        <v>102</v>
      </c>
      <c r="D4690">
        <v>1</v>
      </c>
    </row>
    <row r="4691" spans="2:4">
      <c r="B4691">
        <v>1</v>
      </c>
      <c r="C4691">
        <v>102</v>
      </c>
      <c r="D4691">
        <v>1</v>
      </c>
    </row>
    <row r="4692" spans="2:4">
      <c r="B4692">
        <v>1</v>
      </c>
      <c r="C4692">
        <v>102</v>
      </c>
      <c r="D4692">
        <v>1</v>
      </c>
    </row>
    <row r="4694" spans="2:4">
      <c r="B4694">
        <v>1</v>
      </c>
      <c r="C4694">
        <v>102</v>
      </c>
      <c r="D4694">
        <v>1</v>
      </c>
    </row>
    <row r="4695" spans="2:4">
      <c r="B4695">
        <v>1</v>
      </c>
      <c r="C4695">
        <v>102</v>
      </c>
      <c r="D4695">
        <v>1</v>
      </c>
    </row>
    <row r="4697" spans="2:4">
      <c r="B4697">
        <v>1</v>
      </c>
      <c r="C4697">
        <v>102</v>
      </c>
      <c r="D4697">
        <v>1</v>
      </c>
    </row>
    <row r="4698" spans="2:4">
      <c r="B4698">
        <v>1</v>
      </c>
      <c r="C4698">
        <v>102</v>
      </c>
      <c r="D4698">
        <v>1</v>
      </c>
    </row>
    <row r="4699" spans="2:4">
      <c r="B4699">
        <v>1</v>
      </c>
      <c r="C4699">
        <v>102</v>
      </c>
      <c r="D4699">
        <v>1</v>
      </c>
    </row>
    <row r="4700" spans="2:4">
      <c r="B4700">
        <v>1</v>
      </c>
      <c r="C4700">
        <v>102</v>
      </c>
      <c r="D4700">
        <v>1</v>
      </c>
    </row>
    <row r="4701" spans="2:4">
      <c r="B4701">
        <v>1</v>
      </c>
      <c r="C4701">
        <v>102</v>
      </c>
      <c r="D4701">
        <v>1</v>
      </c>
    </row>
    <row r="4702" spans="2:4">
      <c r="B4702">
        <v>1</v>
      </c>
      <c r="C4702">
        <v>102</v>
      </c>
      <c r="D4702">
        <v>1</v>
      </c>
    </row>
    <row r="4704" spans="2:4">
      <c r="B4704">
        <v>1</v>
      </c>
      <c r="C4704">
        <v>102</v>
      </c>
      <c r="D4704">
        <v>1</v>
      </c>
    </row>
    <row r="4707" spans="2:4">
      <c r="B4707">
        <v>1</v>
      </c>
      <c r="C4707">
        <v>102</v>
      </c>
      <c r="D4707">
        <v>1</v>
      </c>
    </row>
    <row r="4708" spans="2:4">
      <c r="B4708">
        <v>1</v>
      </c>
      <c r="C4708">
        <v>102</v>
      </c>
      <c r="D4708">
        <v>1</v>
      </c>
    </row>
    <row r="4710" spans="2:4">
      <c r="B4710">
        <v>1</v>
      </c>
      <c r="C4710">
        <v>102</v>
      </c>
      <c r="D4710">
        <v>1</v>
      </c>
    </row>
    <row r="4711" spans="2:4">
      <c r="B4711">
        <v>1</v>
      </c>
      <c r="C4711">
        <v>102</v>
      </c>
      <c r="D4711">
        <v>1</v>
      </c>
    </row>
    <row r="4712" spans="2:4">
      <c r="B4712">
        <v>1</v>
      </c>
      <c r="C4712">
        <v>102</v>
      </c>
      <c r="D4712">
        <v>1</v>
      </c>
    </row>
    <row r="4714" spans="2:4">
      <c r="B4714">
        <v>1</v>
      </c>
      <c r="C4714">
        <v>102</v>
      </c>
      <c r="D4714">
        <v>1</v>
      </c>
    </row>
    <row r="4715" spans="2:4">
      <c r="B4715">
        <v>1</v>
      </c>
      <c r="C4715">
        <v>102</v>
      </c>
      <c r="D4715">
        <v>1</v>
      </c>
    </row>
    <row r="4725" spans="2:4">
      <c r="B4725">
        <v>1</v>
      </c>
      <c r="C4725">
        <v>102</v>
      </c>
      <c r="D4725">
        <v>1</v>
      </c>
    </row>
    <row r="4727" spans="2:4">
      <c r="B4727">
        <v>1</v>
      </c>
      <c r="C4727">
        <v>102</v>
      </c>
      <c r="D4727">
        <v>1</v>
      </c>
    </row>
    <row r="4728" spans="2:4">
      <c r="B4728">
        <v>1</v>
      </c>
      <c r="C4728">
        <v>102</v>
      </c>
      <c r="D4728">
        <v>1</v>
      </c>
    </row>
    <row r="4729" spans="2:4">
      <c r="B4729">
        <v>1</v>
      </c>
      <c r="C4729">
        <v>102</v>
      </c>
      <c r="D4729">
        <v>1</v>
      </c>
    </row>
    <row r="4731" spans="2:4">
      <c r="B4731">
        <v>1</v>
      </c>
      <c r="C4731">
        <v>102</v>
      </c>
      <c r="D4731">
        <v>1</v>
      </c>
    </row>
    <row r="4738" spans="2:4">
      <c r="B4738">
        <v>1</v>
      </c>
      <c r="C4738">
        <v>102</v>
      </c>
      <c r="D4738">
        <v>1</v>
      </c>
    </row>
    <row r="4739" spans="2:4">
      <c r="B4739">
        <v>1</v>
      </c>
      <c r="C4739">
        <v>102</v>
      </c>
      <c r="D4739">
        <v>1</v>
      </c>
    </row>
    <row r="4743" spans="2:4">
      <c r="B4743">
        <v>1</v>
      </c>
      <c r="C4743">
        <v>102</v>
      </c>
      <c r="D4743">
        <v>1</v>
      </c>
    </row>
    <row r="4750" spans="2:4">
      <c r="B4750">
        <v>1</v>
      </c>
      <c r="C4750">
        <v>102</v>
      </c>
      <c r="D4750">
        <v>1</v>
      </c>
    </row>
    <row r="4757" spans="2:4">
      <c r="B4757">
        <v>1</v>
      </c>
      <c r="C4757">
        <v>102</v>
      </c>
      <c r="D4757">
        <v>1</v>
      </c>
    </row>
    <row r="4758" spans="2:4">
      <c r="B4758">
        <v>1</v>
      </c>
      <c r="C4758">
        <v>102</v>
      </c>
      <c r="D4758">
        <v>1</v>
      </c>
    </row>
    <row r="4759" spans="2:4">
      <c r="B4759">
        <v>1</v>
      </c>
      <c r="C4759">
        <v>102</v>
      </c>
      <c r="D4759">
        <v>1</v>
      </c>
    </row>
    <row r="4761" spans="2:4">
      <c r="B4761">
        <v>1</v>
      </c>
      <c r="C4761">
        <v>102</v>
      </c>
      <c r="D4761">
        <v>1</v>
      </c>
    </row>
    <row r="4762" spans="2:4">
      <c r="B4762">
        <v>1</v>
      </c>
      <c r="C4762">
        <v>102</v>
      </c>
      <c r="D4762">
        <v>1</v>
      </c>
    </row>
    <row r="4763" spans="2:4">
      <c r="B4763">
        <v>1</v>
      </c>
      <c r="C4763">
        <v>102</v>
      </c>
      <c r="D4763">
        <v>1</v>
      </c>
    </row>
    <row r="4766" spans="2:4">
      <c r="B4766">
        <v>1</v>
      </c>
      <c r="C4766">
        <v>102</v>
      </c>
      <c r="D4766">
        <v>1</v>
      </c>
    </row>
    <row r="4768" spans="2:4">
      <c r="B4768">
        <v>1</v>
      </c>
      <c r="C4768">
        <v>102</v>
      </c>
      <c r="D4768">
        <v>1</v>
      </c>
    </row>
    <row r="4772" spans="2:4">
      <c r="B4772">
        <v>1</v>
      </c>
      <c r="C4772">
        <v>102</v>
      </c>
      <c r="D4772">
        <v>1</v>
      </c>
    </row>
    <row r="4780" spans="2:4">
      <c r="B4780">
        <v>1</v>
      </c>
      <c r="C4780">
        <v>102</v>
      </c>
      <c r="D4780">
        <v>1</v>
      </c>
    </row>
    <row r="4781" spans="2:4">
      <c r="B4781">
        <v>1</v>
      </c>
      <c r="C4781">
        <v>102</v>
      </c>
      <c r="D4781">
        <v>1</v>
      </c>
    </row>
    <row r="4784" spans="2:4">
      <c r="B4784">
        <v>1</v>
      </c>
      <c r="C4784">
        <v>102</v>
      </c>
      <c r="D4784">
        <v>1</v>
      </c>
    </row>
    <row r="4786" spans="2:4">
      <c r="B4786">
        <v>1</v>
      </c>
      <c r="C4786">
        <v>102</v>
      </c>
      <c r="D4786">
        <v>1</v>
      </c>
    </row>
    <row r="4788" spans="2:4">
      <c r="B4788">
        <v>1</v>
      </c>
      <c r="C4788">
        <v>102</v>
      </c>
      <c r="D4788">
        <v>1</v>
      </c>
    </row>
    <row r="4789" spans="2:4">
      <c r="B4789">
        <v>1</v>
      </c>
      <c r="C4789">
        <v>102</v>
      </c>
      <c r="D4789">
        <v>1</v>
      </c>
    </row>
    <row r="4793" spans="2:4">
      <c r="B4793">
        <v>1</v>
      </c>
      <c r="C4793">
        <v>102</v>
      </c>
      <c r="D4793">
        <v>1</v>
      </c>
    </row>
    <row r="4796" spans="2:4">
      <c r="B4796">
        <v>1</v>
      </c>
      <c r="C4796">
        <v>102</v>
      </c>
      <c r="D4796">
        <v>1</v>
      </c>
    </row>
    <row r="4799" spans="2:4">
      <c r="B4799">
        <v>1</v>
      </c>
      <c r="C4799">
        <v>102</v>
      </c>
      <c r="D4799">
        <v>1</v>
      </c>
    </row>
    <row r="4800" spans="2:4">
      <c r="B4800">
        <v>1</v>
      </c>
      <c r="C4800">
        <v>102</v>
      </c>
      <c r="D4800">
        <v>1</v>
      </c>
    </row>
    <row r="4801" spans="2:4">
      <c r="B4801">
        <v>1</v>
      </c>
      <c r="C4801">
        <v>102</v>
      </c>
      <c r="D4801">
        <v>1</v>
      </c>
    </row>
    <row r="4802" spans="2:4">
      <c r="B4802">
        <v>1</v>
      </c>
      <c r="C4802">
        <v>102</v>
      </c>
      <c r="D4802">
        <v>1</v>
      </c>
    </row>
    <row r="4804" spans="2:4">
      <c r="B4804">
        <v>1</v>
      </c>
      <c r="C4804">
        <v>102</v>
      </c>
      <c r="D4804">
        <v>1</v>
      </c>
    </row>
    <row r="4805" spans="2:4">
      <c r="B4805">
        <v>1</v>
      </c>
      <c r="C4805">
        <v>102</v>
      </c>
      <c r="D4805">
        <v>1</v>
      </c>
    </row>
    <row r="4806" spans="2:4">
      <c r="B4806">
        <v>1</v>
      </c>
      <c r="C4806">
        <v>102</v>
      </c>
      <c r="D4806">
        <v>1</v>
      </c>
    </row>
    <row r="4808" spans="2:4">
      <c r="B4808">
        <v>1</v>
      </c>
      <c r="C4808">
        <v>102</v>
      </c>
      <c r="D4808">
        <v>1</v>
      </c>
    </row>
    <row r="4810" spans="2:4">
      <c r="B4810">
        <v>1</v>
      </c>
      <c r="C4810">
        <v>102</v>
      </c>
      <c r="D4810">
        <v>1</v>
      </c>
    </row>
    <row r="4813" spans="2:4">
      <c r="B4813">
        <v>1</v>
      </c>
      <c r="C4813">
        <v>102</v>
      </c>
      <c r="D4813">
        <v>1</v>
      </c>
    </row>
    <row r="4814" spans="2:4">
      <c r="B4814">
        <v>1</v>
      </c>
      <c r="C4814">
        <v>102</v>
      </c>
      <c r="D4814">
        <v>1</v>
      </c>
    </row>
    <row r="4824" spans="2:4">
      <c r="B4824">
        <v>1</v>
      </c>
      <c r="C4824">
        <v>102</v>
      </c>
      <c r="D4824">
        <v>1</v>
      </c>
    </row>
    <row r="4831" spans="2:4">
      <c r="B4831">
        <v>1</v>
      </c>
      <c r="C4831">
        <v>102</v>
      </c>
      <c r="D4831">
        <v>1</v>
      </c>
    </row>
    <row r="4833" spans="2:4">
      <c r="B4833">
        <v>1</v>
      </c>
      <c r="C4833">
        <v>102</v>
      </c>
      <c r="D4833">
        <v>1</v>
      </c>
    </row>
    <row r="4837" spans="2:4">
      <c r="B4837">
        <v>1</v>
      </c>
      <c r="C4837">
        <v>102</v>
      </c>
      <c r="D4837">
        <v>1</v>
      </c>
    </row>
    <row r="4841" spans="2:4">
      <c r="B4841">
        <v>1</v>
      </c>
      <c r="C4841">
        <v>102</v>
      </c>
      <c r="D4841">
        <v>1</v>
      </c>
    </row>
    <row r="4845" spans="2:4">
      <c r="B4845">
        <v>1</v>
      </c>
      <c r="C4845">
        <v>102</v>
      </c>
      <c r="D4845">
        <v>1</v>
      </c>
    </row>
    <row r="4847" spans="2:4">
      <c r="B4847">
        <v>1</v>
      </c>
      <c r="C4847">
        <v>102</v>
      </c>
      <c r="D4847">
        <v>1</v>
      </c>
    </row>
    <row r="4848" spans="2:4">
      <c r="B4848">
        <v>1</v>
      </c>
      <c r="C4848">
        <v>102</v>
      </c>
      <c r="D4848">
        <v>1</v>
      </c>
    </row>
    <row r="4854" spans="2:4">
      <c r="B4854">
        <v>1</v>
      </c>
      <c r="C4854">
        <v>102</v>
      </c>
      <c r="D4854">
        <v>1</v>
      </c>
    </row>
    <row r="4858" spans="2:4">
      <c r="B4858">
        <v>1</v>
      </c>
      <c r="C4858">
        <v>102</v>
      </c>
      <c r="D4858">
        <v>1</v>
      </c>
    </row>
    <row r="4862" spans="2:4">
      <c r="B4862">
        <v>1</v>
      </c>
      <c r="C4862">
        <v>102</v>
      </c>
      <c r="D4862">
        <v>1</v>
      </c>
    </row>
    <row r="4863" spans="2:4">
      <c r="B4863">
        <v>1</v>
      </c>
      <c r="C4863">
        <v>102</v>
      </c>
      <c r="D4863">
        <v>1</v>
      </c>
    </row>
    <row r="4864" spans="2:4">
      <c r="B4864">
        <v>1</v>
      </c>
      <c r="C4864">
        <v>102</v>
      </c>
      <c r="D4864">
        <v>1</v>
      </c>
    </row>
    <row r="4865" spans="2:4">
      <c r="B4865">
        <v>1</v>
      </c>
      <c r="C4865">
        <v>102</v>
      </c>
      <c r="D4865">
        <v>1</v>
      </c>
    </row>
    <row r="4868" spans="2:4">
      <c r="B4868">
        <v>1</v>
      </c>
      <c r="C4868">
        <v>102</v>
      </c>
      <c r="D4868">
        <v>1</v>
      </c>
    </row>
    <row r="4869" spans="2:4">
      <c r="B4869">
        <v>1</v>
      </c>
      <c r="C4869">
        <v>102</v>
      </c>
      <c r="D4869">
        <v>1</v>
      </c>
    </row>
    <row r="4870" spans="2:4">
      <c r="B4870">
        <v>1</v>
      </c>
      <c r="C4870">
        <v>102</v>
      </c>
      <c r="D4870">
        <v>1</v>
      </c>
    </row>
    <row r="4873" spans="2:4">
      <c r="B4873">
        <v>1</v>
      </c>
      <c r="C4873">
        <v>102</v>
      </c>
      <c r="D4873">
        <v>1</v>
      </c>
    </row>
    <row r="4874" spans="2:4">
      <c r="B4874">
        <v>1</v>
      </c>
      <c r="C4874">
        <v>102</v>
      </c>
      <c r="D4874">
        <v>1</v>
      </c>
    </row>
    <row r="4876" spans="2:4">
      <c r="B4876">
        <v>1</v>
      </c>
      <c r="C4876">
        <v>102</v>
      </c>
      <c r="D4876">
        <v>1</v>
      </c>
    </row>
    <row r="4877" spans="2:4">
      <c r="B4877">
        <v>1</v>
      </c>
      <c r="C4877">
        <v>102</v>
      </c>
      <c r="D4877">
        <v>1</v>
      </c>
    </row>
    <row r="4879" spans="2:4">
      <c r="B4879">
        <v>1</v>
      </c>
      <c r="C4879">
        <v>102</v>
      </c>
      <c r="D4879">
        <v>1</v>
      </c>
    </row>
    <row r="4881" spans="2:4">
      <c r="B4881">
        <v>1</v>
      </c>
      <c r="C4881">
        <v>102</v>
      </c>
      <c r="D4881">
        <v>1</v>
      </c>
    </row>
    <row r="4882" spans="2:4">
      <c r="B4882">
        <v>1</v>
      </c>
      <c r="C4882">
        <v>102</v>
      </c>
      <c r="D4882">
        <v>1</v>
      </c>
    </row>
    <row r="4883" spans="2:4">
      <c r="B4883">
        <v>1</v>
      </c>
      <c r="C4883">
        <v>102</v>
      </c>
      <c r="D4883">
        <v>1</v>
      </c>
    </row>
    <row r="4884" spans="2:4">
      <c r="B4884">
        <v>1</v>
      </c>
      <c r="C4884">
        <v>102</v>
      </c>
      <c r="D4884">
        <v>1</v>
      </c>
    </row>
    <row r="4892" spans="2:4">
      <c r="B4892">
        <v>1</v>
      </c>
      <c r="C4892">
        <v>102</v>
      </c>
      <c r="D4892">
        <v>1</v>
      </c>
    </row>
    <row r="4893" spans="2:4">
      <c r="B4893">
        <v>1</v>
      </c>
      <c r="C4893">
        <v>102</v>
      </c>
      <c r="D4893">
        <v>1</v>
      </c>
    </row>
    <row r="4898" spans="2:4">
      <c r="B4898">
        <v>1</v>
      </c>
      <c r="C4898">
        <v>102</v>
      </c>
      <c r="D4898">
        <v>1</v>
      </c>
    </row>
    <row r="4903" spans="2:4">
      <c r="B4903">
        <v>1</v>
      </c>
      <c r="C4903">
        <v>102</v>
      </c>
      <c r="D4903">
        <v>1</v>
      </c>
    </row>
    <row r="4904" spans="2:4">
      <c r="B4904">
        <v>1</v>
      </c>
      <c r="C4904">
        <v>102</v>
      </c>
      <c r="D4904">
        <v>1</v>
      </c>
    </row>
    <row r="4905" spans="2:4">
      <c r="B4905">
        <v>1</v>
      </c>
      <c r="C4905">
        <v>102</v>
      </c>
      <c r="D4905">
        <v>1</v>
      </c>
    </row>
    <row r="4907" spans="2:4">
      <c r="B4907">
        <v>1</v>
      </c>
      <c r="C4907">
        <v>102</v>
      </c>
      <c r="D4907">
        <v>1</v>
      </c>
    </row>
    <row r="4910" spans="2:4">
      <c r="B4910">
        <v>1</v>
      </c>
      <c r="C4910">
        <v>102</v>
      </c>
      <c r="D4910">
        <v>1</v>
      </c>
    </row>
    <row r="4911" spans="2:4">
      <c r="B4911">
        <v>1</v>
      </c>
      <c r="C4911">
        <v>102</v>
      </c>
      <c r="D4911">
        <v>1</v>
      </c>
    </row>
    <row r="4913" spans="2:4">
      <c r="B4913">
        <v>1</v>
      </c>
      <c r="C4913">
        <v>102</v>
      </c>
      <c r="D4913">
        <v>1</v>
      </c>
    </row>
    <row r="4915" spans="2:4">
      <c r="B4915">
        <v>1</v>
      </c>
      <c r="C4915">
        <v>102</v>
      </c>
      <c r="D4915">
        <v>1</v>
      </c>
    </row>
    <row r="4920" spans="2:4">
      <c r="B4920">
        <v>1</v>
      </c>
      <c r="C4920">
        <v>102</v>
      </c>
      <c r="D4920">
        <v>1</v>
      </c>
    </row>
    <row r="4922" spans="2:4">
      <c r="B4922">
        <v>1</v>
      </c>
      <c r="C4922">
        <v>102</v>
      </c>
      <c r="D4922">
        <v>1</v>
      </c>
    </row>
    <row r="4923" spans="2:4">
      <c r="B4923">
        <v>1</v>
      </c>
      <c r="C4923">
        <v>102</v>
      </c>
      <c r="D4923">
        <v>1</v>
      </c>
    </row>
    <row r="4925" spans="2:4">
      <c r="B4925">
        <v>1</v>
      </c>
      <c r="C4925">
        <v>102</v>
      </c>
      <c r="D4925">
        <v>1</v>
      </c>
    </row>
    <row r="4926" spans="2:4">
      <c r="B4926">
        <v>1</v>
      </c>
      <c r="C4926">
        <v>102</v>
      </c>
      <c r="D4926">
        <v>1</v>
      </c>
    </row>
    <row r="4931" spans="2:4">
      <c r="B4931">
        <v>1</v>
      </c>
      <c r="C4931">
        <v>102</v>
      </c>
      <c r="D4931">
        <v>1</v>
      </c>
    </row>
    <row r="4935" spans="2:4">
      <c r="B4935">
        <v>1</v>
      </c>
      <c r="C4935">
        <v>102</v>
      </c>
      <c r="D4935">
        <v>1</v>
      </c>
    </row>
    <row r="4939" spans="2:4">
      <c r="B4939">
        <v>1</v>
      </c>
      <c r="C4939">
        <v>102</v>
      </c>
      <c r="D4939">
        <v>1</v>
      </c>
    </row>
    <row r="4940" spans="2:4">
      <c r="B4940">
        <v>1</v>
      </c>
      <c r="C4940">
        <v>102</v>
      </c>
      <c r="D4940">
        <v>1</v>
      </c>
    </row>
    <row r="4944" spans="2:4">
      <c r="B4944">
        <v>1</v>
      </c>
      <c r="C4944">
        <v>102</v>
      </c>
      <c r="D4944">
        <v>1</v>
      </c>
    </row>
    <row r="4945" spans="2:4">
      <c r="B4945">
        <v>1</v>
      </c>
      <c r="C4945">
        <v>102</v>
      </c>
      <c r="D4945">
        <v>1</v>
      </c>
    </row>
    <row r="4946" spans="2:4">
      <c r="B4946">
        <v>1</v>
      </c>
      <c r="C4946">
        <v>102</v>
      </c>
      <c r="D4946">
        <v>1</v>
      </c>
    </row>
    <row r="4947" spans="2:4">
      <c r="B4947">
        <v>1</v>
      </c>
      <c r="C4947">
        <v>102</v>
      </c>
      <c r="D4947">
        <v>1</v>
      </c>
    </row>
    <row r="4948" spans="2:4">
      <c r="B4948">
        <v>1</v>
      </c>
      <c r="C4948">
        <v>102</v>
      </c>
      <c r="D4948">
        <v>1</v>
      </c>
    </row>
    <row r="4950" spans="2:4">
      <c r="B4950">
        <v>1</v>
      </c>
      <c r="C4950">
        <v>102</v>
      </c>
      <c r="D4950">
        <v>1</v>
      </c>
    </row>
    <row r="4951" spans="2:4">
      <c r="B4951">
        <v>1</v>
      </c>
      <c r="C4951">
        <v>102</v>
      </c>
      <c r="D4951">
        <v>1</v>
      </c>
    </row>
    <row r="4953" spans="2:4">
      <c r="B4953">
        <v>1</v>
      </c>
      <c r="C4953">
        <v>102</v>
      </c>
      <c r="D4953">
        <v>1</v>
      </c>
    </row>
    <row r="4954" spans="2:4">
      <c r="B4954">
        <v>1</v>
      </c>
      <c r="C4954">
        <v>102</v>
      </c>
      <c r="D4954">
        <v>1</v>
      </c>
    </row>
    <row r="4955" spans="2:4">
      <c r="B4955">
        <v>1</v>
      </c>
      <c r="C4955">
        <v>102</v>
      </c>
      <c r="D4955">
        <v>1</v>
      </c>
    </row>
    <row r="4956" spans="2:4">
      <c r="B4956">
        <v>1</v>
      </c>
      <c r="C4956">
        <v>102</v>
      </c>
      <c r="D4956">
        <v>1</v>
      </c>
    </row>
    <row r="4957" spans="2:4">
      <c r="B4957">
        <v>1</v>
      </c>
      <c r="C4957">
        <v>102</v>
      </c>
      <c r="D4957">
        <v>1</v>
      </c>
    </row>
    <row r="4958" spans="2:4">
      <c r="B4958">
        <v>1</v>
      </c>
      <c r="C4958">
        <v>102</v>
      </c>
      <c r="D4958">
        <v>1</v>
      </c>
    </row>
    <row r="4960" spans="2:4">
      <c r="B4960">
        <v>1</v>
      </c>
      <c r="C4960">
        <v>102</v>
      </c>
      <c r="D4960">
        <v>1</v>
      </c>
    </row>
    <row r="4963" spans="2:4">
      <c r="B4963">
        <v>1</v>
      </c>
      <c r="C4963">
        <v>102</v>
      </c>
      <c r="D4963">
        <v>1</v>
      </c>
    </row>
    <row r="4964" spans="2:4">
      <c r="B4964">
        <v>1</v>
      </c>
      <c r="C4964">
        <v>102</v>
      </c>
      <c r="D4964">
        <v>1</v>
      </c>
    </row>
    <row r="4966" spans="2:4">
      <c r="B4966">
        <v>1</v>
      </c>
      <c r="C4966">
        <v>102</v>
      </c>
      <c r="D4966">
        <v>1</v>
      </c>
    </row>
    <row r="4967" spans="2:4">
      <c r="B4967">
        <v>1</v>
      </c>
      <c r="C4967">
        <v>102</v>
      </c>
      <c r="D4967">
        <v>1</v>
      </c>
    </row>
    <row r="4968" spans="2:4">
      <c r="B4968">
        <v>1</v>
      </c>
      <c r="C4968">
        <v>102</v>
      </c>
      <c r="D4968">
        <v>1</v>
      </c>
    </row>
    <row r="4970" spans="2:4">
      <c r="B4970">
        <v>1</v>
      </c>
      <c r="C4970">
        <v>102</v>
      </c>
      <c r="D4970">
        <v>1</v>
      </c>
    </row>
    <row r="4971" spans="2:4">
      <c r="B4971">
        <v>1</v>
      </c>
      <c r="C4971">
        <v>102</v>
      </c>
      <c r="D4971">
        <v>1</v>
      </c>
    </row>
    <row r="4981" spans="2:4">
      <c r="B4981">
        <v>1</v>
      </c>
      <c r="C4981">
        <v>102</v>
      </c>
      <c r="D4981">
        <v>1</v>
      </c>
    </row>
    <row r="4983" spans="2:4">
      <c r="B4983">
        <v>1</v>
      </c>
      <c r="C4983">
        <v>102</v>
      </c>
      <c r="D4983">
        <v>1</v>
      </c>
    </row>
    <row r="4984" spans="2:4">
      <c r="B4984">
        <v>1</v>
      </c>
      <c r="C4984">
        <v>102</v>
      </c>
      <c r="D4984">
        <v>1</v>
      </c>
    </row>
    <row r="4985" spans="2:4">
      <c r="B4985">
        <v>1</v>
      </c>
      <c r="C4985">
        <v>102</v>
      </c>
      <c r="D4985">
        <v>1</v>
      </c>
    </row>
    <row r="4987" spans="2:4">
      <c r="B4987">
        <v>1</v>
      </c>
      <c r="C4987">
        <v>102</v>
      </c>
      <c r="D4987">
        <v>1</v>
      </c>
    </row>
    <row r="4994" spans="2:4">
      <c r="B4994">
        <v>1</v>
      </c>
      <c r="C4994">
        <v>102</v>
      </c>
      <c r="D4994">
        <v>1</v>
      </c>
    </row>
    <row r="4995" spans="2:4">
      <c r="B4995">
        <v>1</v>
      </c>
      <c r="C4995">
        <v>102</v>
      </c>
      <c r="D4995">
        <v>1</v>
      </c>
    </row>
    <row r="4999" spans="2:4">
      <c r="B4999">
        <v>1</v>
      </c>
      <c r="C4999">
        <v>102</v>
      </c>
      <c r="D4999">
        <v>1</v>
      </c>
    </row>
    <row r="5006" spans="2:4">
      <c r="B5006">
        <v>1</v>
      </c>
      <c r="C5006">
        <v>102</v>
      </c>
      <c r="D5006">
        <v>1</v>
      </c>
    </row>
    <row r="5013" spans="2:4">
      <c r="B5013">
        <v>1</v>
      </c>
      <c r="C5013">
        <v>102</v>
      </c>
      <c r="D5013">
        <v>1</v>
      </c>
    </row>
    <row r="5014" spans="2:4">
      <c r="B5014">
        <v>1</v>
      </c>
      <c r="C5014">
        <v>102</v>
      </c>
      <c r="D5014">
        <v>1</v>
      </c>
    </row>
    <row r="5015" spans="2:4">
      <c r="B5015">
        <v>1</v>
      </c>
      <c r="C5015">
        <v>102</v>
      </c>
      <c r="D5015">
        <v>1</v>
      </c>
    </row>
    <row r="5017" spans="2:4">
      <c r="B5017">
        <v>1</v>
      </c>
      <c r="C5017">
        <v>102</v>
      </c>
      <c r="D5017">
        <v>1</v>
      </c>
    </row>
    <row r="5018" spans="2:4">
      <c r="B5018">
        <v>1</v>
      </c>
      <c r="C5018">
        <v>102</v>
      </c>
      <c r="D5018">
        <v>1</v>
      </c>
    </row>
    <row r="5019" spans="2:4">
      <c r="B5019">
        <v>1</v>
      </c>
      <c r="C5019">
        <v>102</v>
      </c>
      <c r="D5019">
        <v>1</v>
      </c>
    </row>
    <row r="5022" spans="2:4">
      <c r="B5022">
        <v>1</v>
      </c>
      <c r="C5022">
        <v>102</v>
      </c>
      <c r="D5022">
        <v>1</v>
      </c>
    </row>
    <row r="5024" spans="2:4">
      <c r="B5024">
        <v>1</v>
      </c>
      <c r="C5024">
        <v>102</v>
      </c>
      <c r="D5024">
        <v>1</v>
      </c>
    </row>
    <row r="5028" spans="2:4">
      <c r="B5028">
        <v>1</v>
      </c>
      <c r="C5028">
        <v>102</v>
      </c>
      <c r="D5028">
        <v>1</v>
      </c>
    </row>
    <row r="5036" spans="2:4">
      <c r="B5036">
        <v>1</v>
      </c>
      <c r="C5036">
        <v>102</v>
      </c>
      <c r="D5036">
        <v>1</v>
      </c>
    </row>
    <row r="5037" spans="2:4">
      <c r="B5037">
        <v>1</v>
      </c>
      <c r="C5037">
        <v>102</v>
      </c>
      <c r="D5037">
        <v>1</v>
      </c>
    </row>
    <row r="5040" spans="2:4">
      <c r="B5040">
        <v>1</v>
      </c>
      <c r="C5040">
        <v>102</v>
      </c>
      <c r="D5040">
        <v>1</v>
      </c>
    </row>
    <row r="5042" spans="2:4">
      <c r="B5042">
        <v>1</v>
      </c>
      <c r="C5042">
        <v>102</v>
      </c>
      <c r="D5042">
        <v>1</v>
      </c>
    </row>
    <row r="5044" spans="2:4">
      <c r="B5044">
        <v>1</v>
      </c>
      <c r="C5044">
        <v>102</v>
      </c>
      <c r="D5044">
        <v>1</v>
      </c>
    </row>
    <row r="5045" spans="2:4">
      <c r="B5045">
        <v>1</v>
      </c>
      <c r="C5045">
        <v>102</v>
      </c>
      <c r="D5045">
        <v>1</v>
      </c>
    </row>
    <row r="5049" spans="2:4">
      <c r="B5049">
        <v>1</v>
      </c>
      <c r="C5049">
        <v>102</v>
      </c>
      <c r="D5049">
        <v>1</v>
      </c>
    </row>
    <row r="5052" spans="2:4">
      <c r="B5052">
        <v>1</v>
      </c>
      <c r="C5052">
        <v>102</v>
      </c>
      <c r="D5052">
        <v>1</v>
      </c>
    </row>
    <row r="5055" spans="2:4">
      <c r="B5055">
        <v>1</v>
      </c>
      <c r="C5055">
        <v>102</v>
      </c>
      <c r="D5055">
        <v>1</v>
      </c>
    </row>
    <row r="5056" spans="2:4">
      <c r="B5056">
        <v>1</v>
      </c>
      <c r="C5056">
        <v>102</v>
      </c>
      <c r="D5056">
        <v>1</v>
      </c>
    </row>
    <row r="5057" spans="2:4">
      <c r="B5057">
        <v>1</v>
      </c>
      <c r="C5057">
        <v>102</v>
      </c>
      <c r="D5057">
        <v>1</v>
      </c>
    </row>
    <row r="5058" spans="2:4">
      <c r="B5058">
        <v>1</v>
      </c>
      <c r="C5058">
        <v>102</v>
      </c>
      <c r="D5058">
        <v>1</v>
      </c>
    </row>
    <row r="5060" spans="2:4">
      <c r="B5060">
        <v>1</v>
      </c>
      <c r="C5060">
        <v>102</v>
      </c>
      <c r="D5060">
        <v>1</v>
      </c>
    </row>
    <row r="5061" spans="2:4">
      <c r="B5061">
        <v>1</v>
      </c>
      <c r="C5061">
        <v>102</v>
      </c>
      <c r="D5061">
        <v>1</v>
      </c>
    </row>
    <row r="5062" spans="2:4">
      <c r="B5062">
        <v>1</v>
      </c>
      <c r="C5062">
        <v>102</v>
      </c>
      <c r="D5062">
        <v>1</v>
      </c>
    </row>
    <row r="5064" spans="2:4">
      <c r="B5064">
        <v>1</v>
      </c>
      <c r="C5064">
        <v>102</v>
      </c>
      <c r="D5064">
        <v>1</v>
      </c>
    </row>
    <row r="5066" spans="2:4">
      <c r="B5066">
        <v>1</v>
      </c>
      <c r="C5066">
        <v>102</v>
      </c>
      <c r="D5066">
        <v>1</v>
      </c>
    </row>
    <row r="5069" spans="2:4">
      <c r="B5069">
        <v>1</v>
      </c>
      <c r="C5069">
        <v>102</v>
      </c>
      <c r="D5069">
        <v>1</v>
      </c>
    </row>
    <row r="5070" spans="2:4">
      <c r="B5070">
        <v>1</v>
      </c>
      <c r="C5070">
        <v>102</v>
      </c>
      <c r="D5070">
        <v>1</v>
      </c>
    </row>
    <row r="5080" spans="2:4">
      <c r="B5080">
        <v>1</v>
      </c>
      <c r="C5080">
        <v>102</v>
      </c>
      <c r="D5080">
        <v>1</v>
      </c>
    </row>
    <row r="5087" spans="2:4">
      <c r="B5087">
        <v>1</v>
      </c>
      <c r="C5087">
        <v>102</v>
      </c>
      <c r="D5087">
        <v>1</v>
      </c>
    </row>
    <row r="5089" spans="2:4">
      <c r="B5089">
        <v>1</v>
      </c>
      <c r="C5089">
        <v>102</v>
      </c>
      <c r="D5089">
        <v>1</v>
      </c>
    </row>
    <row r="5093" spans="2:4">
      <c r="B5093">
        <v>1</v>
      </c>
      <c r="C5093">
        <v>102</v>
      </c>
      <c r="D5093">
        <v>1</v>
      </c>
    </row>
    <row r="5097" spans="2:4">
      <c r="B5097">
        <v>1</v>
      </c>
      <c r="C5097">
        <v>102</v>
      </c>
      <c r="D5097">
        <v>1</v>
      </c>
    </row>
    <row r="5101" spans="2:4">
      <c r="B5101">
        <v>1</v>
      </c>
      <c r="C5101">
        <v>102</v>
      </c>
      <c r="D5101">
        <v>1</v>
      </c>
    </row>
    <row r="5103" spans="2:4">
      <c r="B5103">
        <v>1</v>
      </c>
      <c r="C5103">
        <v>102</v>
      </c>
      <c r="D5103">
        <v>1</v>
      </c>
    </row>
    <row r="5104" spans="2:4">
      <c r="B5104">
        <v>1</v>
      </c>
      <c r="C5104">
        <v>102</v>
      </c>
      <c r="D5104">
        <v>1</v>
      </c>
    </row>
    <row r="5110" spans="2:4">
      <c r="B5110">
        <v>1</v>
      </c>
      <c r="C5110">
        <v>102</v>
      </c>
      <c r="D5110">
        <v>1</v>
      </c>
    </row>
    <row r="5114" spans="2:4">
      <c r="B5114">
        <v>1</v>
      </c>
      <c r="C5114">
        <v>102</v>
      </c>
      <c r="D5114">
        <v>1</v>
      </c>
    </row>
    <row r="5118" spans="2:4">
      <c r="B5118">
        <v>1</v>
      </c>
      <c r="C5118">
        <v>102</v>
      </c>
      <c r="D5118">
        <v>1</v>
      </c>
    </row>
    <row r="5119" spans="2:4">
      <c r="B5119">
        <v>1</v>
      </c>
      <c r="C5119">
        <v>102</v>
      </c>
      <c r="D5119">
        <v>1</v>
      </c>
    </row>
    <row r="5120" spans="2:4">
      <c r="B5120">
        <v>1</v>
      </c>
      <c r="C5120">
        <v>102</v>
      </c>
      <c r="D5120">
        <v>1</v>
      </c>
    </row>
    <row r="5121" spans="2:4">
      <c r="B5121">
        <v>1</v>
      </c>
      <c r="C5121">
        <v>102</v>
      </c>
      <c r="D5121">
        <v>1</v>
      </c>
    </row>
    <row r="5124" spans="2:4">
      <c r="B5124">
        <v>1</v>
      </c>
      <c r="C5124">
        <v>102</v>
      </c>
      <c r="D5124">
        <v>1</v>
      </c>
    </row>
    <row r="5125" spans="2:4">
      <c r="B5125">
        <v>1</v>
      </c>
      <c r="C5125">
        <v>102</v>
      </c>
      <c r="D5125">
        <v>1</v>
      </c>
    </row>
    <row r="5126" spans="2:4">
      <c r="B5126">
        <v>1</v>
      </c>
      <c r="C5126">
        <v>102</v>
      </c>
      <c r="D5126">
        <v>1</v>
      </c>
    </row>
    <row r="5129" spans="2:4">
      <c r="B5129">
        <v>1</v>
      </c>
      <c r="C5129">
        <v>102</v>
      </c>
      <c r="D5129">
        <v>1</v>
      </c>
    </row>
    <row r="5130" spans="2:4">
      <c r="B5130">
        <v>1</v>
      </c>
      <c r="C5130">
        <v>102</v>
      </c>
      <c r="D5130">
        <v>1</v>
      </c>
    </row>
    <row r="5132" spans="2:4">
      <c r="B5132">
        <v>1</v>
      </c>
      <c r="C5132">
        <v>102</v>
      </c>
      <c r="D5132">
        <v>1</v>
      </c>
    </row>
    <row r="5133" spans="2:4">
      <c r="B5133">
        <v>1</v>
      </c>
      <c r="C5133">
        <v>102</v>
      </c>
      <c r="D5133">
        <v>1</v>
      </c>
    </row>
    <row r="5135" spans="2:4">
      <c r="B5135">
        <v>1</v>
      </c>
      <c r="C5135">
        <v>102</v>
      </c>
      <c r="D5135">
        <v>1</v>
      </c>
    </row>
    <row r="5137" spans="2:4">
      <c r="B5137">
        <v>1</v>
      </c>
      <c r="C5137">
        <v>102</v>
      </c>
      <c r="D5137">
        <v>1</v>
      </c>
    </row>
    <row r="5138" spans="2:4">
      <c r="B5138">
        <v>1</v>
      </c>
      <c r="C5138">
        <v>102</v>
      </c>
      <c r="D5138">
        <v>1</v>
      </c>
    </row>
    <row r="5139" spans="2:4">
      <c r="B5139">
        <v>1</v>
      </c>
      <c r="C5139">
        <v>102</v>
      </c>
      <c r="D5139">
        <v>1</v>
      </c>
    </row>
    <row r="5140" spans="2:4">
      <c r="B5140">
        <v>1</v>
      </c>
      <c r="C5140">
        <v>102</v>
      </c>
      <c r="D5140">
        <v>1</v>
      </c>
    </row>
    <row r="5148" spans="2:4">
      <c r="B5148">
        <v>1</v>
      </c>
      <c r="C5148">
        <v>102</v>
      </c>
      <c r="D5148">
        <v>1</v>
      </c>
    </row>
    <row r="5149" spans="2:4">
      <c r="B5149">
        <v>1</v>
      </c>
      <c r="C5149">
        <v>102</v>
      </c>
      <c r="D5149">
        <v>1</v>
      </c>
    </row>
    <row r="5154" spans="2:4">
      <c r="B5154">
        <v>1</v>
      </c>
      <c r="C5154">
        <v>102</v>
      </c>
      <c r="D5154">
        <v>1</v>
      </c>
    </row>
    <row r="5159" spans="2:4">
      <c r="B5159">
        <v>1</v>
      </c>
      <c r="C5159">
        <v>102</v>
      </c>
      <c r="D5159">
        <v>1</v>
      </c>
    </row>
    <row r="5160" spans="2:4">
      <c r="B5160">
        <v>1</v>
      </c>
      <c r="C5160">
        <v>102</v>
      </c>
      <c r="D5160">
        <v>1</v>
      </c>
    </row>
    <row r="5161" spans="2:4">
      <c r="B5161">
        <v>1</v>
      </c>
      <c r="C5161">
        <v>102</v>
      </c>
      <c r="D5161">
        <v>1</v>
      </c>
    </row>
    <row r="5163" spans="2:4">
      <c r="B5163">
        <v>1</v>
      </c>
      <c r="C5163">
        <v>102</v>
      </c>
      <c r="D5163">
        <v>1</v>
      </c>
    </row>
    <row r="5166" spans="2:4">
      <c r="B5166">
        <v>1</v>
      </c>
      <c r="C5166">
        <v>102</v>
      </c>
      <c r="D5166">
        <v>1</v>
      </c>
    </row>
    <row r="5167" spans="2:4">
      <c r="B5167">
        <v>1</v>
      </c>
      <c r="C5167">
        <v>102</v>
      </c>
      <c r="D5167">
        <v>1</v>
      </c>
    </row>
    <row r="5169" spans="2:4">
      <c r="B5169">
        <v>1</v>
      </c>
      <c r="C5169">
        <v>102</v>
      </c>
      <c r="D5169">
        <v>1</v>
      </c>
    </row>
    <row r="5171" spans="2:4">
      <c r="B5171">
        <v>1</v>
      </c>
      <c r="C5171">
        <v>102</v>
      </c>
      <c r="D5171">
        <v>1</v>
      </c>
    </row>
    <row r="5176" spans="2:4">
      <c r="B5176">
        <v>1</v>
      </c>
      <c r="C5176">
        <v>102</v>
      </c>
      <c r="D5176">
        <v>1</v>
      </c>
    </row>
    <row r="5178" spans="2:4">
      <c r="B5178">
        <v>1</v>
      </c>
      <c r="C5178">
        <v>102</v>
      </c>
      <c r="D5178">
        <v>1</v>
      </c>
    </row>
    <row r="5179" spans="2:4">
      <c r="B5179">
        <v>1</v>
      </c>
      <c r="C5179">
        <v>102</v>
      </c>
      <c r="D5179">
        <v>1</v>
      </c>
    </row>
    <row r="5181" spans="2:4">
      <c r="B5181">
        <v>1</v>
      </c>
      <c r="C5181">
        <v>102</v>
      </c>
      <c r="D5181">
        <v>1</v>
      </c>
    </row>
    <row r="5182" spans="2:4">
      <c r="B5182">
        <v>1</v>
      </c>
      <c r="C5182">
        <v>102</v>
      </c>
      <c r="D5182">
        <v>1</v>
      </c>
    </row>
    <row r="5187" spans="2:4">
      <c r="B5187">
        <v>1</v>
      </c>
      <c r="C5187">
        <v>102</v>
      </c>
      <c r="D5187">
        <v>1</v>
      </c>
    </row>
    <row r="5191" spans="2:4">
      <c r="B5191">
        <v>1</v>
      </c>
      <c r="C5191">
        <v>102</v>
      </c>
      <c r="D5191">
        <v>1</v>
      </c>
    </row>
    <row r="5195" spans="2:4">
      <c r="B5195">
        <v>1</v>
      </c>
      <c r="C5195">
        <v>102</v>
      </c>
      <c r="D5195">
        <v>1</v>
      </c>
    </row>
    <row r="5196" spans="2:4">
      <c r="B5196">
        <v>1</v>
      </c>
      <c r="C5196">
        <v>102</v>
      </c>
      <c r="D5196">
        <v>1</v>
      </c>
    </row>
    <row r="5200" spans="2:4">
      <c r="B5200">
        <v>1</v>
      </c>
      <c r="C5200">
        <v>102</v>
      </c>
      <c r="D5200">
        <v>1</v>
      </c>
    </row>
    <row r="5201" spans="2:4">
      <c r="B5201">
        <v>1</v>
      </c>
      <c r="C5201">
        <v>102</v>
      </c>
      <c r="D5201">
        <v>1</v>
      </c>
    </row>
    <row r="5202" spans="2:4">
      <c r="B5202">
        <v>1</v>
      </c>
      <c r="C5202">
        <v>102</v>
      </c>
      <c r="D5202">
        <v>1</v>
      </c>
    </row>
    <row r="5203" spans="2:4">
      <c r="B5203">
        <v>1</v>
      </c>
      <c r="C5203">
        <v>102</v>
      </c>
      <c r="D5203">
        <v>1</v>
      </c>
    </row>
    <row r="5204" spans="2:4">
      <c r="B5204">
        <v>1</v>
      </c>
      <c r="C5204">
        <v>102</v>
      </c>
      <c r="D5204">
        <v>1</v>
      </c>
    </row>
    <row r="5206" spans="2:4">
      <c r="B5206">
        <v>1</v>
      </c>
      <c r="C5206">
        <v>102</v>
      </c>
      <c r="D5206">
        <v>1</v>
      </c>
    </row>
    <row r="5207" spans="2:4">
      <c r="B5207">
        <v>1</v>
      </c>
      <c r="C5207">
        <v>102</v>
      </c>
      <c r="D5207">
        <v>1</v>
      </c>
    </row>
    <row r="5209" spans="2:4">
      <c r="B5209">
        <v>1</v>
      </c>
      <c r="C5209">
        <v>102</v>
      </c>
      <c r="D5209">
        <v>1</v>
      </c>
    </row>
    <row r="5210" spans="2:4">
      <c r="B5210">
        <v>1</v>
      </c>
      <c r="C5210">
        <v>102</v>
      </c>
      <c r="D5210">
        <v>1</v>
      </c>
    </row>
    <row r="5211" spans="2:4">
      <c r="B5211">
        <v>1</v>
      </c>
      <c r="C5211">
        <v>102</v>
      </c>
      <c r="D5211">
        <v>1</v>
      </c>
    </row>
    <row r="5212" spans="2:4">
      <c r="B5212">
        <v>1</v>
      </c>
      <c r="C5212">
        <v>102</v>
      </c>
      <c r="D5212">
        <v>1</v>
      </c>
    </row>
    <row r="5213" spans="2:4">
      <c r="B5213">
        <v>1</v>
      </c>
      <c r="C5213">
        <v>102</v>
      </c>
      <c r="D5213">
        <v>1</v>
      </c>
    </row>
    <row r="5214" spans="2:4">
      <c r="B5214">
        <v>1</v>
      </c>
      <c r="C5214">
        <v>102</v>
      </c>
      <c r="D5214">
        <v>1</v>
      </c>
    </row>
    <row r="5216" spans="2:4">
      <c r="B5216">
        <v>1</v>
      </c>
      <c r="C5216">
        <v>102</v>
      </c>
      <c r="D5216">
        <v>1</v>
      </c>
    </row>
    <row r="5219" spans="2:4">
      <c r="B5219">
        <v>1</v>
      </c>
      <c r="C5219">
        <v>102</v>
      </c>
      <c r="D5219">
        <v>1</v>
      </c>
    </row>
    <row r="5220" spans="2:4">
      <c r="B5220">
        <v>1</v>
      </c>
      <c r="C5220">
        <v>102</v>
      </c>
      <c r="D5220">
        <v>1</v>
      </c>
    </row>
    <row r="5222" spans="2:4">
      <c r="B5222">
        <v>1</v>
      </c>
      <c r="C5222">
        <v>102</v>
      </c>
      <c r="D5222">
        <v>1</v>
      </c>
    </row>
    <row r="5223" spans="2:4">
      <c r="B5223">
        <v>1</v>
      </c>
      <c r="C5223">
        <v>102</v>
      </c>
      <c r="D5223">
        <v>1</v>
      </c>
    </row>
    <row r="5224" spans="2:4">
      <c r="B5224">
        <v>1</v>
      </c>
      <c r="C5224">
        <v>102</v>
      </c>
      <c r="D5224">
        <v>1</v>
      </c>
    </row>
    <row r="5226" spans="2:4">
      <c r="B5226">
        <v>1</v>
      </c>
      <c r="C5226">
        <v>102</v>
      </c>
      <c r="D5226">
        <v>1</v>
      </c>
    </row>
    <row r="5227" spans="2:4">
      <c r="B5227">
        <v>1</v>
      </c>
      <c r="C5227">
        <v>102</v>
      </c>
      <c r="D5227">
        <v>1</v>
      </c>
    </row>
    <row r="5237" spans="2:4">
      <c r="B5237">
        <v>1</v>
      </c>
      <c r="C5237">
        <v>102</v>
      </c>
      <c r="D5237">
        <v>1</v>
      </c>
    </row>
    <row r="5239" spans="2:4">
      <c r="B5239">
        <v>1</v>
      </c>
      <c r="C5239">
        <v>102</v>
      </c>
      <c r="D5239">
        <v>1</v>
      </c>
    </row>
    <row r="5240" spans="2:4">
      <c r="B5240">
        <v>1</v>
      </c>
      <c r="C5240">
        <v>102</v>
      </c>
      <c r="D5240">
        <v>1</v>
      </c>
    </row>
    <row r="5241" spans="2:4">
      <c r="B5241">
        <v>1</v>
      </c>
      <c r="C5241">
        <v>102</v>
      </c>
      <c r="D5241">
        <v>1</v>
      </c>
    </row>
    <row r="5243" spans="2:4">
      <c r="B5243">
        <v>1</v>
      </c>
      <c r="C5243">
        <v>102</v>
      </c>
      <c r="D5243">
        <v>1</v>
      </c>
    </row>
    <row r="5250" spans="2:4">
      <c r="B5250">
        <v>1</v>
      </c>
      <c r="C5250">
        <v>102</v>
      </c>
      <c r="D5250">
        <v>1</v>
      </c>
    </row>
    <row r="5251" spans="2:4">
      <c r="B5251">
        <v>1</v>
      </c>
      <c r="C5251">
        <v>102</v>
      </c>
      <c r="D5251">
        <v>1</v>
      </c>
    </row>
    <row r="5255" spans="2:4">
      <c r="B5255">
        <v>1</v>
      </c>
      <c r="C5255">
        <v>102</v>
      </c>
      <c r="D5255">
        <v>1</v>
      </c>
    </row>
    <row r="5262" spans="2:4">
      <c r="B5262">
        <v>1</v>
      </c>
      <c r="C5262">
        <v>102</v>
      </c>
      <c r="D5262">
        <v>1</v>
      </c>
    </row>
    <row r="5269" spans="2:4">
      <c r="B5269">
        <v>1</v>
      </c>
      <c r="C5269">
        <v>102</v>
      </c>
      <c r="D5269">
        <v>1</v>
      </c>
    </row>
    <row r="5270" spans="2:4">
      <c r="B5270">
        <v>1</v>
      </c>
      <c r="C5270">
        <v>102</v>
      </c>
      <c r="D5270">
        <v>1</v>
      </c>
    </row>
    <row r="5271" spans="2:4">
      <c r="B5271">
        <v>1</v>
      </c>
      <c r="C5271">
        <v>102</v>
      </c>
      <c r="D5271">
        <v>1</v>
      </c>
    </row>
    <row r="5273" spans="2:4">
      <c r="B5273">
        <v>1</v>
      </c>
      <c r="C5273">
        <v>102</v>
      </c>
      <c r="D5273">
        <v>1</v>
      </c>
    </row>
    <row r="5274" spans="2:4">
      <c r="B5274">
        <v>1</v>
      </c>
      <c r="C5274">
        <v>102</v>
      </c>
      <c r="D5274">
        <v>1</v>
      </c>
    </row>
    <row r="5275" spans="2:4">
      <c r="B5275">
        <v>1</v>
      </c>
      <c r="C5275">
        <v>102</v>
      </c>
      <c r="D5275">
        <v>1</v>
      </c>
    </row>
    <row r="5278" spans="2:4">
      <c r="B5278">
        <v>1</v>
      </c>
      <c r="C5278">
        <v>102</v>
      </c>
      <c r="D5278">
        <v>1</v>
      </c>
    </row>
    <row r="5280" spans="2:4">
      <c r="B5280">
        <v>1</v>
      </c>
      <c r="C5280">
        <v>102</v>
      </c>
      <c r="D5280">
        <v>1</v>
      </c>
    </row>
    <row r="5284" spans="2:4">
      <c r="B5284">
        <v>1</v>
      </c>
      <c r="C5284">
        <v>102</v>
      </c>
      <c r="D5284">
        <v>1</v>
      </c>
    </row>
    <row r="5292" spans="2:4">
      <c r="B5292">
        <v>1</v>
      </c>
      <c r="C5292">
        <v>102</v>
      </c>
      <c r="D5292">
        <v>1</v>
      </c>
    </row>
    <row r="5293" spans="2:4">
      <c r="B5293">
        <v>1</v>
      </c>
      <c r="C5293">
        <v>102</v>
      </c>
      <c r="D5293">
        <v>1</v>
      </c>
    </row>
    <row r="5296" spans="2:4">
      <c r="B5296">
        <v>1</v>
      </c>
      <c r="C5296">
        <v>102</v>
      </c>
      <c r="D5296">
        <v>1</v>
      </c>
    </row>
    <row r="5298" spans="2:4">
      <c r="B5298">
        <v>1</v>
      </c>
      <c r="C5298">
        <v>102</v>
      </c>
      <c r="D5298">
        <v>1</v>
      </c>
    </row>
    <row r="5300" spans="2:4">
      <c r="B5300">
        <v>1</v>
      </c>
      <c r="C5300">
        <v>102</v>
      </c>
      <c r="D5300">
        <v>1</v>
      </c>
    </row>
    <row r="5301" spans="2:4">
      <c r="B5301">
        <v>1</v>
      </c>
      <c r="C5301">
        <v>102</v>
      </c>
      <c r="D5301">
        <v>1</v>
      </c>
    </row>
    <row r="5305" spans="2:4">
      <c r="B5305">
        <v>1</v>
      </c>
      <c r="C5305">
        <v>102</v>
      </c>
      <c r="D5305">
        <v>1</v>
      </c>
    </row>
    <row r="5308" spans="2:4">
      <c r="B5308">
        <v>1</v>
      </c>
      <c r="C5308">
        <v>102</v>
      </c>
      <c r="D5308">
        <v>1</v>
      </c>
    </row>
    <row r="5311" spans="2:4">
      <c r="B5311">
        <v>1</v>
      </c>
      <c r="C5311">
        <v>102</v>
      </c>
      <c r="D5311">
        <v>1</v>
      </c>
    </row>
    <row r="5312" spans="2:4">
      <c r="B5312">
        <v>1</v>
      </c>
      <c r="C5312">
        <v>102</v>
      </c>
      <c r="D5312">
        <v>1</v>
      </c>
    </row>
    <row r="5313" spans="2:4">
      <c r="B5313">
        <v>1</v>
      </c>
      <c r="C5313">
        <v>102</v>
      </c>
      <c r="D5313">
        <v>1</v>
      </c>
    </row>
    <row r="5314" spans="2:4">
      <c r="B5314">
        <v>1</v>
      </c>
      <c r="C5314">
        <v>102</v>
      </c>
      <c r="D5314">
        <v>1</v>
      </c>
    </row>
    <row r="5316" spans="2:4">
      <c r="B5316">
        <v>1</v>
      </c>
      <c r="C5316">
        <v>102</v>
      </c>
      <c r="D5316">
        <v>1</v>
      </c>
    </row>
    <row r="5317" spans="2:4">
      <c r="B5317">
        <v>1</v>
      </c>
      <c r="C5317">
        <v>102</v>
      </c>
      <c r="D5317">
        <v>1</v>
      </c>
    </row>
    <row r="5318" spans="2:4">
      <c r="B5318">
        <v>1</v>
      </c>
      <c r="C5318">
        <v>102</v>
      </c>
      <c r="D5318">
        <v>1</v>
      </c>
    </row>
    <row r="5320" spans="2:4">
      <c r="B5320">
        <v>1</v>
      </c>
      <c r="C5320">
        <v>102</v>
      </c>
      <c r="D5320">
        <v>1</v>
      </c>
    </row>
    <row r="5322" spans="2:4">
      <c r="B5322">
        <v>1</v>
      </c>
      <c r="C5322">
        <v>102</v>
      </c>
      <c r="D5322">
        <v>1</v>
      </c>
    </row>
    <row r="5325" spans="2:4">
      <c r="B5325">
        <v>1</v>
      </c>
      <c r="C5325">
        <v>102</v>
      </c>
      <c r="D5325">
        <v>1</v>
      </c>
    </row>
    <row r="5326" spans="2:4">
      <c r="B5326">
        <v>1</v>
      </c>
      <c r="C5326">
        <v>102</v>
      </c>
      <c r="D5326">
        <v>1</v>
      </c>
    </row>
    <row r="5336" spans="2:4">
      <c r="B5336">
        <v>1</v>
      </c>
      <c r="C5336">
        <v>102</v>
      </c>
      <c r="D5336">
        <v>1</v>
      </c>
    </row>
    <row r="5343" spans="2:4">
      <c r="B5343">
        <v>1</v>
      </c>
      <c r="C5343">
        <v>102</v>
      </c>
      <c r="D5343">
        <v>1</v>
      </c>
    </row>
    <row r="5345" spans="2:4">
      <c r="B5345">
        <v>1</v>
      </c>
      <c r="C5345">
        <v>102</v>
      </c>
      <c r="D5345">
        <v>1</v>
      </c>
    </row>
    <row r="5349" spans="2:4">
      <c r="B5349">
        <v>1</v>
      </c>
      <c r="C5349">
        <v>102</v>
      </c>
      <c r="D5349">
        <v>1</v>
      </c>
    </row>
    <row r="5353" spans="2:4">
      <c r="B5353">
        <v>1</v>
      </c>
      <c r="C5353">
        <v>102</v>
      </c>
      <c r="D5353">
        <v>1</v>
      </c>
    </row>
    <row r="5357" spans="2:4">
      <c r="B5357">
        <v>1</v>
      </c>
      <c r="C5357">
        <v>102</v>
      </c>
      <c r="D5357">
        <v>1</v>
      </c>
    </row>
    <row r="5359" spans="2:4">
      <c r="B5359">
        <v>1</v>
      </c>
      <c r="C5359">
        <v>102</v>
      </c>
      <c r="D5359">
        <v>1</v>
      </c>
    </row>
    <row r="5360" spans="2:4">
      <c r="B5360">
        <v>1</v>
      </c>
      <c r="C5360">
        <v>102</v>
      </c>
      <c r="D5360">
        <v>1</v>
      </c>
    </row>
    <row r="5366" spans="2:4">
      <c r="B5366">
        <v>1</v>
      </c>
      <c r="C5366">
        <v>102</v>
      </c>
      <c r="D5366">
        <v>1</v>
      </c>
    </row>
    <row r="5370" spans="2:4">
      <c r="B5370">
        <v>1</v>
      </c>
      <c r="C5370">
        <v>102</v>
      </c>
      <c r="D5370">
        <v>1</v>
      </c>
    </row>
    <row r="5374" spans="2:4">
      <c r="B5374">
        <v>1</v>
      </c>
      <c r="C5374">
        <v>102</v>
      </c>
      <c r="D5374">
        <v>1</v>
      </c>
    </row>
    <row r="5375" spans="2:4">
      <c r="B5375">
        <v>1</v>
      </c>
      <c r="C5375">
        <v>102</v>
      </c>
      <c r="D5375">
        <v>1</v>
      </c>
    </row>
    <row r="5376" spans="2:4">
      <c r="B5376">
        <v>1</v>
      </c>
      <c r="C5376">
        <v>102</v>
      </c>
      <c r="D5376">
        <v>1</v>
      </c>
    </row>
    <row r="5377" spans="2:4">
      <c r="B5377">
        <v>1</v>
      </c>
      <c r="C5377">
        <v>102</v>
      </c>
      <c r="D5377">
        <v>1</v>
      </c>
    </row>
    <row r="5380" spans="2:4">
      <c r="B5380">
        <v>1</v>
      </c>
      <c r="C5380">
        <v>102</v>
      </c>
      <c r="D5380">
        <v>1</v>
      </c>
    </row>
    <row r="5381" spans="2:4">
      <c r="B5381">
        <v>1</v>
      </c>
      <c r="C5381">
        <v>102</v>
      </c>
      <c r="D5381">
        <v>1</v>
      </c>
    </row>
    <row r="5382" spans="2:4">
      <c r="B5382">
        <v>1</v>
      </c>
      <c r="C5382">
        <v>102</v>
      </c>
      <c r="D5382">
        <v>1</v>
      </c>
    </row>
    <row r="5385" spans="2:4">
      <c r="B5385">
        <v>1</v>
      </c>
      <c r="C5385">
        <v>102</v>
      </c>
      <c r="D5385">
        <v>1</v>
      </c>
    </row>
    <row r="5386" spans="2:4">
      <c r="B5386">
        <v>1</v>
      </c>
      <c r="C5386">
        <v>102</v>
      </c>
      <c r="D5386">
        <v>1</v>
      </c>
    </row>
    <row r="5388" spans="2:4">
      <c r="B5388">
        <v>1</v>
      </c>
      <c r="C5388">
        <v>102</v>
      </c>
      <c r="D5388">
        <v>1</v>
      </c>
    </row>
    <row r="5389" spans="2:4">
      <c r="B5389">
        <v>1</v>
      </c>
      <c r="C5389">
        <v>102</v>
      </c>
      <c r="D5389">
        <v>1</v>
      </c>
    </row>
    <row r="5391" spans="2:4">
      <c r="B5391">
        <v>1</v>
      </c>
      <c r="C5391">
        <v>102</v>
      </c>
      <c r="D5391">
        <v>1</v>
      </c>
    </row>
    <row r="5393" spans="2:4">
      <c r="B5393">
        <v>1</v>
      </c>
      <c r="C5393">
        <v>102</v>
      </c>
      <c r="D5393">
        <v>1</v>
      </c>
    </row>
    <row r="5394" spans="2:4">
      <c r="B5394">
        <v>1</v>
      </c>
      <c r="C5394">
        <v>102</v>
      </c>
      <c r="D5394">
        <v>1</v>
      </c>
    </row>
    <row r="5395" spans="2:4">
      <c r="B5395">
        <v>1</v>
      </c>
      <c r="C5395">
        <v>102</v>
      </c>
      <c r="D5395">
        <v>1</v>
      </c>
    </row>
    <row r="5396" spans="2:4">
      <c r="B5396">
        <v>1</v>
      </c>
      <c r="C5396">
        <v>102</v>
      </c>
      <c r="D5396">
        <v>1</v>
      </c>
    </row>
    <row r="5404" spans="2:4">
      <c r="B5404">
        <v>1</v>
      </c>
      <c r="C5404">
        <v>102</v>
      </c>
      <c r="D5404">
        <v>1</v>
      </c>
    </row>
    <row r="5405" spans="2:4">
      <c r="B5405">
        <v>1</v>
      </c>
      <c r="C5405">
        <v>102</v>
      </c>
      <c r="D5405">
        <v>1</v>
      </c>
    </row>
    <row r="5410" spans="2:4">
      <c r="B5410">
        <v>1</v>
      </c>
      <c r="C5410">
        <v>102</v>
      </c>
      <c r="D5410">
        <v>1</v>
      </c>
    </row>
    <row r="5415" spans="2:4">
      <c r="B5415">
        <v>1</v>
      </c>
      <c r="C5415">
        <v>102</v>
      </c>
      <c r="D5415">
        <v>1</v>
      </c>
    </row>
    <row r="5416" spans="2:4">
      <c r="B5416">
        <v>1</v>
      </c>
      <c r="C5416">
        <v>102</v>
      </c>
      <c r="D5416">
        <v>1</v>
      </c>
    </row>
    <row r="5417" spans="2:4">
      <c r="B5417">
        <v>1</v>
      </c>
      <c r="C5417">
        <v>102</v>
      </c>
      <c r="D5417">
        <v>1</v>
      </c>
    </row>
    <row r="5419" spans="2:4">
      <c r="B5419">
        <v>1</v>
      </c>
      <c r="C5419">
        <v>102</v>
      </c>
      <c r="D5419">
        <v>1</v>
      </c>
    </row>
    <row r="5422" spans="2:4">
      <c r="B5422">
        <v>1</v>
      </c>
      <c r="C5422">
        <v>102</v>
      </c>
      <c r="D5422">
        <v>1</v>
      </c>
    </row>
    <row r="5423" spans="2:4">
      <c r="B5423">
        <v>1</v>
      </c>
      <c r="C5423">
        <v>102</v>
      </c>
      <c r="D5423">
        <v>1</v>
      </c>
    </row>
    <row r="5425" spans="2:4">
      <c r="B5425">
        <v>1</v>
      </c>
      <c r="C5425">
        <v>102</v>
      </c>
      <c r="D5425">
        <v>1</v>
      </c>
    </row>
    <row r="5427" spans="2:4">
      <c r="B5427">
        <v>1</v>
      </c>
      <c r="C5427">
        <v>102</v>
      </c>
      <c r="D5427">
        <v>1</v>
      </c>
    </row>
    <row r="5432" spans="2:4">
      <c r="B5432">
        <v>1</v>
      </c>
      <c r="C5432">
        <v>102</v>
      </c>
      <c r="D5432">
        <v>1</v>
      </c>
    </row>
    <row r="5434" spans="2:4">
      <c r="B5434">
        <v>1</v>
      </c>
      <c r="C5434">
        <v>102</v>
      </c>
      <c r="D5434">
        <v>1</v>
      </c>
    </row>
    <row r="5435" spans="2:4">
      <c r="B5435">
        <v>1</v>
      </c>
      <c r="C5435">
        <v>102</v>
      </c>
      <c r="D5435">
        <v>1</v>
      </c>
    </row>
    <row r="5437" spans="2:4">
      <c r="B5437">
        <v>1</v>
      </c>
      <c r="C5437">
        <v>102</v>
      </c>
      <c r="D5437">
        <v>1</v>
      </c>
    </row>
    <row r="5438" spans="2:4">
      <c r="B5438">
        <v>1</v>
      </c>
      <c r="C5438">
        <v>102</v>
      </c>
      <c r="D5438">
        <v>1</v>
      </c>
    </row>
    <row r="5443" spans="2:4">
      <c r="B5443">
        <v>1</v>
      </c>
      <c r="C5443">
        <v>102</v>
      </c>
      <c r="D5443">
        <v>1</v>
      </c>
    </row>
    <row r="5447" spans="2:4">
      <c r="B5447">
        <v>1</v>
      </c>
      <c r="C5447">
        <v>102</v>
      </c>
      <c r="D5447">
        <v>1</v>
      </c>
    </row>
    <row r="5451" spans="2:4">
      <c r="B5451">
        <v>1</v>
      </c>
      <c r="C5451">
        <v>102</v>
      </c>
      <c r="D5451">
        <v>1</v>
      </c>
    </row>
    <row r="5452" spans="2:4">
      <c r="B5452">
        <v>1</v>
      </c>
      <c r="C5452">
        <v>102</v>
      </c>
      <c r="D5452">
        <v>1</v>
      </c>
    </row>
    <row r="5456" spans="2:4">
      <c r="B5456">
        <v>1</v>
      </c>
      <c r="C5456">
        <v>102</v>
      </c>
      <c r="D5456">
        <v>1</v>
      </c>
    </row>
    <row r="5457" spans="2:4">
      <c r="B5457">
        <v>1</v>
      </c>
      <c r="C5457">
        <v>102</v>
      </c>
      <c r="D5457">
        <v>1</v>
      </c>
    </row>
    <row r="5458" spans="2:4">
      <c r="B5458">
        <v>1</v>
      </c>
      <c r="C5458">
        <v>102</v>
      </c>
      <c r="D5458">
        <v>1</v>
      </c>
    </row>
    <row r="5459" spans="2:4">
      <c r="B5459">
        <v>1</v>
      </c>
      <c r="C5459">
        <v>102</v>
      </c>
      <c r="D5459">
        <v>1</v>
      </c>
    </row>
    <row r="5460" spans="2:4">
      <c r="B5460">
        <v>1</v>
      </c>
      <c r="C5460">
        <v>102</v>
      </c>
      <c r="D5460">
        <v>1</v>
      </c>
    </row>
    <row r="5462" spans="2:4">
      <c r="B5462">
        <v>1</v>
      </c>
      <c r="C5462">
        <v>102</v>
      </c>
      <c r="D5462">
        <v>1</v>
      </c>
    </row>
    <row r="5463" spans="2:4">
      <c r="B5463">
        <v>1</v>
      </c>
      <c r="C5463">
        <v>102</v>
      </c>
      <c r="D5463">
        <v>1</v>
      </c>
    </row>
    <row r="5465" spans="2:4">
      <c r="B5465">
        <v>1</v>
      </c>
      <c r="C5465">
        <v>102</v>
      </c>
      <c r="D5465">
        <v>1</v>
      </c>
    </row>
    <row r="5466" spans="2:4">
      <c r="B5466">
        <v>1</v>
      </c>
      <c r="C5466">
        <v>102</v>
      </c>
      <c r="D5466">
        <v>1</v>
      </c>
    </row>
    <row r="5467" spans="2:4">
      <c r="B5467">
        <v>1</v>
      </c>
      <c r="C5467">
        <v>102</v>
      </c>
      <c r="D5467">
        <v>1</v>
      </c>
    </row>
    <row r="5468" spans="2:4">
      <c r="B5468">
        <v>1</v>
      </c>
      <c r="C5468">
        <v>102</v>
      </c>
      <c r="D5468">
        <v>1</v>
      </c>
    </row>
    <row r="5469" spans="2:4">
      <c r="B5469">
        <v>1</v>
      </c>
      <c r="C5469">
        <v>102</v>
      </c>
      <c r="D5469">
        <v>1</v>
      </c>
    </row>
    <row r="5470" spans="2:4">
      <c r="B5470">
        <v>1</v>
      </c>
      <c r="C5470">
        <v>102</v>
      </c>
      <c r="D5470">
        <v>1</v>
      </c>
    </row>
    <row r="5472" spans="2:4">
      <c r="B5472">
        <v>1</v>
      </c>
      <c r="C5472">
        <v>102</v>
      </c>
      <c r="D5472">
        <v>1</v>
      </c>
    </row>
    <row r="5475" spans="2:4">
      <c r="B5475">
        <v>1</v>
      </c>
      <c r="C5475">
        <v>102</v>
      </c>
      <c r="D5475">
        <v>1</v>
      </c>
    </row>
    <row r="5476" spans="2:4">
      <c r="B5476">
        <v>1</v>
      </c>
      <c r="C5476">
        <v>102</v>
      </c>
      <c r="D5476">
        <v>1</v>
      </c>
    </row>
    <row r="5478" spans="2:4">
      <c r="B5478">
        <v>1</v>
      </c>
      <c r="C5478">
        <v>102</v>
      </c>
      <c r="D5478">
        <v>1</v>
      </c>
    </row>
    <row r="5479" spans="2:4">
      <c r="B5479">
        <v>1</v>
      </c>
      <c r="C5479">
        <v>102</v>
      </c>
      <c r="D5479">
        <v>1</v>
      </c>
    </row>
    <row r="5480" spans="2:4">
      <c r="B5480">
        <v>1</v>
      </c>
      <c r="C5480">
        <v>102</v>
      </c>
      <c r="D5480">
        <v>1</v>
      </c>
    </row>
    <row r="5482" spans="2:4">
      <c r="B5482">
        <v>1</v>
      </c>
      <c r="C5482">
        <v>102</v>
      </c>
      <c r="D5482">
        <v>1</v>
      </c>
    </row>
    <row r="5483" spans="2:4">
      <c r="B5483">
        <v>1</v>
      </c>
      <c r="C5483">
        <v>102</v>
      </c>
      <c r="D5483">
        <v>1</v>
      </c>
    </row>
    <row r="5493" spans="2:4">
      <c r="B5493">
        <v>1</v>
      </c>
      <c r="C5493">
        <v>102</v>
      </c>
      <c r="D5493">
        <v>1</v>
      </c>
    </row>
    <row r="5495" spans="2:4">
      <c r="B5495">
        <v>1</v>
      </c>
      <c r="C5495">
        <v>102</v>
      </c>
      <c r="D5495">
        <v>1</v>
      </c>
    </row>
    <row r="5496" spans="2:4">
      <c r="B5496">
        <v>1</v>
      </c>
      <c r="C5496">
        <v>102</v>
      </c>
      <c r="D5496">
        <v>1</v>
      </c>
    </row>
    <row r="5497" spans="2:4">
      <c r="B5497">
        <v>1</v>
      </c>
      <c r="C5497">
        <v>102</v>
      </c>
      <c r="D5497">
        <v>1</v>
      </c>
    </row>
    <row r="5499" spans="2:4">
      <c r="B5499">
        <v>1</v>
      </c>
      <c r="C5499">
        <v>102</v>
      </c>
      <c r="D5499">
        <v>1</v>
      </c>
    </row>
    <row r="5506" spans="2:4">
      <c r="B5506">
        <v>1</v>
      </c>
      <c r="C5506">
        <v>102</v>
      </c>
      <c r="D5506">
        <v>1</v>
      </c>
    </row>
    <row r="5507" spans="2:4">
      <c r="B5507">
        <v>1</v>
      </c>
      <c r="C5507">
        <v>102</v>
      </c>
      <c r="D5507">
        <v>1</v>
      </c>
    </row>
    <row r="5511" spans="2:4">
      <c r="B5511">
        <v>1</v>
      </c>
      <c r="C5511">
        <v>102</v>
      </c>
      <c r="D5511">
        <v>1</v>
      </c>
    </row>
    <row r="5518" spans="2:4">
      <c r="B5518">
        <v>1</v>
      </c>
      <c r="C5518">
        <v>102</v>
      </c>
      <c r="D5518">
        <v>1</v>
      </c>
    </row>
    <row r="5525" spans="2:4">
      <c r="B5525">
        <v>1</v>
      </c>
      <c r="C5525">
        <v>102</v>
      </c>
      <c r="D5525">
        <v>1</v>
      </c>
    </row>
    <row r="5526" spans="2:4">
      <c r="B5526">
        <v>1</v>
      </c>
      <c r="C5526">
        <v>102</v>
      </c>
      <c r="D5526">
        <v>1</v>
      </c>
    </row>
    <row r="5527" spans="2:4">
      <c r="B5527">
        <v>1</v>
      </c>
      <c r="C5527">
        <v>102</v>
      </c>
      <c r="D5527">
        <v>1</v>
      </c>
    </row>
    <row r="5529" spans="2:4">
      <c r="B5529">
        <v>1</v>
      </c>
      <c r="C5529">
        <v>102</v>
      </c>
      <c r="D5529">
        <v>1</v>
      </c>
    </row>
    <row r="5530" spans="2:4">
      <c r="B5530">
        <v>1</v>
      </c>
      <c r="C5530">
        <v>102</v>
      </c>
      <c r="D5530">
        <v>1</v>
      </c>
    </row>
    <row r="5531" spans="2:4">
      <c r="B5531">
        <v>1</v>
      </c>
      <c r="C5531">
        <v>102</v>
      </c>
      <c r="D5531">
        <v>1</v>
      </c>
    </row>
    <row r="5534" spans="2:4">
      <c r="B5534">
        <v>1</v>
      </c>
      <c r="C5534">
        <v>102</v>
      </c>
      <c r="D5534">
        <v>1</v>
      </c>
    </row>
    <row r="5536" spans="2:4">
      <c r="B5536">
        <v>1</v>
      </c>
      <c r="C5536">
        <v>102</v>
      </c>
      <c r="D5536">
        <v>1</v>
      </c>
    </row>
    <row r="5540" spans="2:4">
      <c r="B5540">
        <v>1</v>
      </c>
      <c r="C5540">
        <v>102</v>
      </c>
      <c r="D5540">
        <v>1</v>
      </c>
    </row>
    <row r="5548" spans="2:4">
      <c r="B5548">
        <v>1</v>
      </c>
      <c r="C5548">
        <v>102</v>
      </c>
      <c r="D5548">
        <v>1</v>
      </c>
    </row>
    <row r="5549" spans="2:4">
      <c r="B5549">
        <v>1</v>
      </c>
      <c r="C5549">
        <v>102</v>
      </c>
      <c r="D5549">
        <v>1</v>
      </c>
    </row>
    <row r="5552" spans="2:4">
      <c r="B5552">
        <v>1</v>
      </c>
      <c r="C5552">
        <v>102</v>
      </c>
      <c r="D5552">
        <v>1</v>
      </c>
    </row>
    <row r="5554" spans="2:4">
      <c r="B5554">
        <v>1</v>
      </c>
      <c r="C5554">
        <v>102</v>
      </c>
      <c r="D5554">
        <v>1</v>
      </c>
    </row>
    <row r="5556" spans="2:4">
      <c r="B5556">
        <v>1</v>
      </c>
      <c r="C5556">
        <v>102</v>
      </c>
      <c r="D5556">
        <v>1</v>
      </c>
    </row>
    <row r="5557" spans="2:4">
      <c r="B5557">
        <v>1</v>
      </c>
      <c r="C5557">
        <v>102</v>
      </c>
      <c r="D5557">
        <v>1</v>
      </c>
    </row>
    <row r="5564" spans="2:4">
      <c r="B5564">
        <v>1</v>
      </c>
      <c r="C5564">
        <v>102</v>
      </c>
      <c r="D5564">
        <v>1</v>
      </c>
    </row>
    <row r="5566" spans="2:4">
      <c r="B5566">
        <v>1</v>
      </c>
      <c r="C5566">
        <v>102</v>
      </c>
      <c r="D5566">
        <v>1</v>
      </c>
    </row>
    <row r="5567" spans="2:4">
      <c r="B5567">
        <v>1</v>
      </c>
      <c r="C5567">
        <v>102</v>
      </c>
      <c r="D5567">
        <v>1</v>
      </c>
    </row>
    <row r="5568" spans="2:4">
      <c r="B5568">
        <v>1</v>
      </c>
      <c r="C5568">
        <v>102</v>
      </c>
      <c r="D5568">
        <v>1</v>
      </c>
    </row>
    <row r="5572" spans="2:4">
      <c r="B5572">
        <v>1</v>
      </c>
      <c r="C5572">
        <v>102</v>
      </c>
      <c r="D5572">
        <v>1</v>
      </c>
    </row>
    <row r="5573" spans="2:4">
      <c r="B5573">
        <v>1</v>
      </c>
      <c r="C5573">
        <v>102</v>
      </c>
      <c r="D5573">
        <v>1</v>
      </c>
    </row>
    <row r="5577" spans="2:4">
      <c r="B5577">
        <v>1</v>
      </c>
      <c r="C5577">
        <v>102</v>
      </c>
      <c r="D5577">
        <v>1</v>
      </c>
    </row>
    <row r="5580" spans="2:4">
      <c r="B5580">
        <v>1</v>
      </c>
      <c r="C5580">
        <v>102</v>
      </c>
      <c r="D5580">
        <v>1</v>
      </c>
    </row>
    <row r="5583" spans="2:4">
      <c r="B5583">
        <v>1</v>
      </c>
      <c r="C5583">
        <v>102</v>
      </c>
      <c r="D5583">
        <v>1</v>
      </c>
    </row>
    <row r="5585" spans="2:4">
      <c r="B5585">
        <v>1</v>
      </c>
      <c r="C5585">
        <v>102</v>
      </c>
      <c r="D5585">
        <v>1</v>
      </c>
    </row>
    <row r="5586" spans="2:4">
      <c r="B5586">
        <v>1</v>
      </c>
      <c r="C5586">
        <v>102</v>
      </c>
      <c r="D5586">
        <v>1</v>
      </c>
    </row>
    <row r="5587" spans="2:4">
      <c r="B5587">
        <v>1</v>
      </c>
      <c r="C5587">
        <v>102</v>
      </c>
      <c r="D5587">
        <v>1</v>
      </c>
    </row>
    <row r="5588" spans="2:4">
      <c r="B5588">
        <v>1</v>
      </c>
      <c r="C5588">
        <v>102</v>
      </c>
      <c r="D5588">
        <v>1</v>
      </c>
    </row>
    <row r="5596" spans="2:4">
      <c r="B5596">
        <v>1</v>
      </c>
      <c r="C5596">
        <v>102</v>
      </c>
      <c r="D5596">
        <v>1</v>
      </c>
    </row>
    <row r="5597" spans="2:4">
      <c r="B5597">
        <v>1</v>
      </c>
      <c r="C5597">
        <v>102</v>
      </c>
      <c r="D5597">
        <v>1</v>
      </c>
    </row>
    <row r="5602" spans="2:4">
      <c r="B5602">
        <v>1</v>
      </c>
      <c r="C5602">
        <v>102</v>
      </c>
      <c r="D5602">
        <v>1</v>
      </c>
    </row>
    <row r="5605" spans="2:4">
      <c r="B5605">
        <v>1</v>
      </c>
      <c r="C5605">
        <v>102</v>
      </c>
      <c r="D5605">
        <v>1</v>
      </c>
    </row>
    <row r="5608" spans="2:4">
      <c r="B5608">
        <v>1</v>
      </c>
      <c r="C5608">
        <v>102</v>
      </c>
      <c r="D5608">
        <v>1</v>
      </c>
    </row>
    <row r="5611" spans="2:4">
      <c r="B5611">
        <v>1</v>
      </c>
      <c r="C5611">
        <v>102</v>
      </c>
      <c r="D5611">
        <v>1</v>
      </c>
    </row>
    <row r="5614" spans="2:4">
      <c r="B5614">
        <v>1</v>
      </c>
      <c r="C5614">
        <v>102</v>
      </c>
      <c r="D5614">
        <v>1</v>
      </c>
    </row>
    <row r="5617" spans="2:4">
      <c r="B5617">
        <v>1</v>
      </c>
      <c r="C5617">
        <v>102</v>
      </c>
      <c r="D5617">
        <v>1</v>
      </c>
    </row>
    <row r="5619" spans="2:4">
      <c r="B5619">
        <v>1</v>
      </c>
      <c r="C5619">
        <v>102</v>
      </c>
      <c r="D5619">
        <v>1</v>
      </c>
    </row>
    <row r="5622" spans="2:4">
      <c r="B5622">
        <v>1</v>
      </c>
      <c r="C5622">
        <v>102</v>
      </c>
      <c r="D5622">
        <v>1</v>
      </c>
    </row>
    <row r="5624" spans="2:4">
      <c r="B5624">
        <v>1</v>
      </c>
      <c r="C5624">
        <v>102</v>
      </c>
      <c r="D5624">
        <v>1</v>
      </c>
    </row>
    <row r="5626" spans="2:4">
      <c r="B5626">
        <v>1</v>
      </c>
      <c r="C5626">
        <v>102</v>
      </c>
      <c r="D5626">
        <v>1</v>
      </c>
    </row>
    <row r="5627" spans="2:4">
      <c r="B5627">
        <v>1</v>
      </c>
      <c r="C5627">
        <v>102</v>
      </c>
      <c r="D5627">
        <v>1</v>
      </c>
    </row>
    <row r="5629" spans="2:4">
      <c r="B5629">
        <v>1</v>
      </c>
      <c r="C5629">
        <v>102</v>
      </c>
      <c r="D5629">
        <v>1</v>
      </c>
    </row>
    <row r="5632" spans="2:4">
      <c r="B5632">
        <v>1</v>
      </c>
      <c r="C5632">
        <v>102</v>
      </c>
      <c r="D5632">
        <v>1</v>
      </c>
    </row>
    <row r="5635" spans="2:4">
      <c r="B5635">
        <v>1</v>
      </c>
      <c r="C5635">
        <v>102</v>
      </c>
      <c r="D5635">
        <v>1</v>
      </c>
    </row>
    <row r="5637" spans="2:4">
      <c r="B5637">
        <v>1</v>
      </c>
      <c r="C5637">
        <v>102</v>
      </c>
      <c r="D5637">
        <v>1</v>
      </c>
    </row>
    <row r="5643" spans="2:4">
      <c r="B5643">
        <v>1</v>
      </c>
      <c r="C5643">
        <v>102</v>
      </c>
      <c r="D5643">
        <v>1</v>
      </c>
    </row>
    <row r="5648" spans="2:4">
      <c r="B5648">
        <v>1</v>
      </c>
      <c r="C5648">
        <v>102</v>
      </c>
      <c r="D5648">
        <v>1</v>
      </c>
    </row>
    <row r="5649" spans="2:4">
      <c r="B5649">
        <v>1</v>
      </c>
      <c r="C5649">
        <v>102</v>
      </c>
      <c r="D5649">
        <v>1</v>
      </c>
    </row>
    <row r="5650" spans="2:4">
      <c r="B5650">
        <v>1</v>
      </c>
      <c r="C5650">
        <v>102</v>
      </c>
      <c r="D5650">
        <v>1</v>
      </c>
    </row>
    <row r="5651" spans="2:4">
      <c r="B5651">
        <v>1</v>
      </c>
      <c r="C5651">
        <v>102</v>
      </c>
      <c r="D5651">
        <v>1</v>
      </c>
    </row>
    <row r="5655" spans="2:4">
      <c r="B5655">
        <v>1</v>
      </c>
      <c r="C5655">
        <v>102</v>
      </c>
      <c r="D5655">
        <v>1</v>
      </c>
    </row>
    <row r="5659" spans="2:4">
      <c r="B5659">
        <v>1</v>
      </c>
      <c r="C5659">
        <v>102</v>
      </c>
      <c r="D5659">
        <v>1</v>
      </c>
    </row>
    <row r="5660" spans="2:4">
      <c r="B5660">
        <v>1</v>
      </c>
      <c r="C5660">
        <v>102</v>
      </c>
      <c r="D5660">
        <v>1</v>
      </c>
    </row>
    <row r="5662" spans="2:4">
      <c r="B5662">
        <v>1</v>
      </c>
      <c r="C5662">
        <v>102</v>
      </c>
      <c r="D5662">
        <v>1</v>
      </c>
    </row>
    <row r="5667" spans="2:4">
      <c r="B5667">
        <v>1</v>
      </c>
      <c r="C5667">
        <v>102</v>
      </c>
      <c r="D5667">
        <v>1</v>
      </c>
    </row>
    <row r="5668" spans="2:4">
      <c r="B5668">
        <v>1</v>
      </c>
      <c r="C5668">
        <v>102</v>
      </c>
      <c r="D5668">
        <v>1</v>
      </c>
    </row>
    <row r="5670" spans="2:4">
      <c r="B5670">
        <v>1</v>
      </c>
      <c r="C5670">
        <v>102</v>
      </c>
      <c r="D5670">
        <v>1</v>
      </c>
    </row>
    <row r="5671" spans="2:4">
      <c r="B5671">
        <v>1</v>
      </c>
      <c r="C5671">
        <v>102</v>
      </c>
      <c r="D5671">
        <v>1</v>
      </c>
    </row>
    <row r="5674" spans="2:4">
      <c r="B5674">
        <v>1</v>
      </c>
      <c r="C5674">
        <v>102</v>
      </c>
      <c r="D5674">
        <v>1</v>
      </c>
    </row>
    <row r="5681" spans="2:4">
      <c r="B5681">
        <v>1</v>
      </c>
      <c r="C5681">
        <v>102</v>
      </c>
      <c r="D5681">
        <v>1</v>
      </c>
    </row>
    <row r="5683" spans="2:4">
      <c r="B5683">
        <v>1</v>
      </c>
      <c r="C5683">
        <v>102</v>
      </c>
      <c r="D5683">
        <v>1</v>
      </c>
    </row>
    <row r="5685" spans="2:4">
      <c r="B5685">
        <v>1</v>
      </c>
      <c r="C5685">
        <v>102</v>
      </c>
      <c r="D5685">
        <v>1</v>
      </c>
    </row>
    <row r="5687" spans="2:4">
      <c r="B5687">
        <v>1</v>
      </c>
      <c r="C5687">
        <v>102</v>
      </c>
      <c r="D5687">
        <v>1</v>
      </c>
    </row>
    <row r="5689" spans="2:4">
      <c r="B5689">
        <v>1</v>
      </c>
      <c r="C5689">
        <v>102</v>
      </c>
      <c r="D5689">
        <v>1</v>
      </c>
    </row>
    <row r="5691" spans="2:4">
      <c r="B5691">
        <v>1</v>
      </c>
      <c r="C5691">
        <v>102</v>
      </c>
      <c r="D5691">
        <v>1</v>
      </c>
    </row>
    <row r="5698" spans="2:4">
      <c r="B5698">
        <v>1</v>
      </c>
      <c r="C5698">
        <v>102</v>
      </c>
      <c r="D5698">
        <v>1</v>
      </c>
    </row>
    <row r="5703" spans="2:4">
      <c r="B5703">
        <v>1</v>
      </c>
      <c r="C5703">
        <v>102</v>
      </c>
      <c r="D5703">
        <v>1</v>
      </c>
    </row>
    <row r="5704" spans="2:4">
      <c r="B5704">
        <v>1</v>
      </c>
      <c r="C5704">
        <v>102</v>
      </c>
      <c r="D5704">
        <v>1</v>
      </c>
    </row>
    <row r="5710" spans="2:4">
      <c r="B5710">
        <v>1</v>
      </c>
      <c r="C5710">
        <v>102</v>
      </c>
      <c r="D5710">
        <v>1</v>
      </c>
    </row>
    <row r="5717" spans="2:4">
      <c r="B5717">
        <v>1</v>
      </c>
      <c r="C5717">
        <v>102</v>
      </c>
      <c r="D5717">
        <v>1</v>
      </c>
    </row>
    <row r="5718" spans="2:4">
      <c r="B5718">
        <v>1</v>
      </c>
      <c r="C5718">
        <v>102</v>
      </c>
      <c r="D5718">
        <v>1</v>
      </c>
    </row>
    <row r="5721" spans="2:4">
      <c r="B5721">
        <v>1</v>
      </c>
      <c r="C5721">
        <v>102</v>
      </c>
      <c r="D5721">
        <v>1</v>
      </c>
    </row>
    <row r="5722" spans="2:4">
      <c r="B5722">
        <v>1</v>
      </c>
      <c r="C5722">
        <v>102</v>
      </c>
      <c r="D5722">
        <v>1</v>
      </c>
    </row>
    <row r="5726" spans="2:4">
      <c r="B5726">
        <v>1</v>
      </c>
      <c r="C5726">
        <v>102</v>
      </c>
      <c r="D5726">
        <v>1</v>
      </c>
    </row>
    <row r="5728" spans="2:4">
      <c r="B5728">
        <v>1</v>
      </c>
      <c r="C5728">
        <v>102</v>
      </c>
      <c r="D5728">
        <v>1</v>
      </c>
    </row>
    <row r="5732" spans="2:4">
      <c r="B5732">
        <v>1</v>
      </c>
      <c r="C5732">
        <v>102</v>
      </c>
      <c r="D5732">
        <v>1</v>
      </c>
    </row>
    <row r="5735" spans="2:4">
      <c r="B5735">
        <v>1</v>
      </c>
      <c r="C5735">
        <v>102</v>
      </c>
      <c r="D5735">
        <v>1</v>
      </c>
    </row>
    <row r="5740" spans="2:4">
      <c r="B5740">
        <v>1</v>
      </c>
      <c r="C5740">
        <v>102</v>
      </c>
      <c r="D5740">
        <v>1</v>
      </c>
    </row>
    <row r="5741" spans="2:4">
      <c r="B5741">
        <v>1</v>
      </c>
      <c r="C5741">
        <v>102</v>
      </c>
      <c r="D5741">
        <v>1</v>
      </c>
    </row>
    <row r="5744" spans="2:4">
      <c r="B5744">
        <v>1</v>
      </c>
      <c r="C5744">
        <v>102</v>
      </c>
      <c r="D5744">
        <v>1</v>
      </c>
    </row>
    <row r="5746" spans="2:4">
      <c r="B5746">
        <v>1</v>
      </c>
      <c r="C5746">
        <v>102</v>
      </c>
      <c r="D5746">
        <v>1</v>
      </c>
    </row>
    <row r="5748" spans="2:4">
      <c r="B5748">
        <v>1</v>
      </c>
      <c r="C5748">
        <v>102</v>
      </c>
      <c r="D5748">
        <v>1</v>
      </c>
    </row>
    <row r="5753" spans="2:4">
      <c r="B5753">
        <v>1</v>
      </c>
      <c r="C5753">
        <v>102</v>
      </c>
      <c r="D5753">
        <v>1</v>
      </c>
    </row>
    <row r="5756" spans="2:4">
      <c r="B5756">
        <v>1</v>
      </c>
      <c r="C5756">
        <v>102</v>
      </c>
      <c r="D5756">
        <v>1</v>
      </c>
    </row>
    <row r="5759" spans="2:4">
      <c r="B5759">
        <v>1</v>
      </c>
      <c r="C5759">
        <v>102</v>
      </c>
      <c r="D5759">
        <v>1</v>
      </c>
    </row>
    <row r="5761" spans="2:4">
      <c r="B5761">
        <v>1</v>
      </c>
      <c r="C5761">
        <v>102</v>
      </c>
      <c r="D5761">
        <v>1</v>
      </c>
    </row>
    <row r="5766" spans="2:4">
      <c r="B5766">
        <v>1</v>
      </c>
      <c r="C5766">
        <v>102</v>
      </c>
      <c r="D5766">
        <v>1</v>
      </c>
    </row>
    <row r="5768" spans="2:4">
      <c r="B5768">
        <v>1</v>
      </c>
      <c r="C5768">
        <v>102</v>
      </c>
      <c r="D5768">
        <v>1</v>
      </c>
    </row>
    <row r="5770" spans="2:4">
      <c r="B5770">
        <v>1</v>
      </c>
      <c r="C5770">
        <v>102</v>
      </c>
      <c r="D5770">
        <v>1</v>
      </c>
    </row>
    <row r="5773" spans="2:4">
      <c r="B5773">
        <v>1</v>
      </c>
      <c r="C5773">
        <v>102</v>
      </c>
      <c r="D5773">
        <v>1</v>
      </c>
    </row>
    <row r="5775" spans="2:4">
      <c r="B5775">
        <v>1</v>
      </c>
      <c r="C5775">
        <v>102</v>
      </c>
      <c r="D5775">
        <v>1</v>
      </c>
    </row>
    <row r="5782" spans="2:4">
      <c r="B5782">
        <v>1</v>
      </c>
      <c r="C5782">
        <v>102</v>
      </c>
      <c r="D5782">
        <v>1</v>
      </c>
    </row>
    <row r="5784" spans="2:4">
      <c r="B5784">
        <v>1</v>
      </c>
      <c r="C5784">
        <v>102</v>
      </c>
      <c r="D5784">
        <v>1</v>
      </c>
    </row>
    <row r="5786" spans="2:4">
      <c r="B5786">
        <v>1</v>
      </c>
      <c r="C5786">
        <v>102</v>
      </c>
      <c r="D5786">
        <v>1</v>
      </c>
    </row>
    <row r="5791" spans="2:4">
      <c r="B5791">
        <v>1</v>
      </c>
      <c r="C5791">
        <v>102</v>
      </c>
      <c r="D5791">
        <v>1</v>
      </c>
    </row>
    <row r="5793" spans="2:4">
      <c r="B5793">
        <v>1</v>
      </c>
      <c r="C5793">
        <v>102</v>
      </c>
      <c r="D5793">
        <v>1</v>
      </c>
    </row>
    <row r="5797" spans="2:4">
      <c r="B5797">
        <v>1</v>
      </c>
      <c r="C5797">
        <v>102</v>
      </c>
      <c r="D5797">
        <v>1</v>
      </c>
    </row>
    <row r="5801" spans="2:4">
      <c r="B5801">
        <v>1</v>
      </c>
      <c r="C5801">
        <v>102</v>
      </c>
      <c r="D5801">
        <v>1</v>
      </c>
    </row>
    <row r="5805" spans="2:4">
      <c r="B5805">
        <v>1</v>
      </c>
      <c r="C5805">
        <v>102</v>
      </c>
      <c r="D5805">
        <v>1</v>
      </c>
    </row>
    <row r="5807" spans="2:4">
      <c r="B5807">
        <v>1</v>
      </c>
      <c r="C5807">
        <v>102</v>
      </c>
      <c r="D5807">
        <v>1</v>
      </c>
    </row>
    <row r="5814" spans="2:4">
      <c r="B5814">
        <v>1</v>
      </c>
      <c r="C5814">
        <v>102</v>
      </c>
      <c r="D5814">
        <v>1</v>
      </c>
    </row>
    <row r="5820" spans="2:4">
      <c r="B5820">
        <v>1</v>
      </c>
      <c r="C5820">
        <v>102</v>
      </c>
      <c r="D5820">
        <v>1</v>
      </c>
    </row>
    <row r="5822" spans="2:4">
      <c r="B5822">
        <v>1</v>
      </c>
      <c r="C5822">
        <v>102</v>
      </c>
      <c r="D5822">
        <v>1</v>
      </c>
    </row>
    <row r="5823" spans="2:4">
      <c r="B5823">
        <v>1</v>
      </c>
      <c r="C5823">
        <v>102</v>
      </c>
      <c r="D5823">
        <v>1</v>
      </c>
    </row>
    <row r="5824" spans="2:4">
      <c r="B5824">
        <v>1</v>
      </c>
      <c r="C5824">
        <v>102</v>
      </c>
      <c r="D5824">
        <v>1</v>
      </c>
    </row>
    <row r="5828" spans="2:4">
      <c r="B5828">
        <v>1</v>
      </c>
      <c r="C5828">
        <v>102</v>
      </c>
      <c r="D5828">
        <v>1</v>
      </c>
    </row>
    <row r="5829" spans="2:4">
      <c r="B5829">
        <v>1</v>
      </c>
      <c r="C5829">
        <v>102</v>
      </c>
      <c r="D5829">
        <v>1</v>
      </c>
    </row>
    <row r="5833" spans="2:4">
      <c r="B5833">
        <v>1</v>
      </c>
      <c r="C5833">
        <v>102</v>
      </c>
      <c r="D5833">
        <v>1</v>
      </c>
    </row>
    <row r="5836" spans="2:4">
      <c r="B5836">
        <v>1</v>
      </c>
      <c r="C5836">
        <v>102</v>
      </c>
      <c r="D5836">
        <v>1</v>
      </c>
    </row>
    <row r="5839" spans="2:4">
      <c r="B5839">
        <v>1</v>
      </c>
      <c r="C5839">
        <v>102</v>
      </c>
      <c r="D5839">
        <v>1</v>
      </c>
    </row>
    <row r="5841" spans="2:4">
      <c r="B5841">
        <v>1</v>
      </c>
      <c r="C5841">
        <v>102</v>
      </c>
      <c r="D5841">
        <v>1</v>
      </c>
    </row>
    <row r="5842" spans="2:4">
      <c r="B5842">
        <v>1</v>
      </c>
      <c r="C5842">
        <v>102</v>
      </c>
      <c r="D5842">
        <v>1</v>
      </c>
    </row>
    <row r="5843" spans="2:4">
      <c r="B5843">
        <v>1</v>
      </c>
      <c r="C5843">
        <v>102</v>
      </c>
      <c r="D5843">
        <v>1</v>
      </c>
    </row>
    <row r="5844" spans="2:4">
      <c r="B5844">
        <v>1</v>
      </c>
      <c r="C5844">
        <v>102</v>
      </c>
      <c r="D5844">
        <v>1</v>
      </c>
    </row>
    <row r="5852" spans="2:4">
      <c r="B5852">
        <v>1</v>
      </c>
      <c r="C5852">
        <v>102</v>
      </c>
      <c r="D5852">
        <v>1</v>
      </c>
    </row>
    <row r="5853" spans="2:4">
      <c r="B5853">
        <v>1</v>
      </c>
      <c r="C5853">
        <v>102</v>
      </c>
      <c r="D5853">
        <v>1</v>
      </c>
    </row>
    <row r="5858" spans="2:4">
      <c r="B5858">
        <v>1</v>
      </c>
      <c r="C5858">
        <v>102</v>
      </c>
      <c r="D5858">
        <v>1</v>
      </c>
    </row>
    <row r="5861" spans="2:4">
      <c r="B5861">
        <v>1</v>
      </c>
      <c r="C5861">
        <v>102</v>
      </c>
      <c r="D5861">
        <v>1</v>
      </c>
    </row>
    <row r="5864" spans="2:4">
      <c r="B5864">
        <v>1</v>
      </c>
      <c r="C5864">
        <v>102</v>
      </c>
      <c r="D5864">
        <v>1</v>
      </c>
    </row>
    <row r="5867" spans="2:4">
      <c r="B5867">
        <v>1</v>
      </c>
      <c r="C5867">
        <v>102</v>
      </c>
      <c r="D5867">
        <v>1</v>
      </c>
    </row>
    <row r="5870" spans="2:4">
      <c r="B5870">
        <v>1</v>
      </c>
      <c r="C5870">
        <v>102</v>
      </c>
      <c r="D5870">
        <v>1</v>
      </c>
    </row>
    <row r="5873" spans="2:4">
      <c r="B5873">
        <v>1</v>
      </c>
      <c r="C5873">
        <v>102</v>
      </c>
      <c r="D5873">
        <v>1</v>
      </c>
    </row>
    <row r="5875" spans="2:4">
      <c r="B5875">
        <v>1</v>
      </c>
      <c r="C5875">
        <v>102</v>
      </c>
      <c r="D5875">
        <v>1</v>
      </c>
    </row>
    <row r="5878" spans="2:4">
      <c r="B5878">
        <v>1</v>
      </c>
      <c r="C5878">
        <v>102</v>
      </c>
      <c r="D5878">
        <v>1</v>
      </c>
    </row>
    <row r="5880" spans="2:4">
      <c r="B5880">
        <v>1</v>
      </c>
      <c r="C5880">
        <v>102</v>
      </c>
      <c r="D5880">
        <v>1</v>
      </c>
    </row>
    <row r="5882" spans="2:4">
      <c r="B5882">
        <v>1</v>
      </c>
      <c r="C5882">
        <v>102</v>
      </c>
      <c r="D5882">
        <v>1</v>
      </c>
    </row>
    <row r="5883" spans="2:4">
      <c r="B5883">
        <v>1</v>
      </c>
      <c r="C5883">
        <v>102</v>
      </c>
      <c r="D5883">
        <v>1</v>
      </c>
    </row>
    <row r="5885" spans="2:4">
      <c r="B5885">
        <v>1</v>
      </c>
      <c r="C5885">
        <v>102</v>
      </c>
      <c r="D5885">
        <v>1</v>
      </c>
    </row>
    <row r="5888" spans="2:4">
      <c r="B5888">
        <v>1</v>
      </c>
      <c r="C5888">
        <v>102</v>
      </c>
      <c r="D5888">
        <v>1</v>
      </c>
    </row>
    <row r="5891" spans="2:4">
      <c r="B5891">
        <v>1</v>
      </c>
      <c r="C5891">
        <v>102</v>
      </c>
      <c r="D5891">
        <v>1</v>
      </c>
    </row>
    <row r="5893" spans="2:4">
      <c r="B5893">
        <v>1</v>
      </c>
      <c r="C5893">
        <v>102</v>
      </c>
      <c r="D5893">
        <v>1</v>
      </c>
    </row>
    <row r="5899" spans="2:4">
      <c r="B5899">
        <v>1</v>
      </c>
      <c r="C5899">
        <v>102</v>
      </c>
      <c r="D5899">
        <v>1</v>
      </c>
    </row>
    <row r="5904" spans="2:4">
      <c r="B5904">
        <v>1</v>
      </c>
      <c r="C5904">
        <v>102</v>
      </c>
      <c r="D5904">
        <v>1</v>
      </c>
    </row>
    <row r="5905" spans="2:4">
      <c r="B5905">
        <v>1</v>
      </c>
      <c r="C5905">
        <v>102</v>
      </c>
      <c r="D5905">
        <v>1</v>
      </c>
    </row>
    <row r="5906" spans="2:4">
      <c r="B5906">
        <v>1</v>
      </c>
      <c r="C5906">
        <v>102</v>
      </c>
      <c r="D5906">
        <v>1</v>
      </c>
    </row>
    <row r="5907" spans="2:4">
      <c r="B5907">
        <v>1</v>
      </c>
      <c r="C5907">
        <v>102</v>
      </c>
      <c r="D5907">
        <v>1</v>
      </c>
    </row>
    <row r="5911" spans="2:4">
      <c r="B5911">
        <v>1</v>
      </c>
      <c r="C5911">
        <v>102</v>
      </c>
      <c r="D5911">
        <v>1</v>
      </c>
    </row>
    <row r="5915" spans="2:4">
      <c r="B5915">
        <v>1</v>
      </c>
      <c r="C5915">
        <v>102</v>
      </c>
      <c r="D5915">
        <v>1</v>
      </c>
    </row>
    <row r="5916" spans="2:4">
      <c r="B5916">
        <v>1</v>
      </c>
      <c r="C5916">
        <v>102</v>
      </c>
      <c r="D5916">
        <v>1</v>
      </c>
    </row>
    <row r="5918" spans="2:4">
      <c r="B5918">
        <v>1</v>
      </c>
      <c r="C5918">
        <v>102</v>
      </c>
      <c r="D5918">
        <v>1</v>
      </c>
    </row>
    <row r="5923" spans="2:4">
      <c r="B5923">
        <v>1</v>
      </c>
      <c r="C5923">
        <v>102</v>
      </c>
      <c r="D5923">
        <v>1</v>
      </c>
    </row>
    <row r="5924" spans="2:4">
      <c r="B5924">
        <v>1</v>
      </c>
      <c r="C5924">
        <v>102</v>
      </c>
      <c r="D5924">
        <v>1</v>
      </c>
    </row>
    <row r="5926" spans="2:4">
      <c r="B5926">
        <v>1</v>
      </c>
      <c r="C5926">
        <v>102</v>
      </c>
      <c r="D5926">
        <v>1</v>
      </c>
    </row>
    <row r="5927" spans="2:4">
      <c r="B5927">
        <v>1</v>
      </c>
      <c r="C5927">
        <v>102</v>
      </c>
      <c r="D5927">
        <v>1</v>
      </c>
    </row>
    <row r="5930" spans="2:4">
      <c r="B5930">
        <v>1</v>
      </c>
      <c r="C5930">
        <v>102</v>
      </c>
      <c r="D5930">
        <v>1</v>
      </c>
    </row>
    <row r="5937" spans="2:4">
      <c r="B5937">
        <v>1</v>
      </c>
      <c r="C5937">
        <v>102</v>
      </c>
      <c r="D5937">
        <v>1</v>
      </c>
    </row>
    <row r="5939" spans="2:4">
      <c r="B5939">
        <v>1</v>
      </c>
      <c r="C5939">
        <v>102</v>
      </c>
      <c r="D5939">
        <v>1</v>
      </c>
    </row>
    <row r="5941" spans="2:4">
      <c r="B5941">
        <v>1</v>
      </c>
      <c r="C5941">
        <v>102</v>
      </c>
      <c r="D5941">
        <v>1</v>
      </c>
    </row>
    <row r="5943" spans="2:4">
      <c r="B5943">
        <v>1</v>
      </c>
      <c r="C5943">
        <v>102</v>
      </c>
      <c r="D5943">
        <v>1</v>
      </c>
    </row>
    <row r="5945" spans="2:4">
      <c r="B5945">
        <v>1</v>
      </c>
      <c r="C5945">
        <v>102</v>
      </c>
      <c r="D5945">
        <v>1</v>
      </c>
    </row>
    <row r="5947" spans="2:4">
      <c r="B5947">
        <v>1</v>
      </c>
      <c r="C5947">
        <v>102</v>
      </c>
      <c r="D5947">
        <v>1</v>
      </c>
    </row>
    <row r="5954" spans="2:4">
      <c r="B5954">
        <v>1</v>
      </c>
      <c r="C5954">
        <v>102</v>
      </c>
      <c r="D5954">
        <v>1</v>
      </c>
    </row>
    <row r="5959" spans="2:4">
      <c r="B5959">
        <v>1</v>
      </c>
      <c r="C5959">
        <v>102</v>
      </c>
      <c r="D5959">
        <v>1</v>
      </c>
    </row>
    <row r="5960" spans="2:4">
      <c r="B5960">
        <v>1</v>
      </c>
      <c r="C5960">
        <v>102</v>
      </c>
      <c r="D5960">
        <v>1</v>
      </c>
    </row>
    <row r="5966" spans="2:4">
      <c r="B5966">
        <v>1</v>
      </c>
      <c r="C5966">
        <v>102</v>
      </c>
      <c r="D5966">
        <v>1</v>
      </c>
    </row>
    <row r="5973" spans="2:4">
      <c r="B5973">
        <v>1</v>
      </c>
      <c r="C5973">
        <v>102</v>
      </c>
      <c r="D5973">
        <v>1</v>
      </c>
    </row>
    <row r="5974" spans="2:4">
      <c r="B5974">
        <v>1</v>
      </c>
      <c r="C5974">
        <v>102</v>
      </c>
      <c r="D5974">
        <v>1</v>
      </c>
    </row>
    <row r="5977" spans="2:4">
      <c r="B5977">
        <v>1</v>
      </c>
      <c r="C5977">
        <v>102</v>
      </c>
      <c r="D5977">
        <v>1</v>
      </c>
    </row>
    <row r="5978" spans="2:4">
      <c r="B5978">
        <v>1</v>
      </c>
      <c r="C5978">
        <v>102</v>
      </c>
      <c r="D5978">
        <v>1</v>
      </c>
    </row>
    <row r="5982" spans="2:4">
      <c r="B5982">
        <v>1</v>
      </c>
      <c r="C5982">
        <v>102</v>
      </c>
      <c r="D5982">
        <v>1</v>
      </c>
    </row>
    <row r="5984" spans="2:4">
      <c r="B5984">
        <v>1</v>
      </c>
      <c r="C5984">
        <v>102</v>
      </c>
      <c r="D5984">
        <v>1</v>
      </c>
    </row>
    <row r="5988" spans="2:4">
      <c r="B5988">
        <v>1</v>
      </c>
      <c r="C5988">
        <v>102</v>
      </c>
      <c r="D5988">
        <v>1</v>
      </c>
    </row>
    <row r="5991" spans="2:4">
      <c r="B5991">
        <v>1</v>
      </c>
      <c r="C5991">
        <v>102</v>
      </c>
      <c r="D5991">
        <v>1</v>
      </c>
    </row>
    <row r="5996" spans="2:4">
      <c r="B5996">
        <v>1</v>
      </c>
      <c r="C5996">
        <v>102</v>
      </c>
      <c r="D5996">
        <v>1</v>
      </c>
    </row>
    <row r="5997" spans="2:4">
      <c r="B5997">
        <v>1</v>
      </c>
      <c r="C5997">
        <v>102</v>
      </c>
      <c r="D5997">
        <v>1</v>
      </c>
    </row>
    <row r="6000" spans="2:4">
      <c r="B6000">
        <v>1</v>
      </c>
      <c r="C6000">
        <v>102</v>
      </c>
      <c r="D6000">
        <v>1</v>
      </c>
    </row>
    <row r="6002" spans="2:4">
      <c r="B6002">
        <v>1</v>
      </c>
      <c r="C6002">
        <v>102</v>
      </c>
      <c r="D6002">
        <v>1</v>
      </c>
    </row>
    <row r="6004" spans="2:4">
      <c r="B6004">
        <v>1</v>
      </c>
      <c r="C6004">
        <v>102</v>
      </c>
      <c r="D6004">
        <v>1</v>
      </c>
    </row>
    <row r="6009" spans="2:4">
      <c r="B6009">
        <v>1</v>
      </c>
      <c r="C6009">
        <v>102</v>
      </c>
      <c r="D6009">
        <v>1</v>
      </c>
    </row>
    <row r="6012" spans="2:4">
      <c r="B6012">
        <v>1</v>
      </c>
      <c r="C6012">
        <v>102</v>
      </c>
      <c r="D6012">
        <v>1</v>
      </c>
    </row>
    <row r="6015" spans="2:4">
      <c r="B6015">
        <v>1</v>
      </c>
      <c r="C6015">
        <v>102</v>
      </c>
      <c r="D6015">
        <v>1</v>
      </c>
    </row>
    <row r="6017" spans="2:4">
      <c r="B6017">
        <v>1</v>
      </c>
      <c r="C6017">
        <v>102</v>
      </c>
      <c r="D6017">
        <v>1</v>
      </c>
    </row>
    <row r="6022" spans="2:4">
      <c r="B6022">
        <v>1</v>
      </c>
      <c r="C6022">
        <v>102</v>
      </c>
      <c r="D6022">
        <v>1</v>
      </c>
    </row>
    <row r="6024" spans="2:4">
      <c r="B6024">
        <v>1</v>
      </c>
      <c r="C6024">
        <v>102</v>
      </c>
      <c r="D6024">
        <v>1</v>
      </c>
    </row>
    <row r="6026" spans="2:4">
      <c r="B6026">
        <v>1</v>
      </c>
      <c r="C6026">
        <v>102</v>
      </c>
      <c r="D6026">
        <v>1</v>
      </c>
    </row>
    <row r="6029" spans="2:4">
      <c r="B6029">
        <v>1</v>
      </c>
      <c r="C6029">
        <v>102</v>
      </c>
      <c r="D6029">
        <v>1</v>
      </c>
    </row>
    <row r="6031" spans="2:4">
      <c r="B6031">
        <v>1</v>
      </c>
      <c r="C6031">
        <v>102</v>
      </c>
      <c r="D6031">
        <v>1</v>
      </c>
    </row>
    <row r="6038" spans="2:4">
      <c r="B6038">
        <v>1</v>
      </c>
      <c r="C6038">
        <v>102</v>
      </c>
      <c r="D6038">
        <v>1</v>
      </c>
    </row>
    <row r="6040" spans="2:4">
      <c r="B6040">
        <v>1</v>
      </c>
      <c r="C6040">
        <v>102</v>
      </c>
      <c r="D6040">
        <v>1</v>
      </c>
    </row>
    <row r="6042" spans="2:4">
      <c r="B6042">
        <v>1</v>
      </c>
      <c r="C6042">
        <v>102</v>
      </c>
      <c r="D6042">
        <v>1</v>
      </c>
    </row>
    <row r="6047" spans="2:4">
      <c r="B6047">
        <v>1</v>
      </c>
      <c r="C6047">
        <v>102</v>
      </c>
      <c r="D6047">
        <v>1</v>
      </c>
    </row>
    <row r="6049" spans="2:4">
      <c r="B6049">
        <v>1</v>
      </c>
      <c r="C6049">
        <v>102</v>
      </c>
      <c r="D6049">
        <v>1</v>
      </c>
    </row>
    <row r="6053" spans="2:4">
      <c r="B6053">
        <v>1</v>
      </c>
      <c r="C6053">
        <v>102</v>
      </c>
      <c r="D6053">
        <v>1</v>
      </c>
    </row>
    <row r="6057" spans="2:4">
      <c r="B6057">
        <v>1</v>
      </c>
      <c r="C6057">
        <v>102</v>
      </c>
      <c r="D6057">
        <v>1</v>
      </c>
    </row>
    <row r="6061" spans="2:4">
      <c r="B6061">
        <v>1</v>
      </c>
      <c r="C6061">
        <v>102</v>
      </c>
      <c r="D6061">
        <v>1</v>
      </c>
    </row>
    <row r="6063" spans="2:4">
      <c r="B6063">
        <v>1</v>
      </c>
      <c r="C6063">
        <v>102</v>
      </c>
      <c r="D6063">
        <v>1</v>
      </c>
    </row>
    <row r="6070" spans="2:4">
      <c r="B6070">
        <v>1</v>
      </c>
      <c r="C6070">
        <v>102</v>
      </c>
      <c r="D6070">
        <v>1</v>
      </c>
    </row>
    <row r="6076" spans="2:4">
      <c r="B6076">
        <v>1</v>
      </c>
      <c r="C6076">
        <v>102</v>
      </c>
      <c r="D6076">
        <v>1</v>
      </c>
    </row>
    <row r="6078" spans="2:4">
      <c r="B6078">
        <v>1</v>
      </c>
      <c r="C6078">
        <v>102</v>
      </c>
      <c r="D6078">
        <v>1</v>
      </c>
    </row>
    <row r="6079" spans="2:4">
      <c r="B6079">
        <v>1</v>
      </c>
      <c r="C6079">
        <v>102</v>
      </c>
      <c r="D6079">
        <v>1</v>
      </c>
    </row>
    <row r="6080" spans="2:4">
      <c r="B6080">
        <v>1</v>
      </c>
      <c r="C6080">
        <v>102</v>
      </c>
      <c r="D6080">
        <v>1</v>
      </c>
    </row>
    <row r="6084" spans="2:4">
      <c r="B6084">
        <v>1</v>
      </c>
      <c r="C6084">
        <v>102</v>
      </c>
      <c r="D6084">
        <v>1</v>
      </c>
    </row>
    <row r="6085" spans="2:4">
      <c r="B6085">
        <v>1</v>
      </c>
      <c r="C6085">
        <v>102</v>
      </c>
      <c r="D6085">
        <v>1</v>
      </c>
    </row>
    <row r="6089" spans="2:4">
      <c r="B6089">
        <v>1</v>
      </c>
      <c r="C6089">
        <v>102</v>
      </c>
      <c r="D6089">
        <v>1</v>
      </c>
    </row>
    <row r="6092" spans="2:4">
      <c r="B6092">
        <v>1</v>
      </c>
      <c r="C6092">
        <v>102</v>
      </c>
      <c r="D6092">
        <v>1</v>
      </c>
    </row>
    <row r="6095" spans="2:4">
      <c r="B6095">
        <v>1</v>
      </c>
      <c r="C6095">
        <v>102</v>
      </c>
      <c r="D6095">
        <v>1</v>
      </c>
    </row>
    <row r="6097" spans="2:4">
      <c r="B6097">
        <v>1</v>
      </c>
      <c r="C6097">
        <v>102</v>
      </c>
      <c r="D6097">
        <v>1</v>
      </c>
    </row>
    <row r="6098" spans="2:4">
      <c r="B6098">
        <v>1</v>
      </c>
      <c r="C6098">
        <v>102</v>
      </c>
      <c r="D6098">
        <v>1</v>
      </c>
    </row>
    <row r="6099" spans="2:4">
      <c r="B6099">
        <v>1</v>
      </c>
      <c r="C6099">
        <v>102</v>
      </c>
      <c r="D6099">
        <v>1</v>
      </c>
    </row>
    <row r="6100" spans="2:4">
      <c r="B6100">
        <v>1</v>
      </c>
      <c r="C6100">
        <v>102</v>
      </c>
      <c r="D6100">
        <v>1</v>
      </c>
    </row>
    <row r="6108" spans="2:4">
      <c r="B6108">
        <v>1</v>
      </c>
      <c r="C6108">
        <v>102</v>
      </c>
      <c r="D6108">
        <v>1</v>
      </c>
    </row>
    <row r="6109" spans="2:4">
      <c r="B6109">
        <v>1</v>
      </c>
      <c r="C6109">
        <v>102</v>
      </c>
      <c r="D6109">
        <v>1</v>
      </c>
    </row>
    <row r="6114" spans="2:4">
      <c r="B6114">
        <v>1</v>
      </c>
      <c r="C6114">
        <v>102</v>
      </c>
      <c r="D6114">
        <v>1</v>
      </c>
    </row>
    <row r="6117" spans="2:4">
      <c r="B6117">
        <v>1</v>
      </c>
      <c r="C6117">
        <v>102</v>
      </c>
      <c r="D6117">
        <v>1</v>
      </c>
    </row>
    <row r="6120" spans="2:4">
      <c r="B6120">
        <v>1</v>
      </c>
      <c r="C6120">
        <v>102</v>
      </c>
      <c r="D6120">
        <v>1</v>
      </c>
    </row>
    <row r="6123" spans="2:4">
      <c r="B6123">
        <v>1</v>
      </c>
      <c r="C6123">
        <v>102</v>
      </c>
      <c r="D6123">
        <v>1</v>
      </c>
    </row>
    <row r="6126" spans="2:4">
      <c r="B6126">
        <v>1</v>
      </c>
      <c r="C6126">
        <v>102</v>
      </c>
      <c r="D6126">
        <v>1</v>
      </c>
    </row>
    <row r="6129" spans="2:4">
      <c r="B6129">
        <v>1</v>
      </c>
      <c r="C6129">
        <v>102</v>
      </c>
      <c r="D6129">
        <v>1</v>
      </c>
    </row>
    <row r="6131" spans="2:4">
      <c r="B6131">
        <v>1</v>
      </c>
      <c r="C6131">
        <v>102</v>
      </c>
      <c r="D6131">
        <v>1</v>
      </c>
    </row>
    <row r="6134" spans="2:4">
      <c r="B6134">
        <v>1</v>
      </c>
      <c r="C6134">
        <v>102</v>
      </c>
      <c r="D6134">
        <v>1</v>
      </c>
    </row>
    <row r="6136" spans="2:4">
      <c r="B6136">
        <v>1</v>
      </c>
      <c r="C6136">
        <v>102</v>
      </c>
      <c r="D6136">
        <v>1</v>
      </c>
    </row>
    <row r="6138" spans="2:4">
      <c r="B6138">
        <v>1</v>
      </c>
      <c r="C6138">
        <v>102</v>
      </c>
      <c r="D6138">
        <v>1</v>
      </c>
    </row>
    <row r="6139" spans="2:4">
      <c r="B6139">
        <v>1</v>
      </c>
      <c r="C6139">
        <v>102</v>
      </c>
      <c r="D6139">
        <v>1</v>
      </c>
    </row>
    <row r="6141" spans="2:4">
      <c r="B6141">
        <v>1</v>
      </c>
      <c r="C6141">
        <v>102</v>
      </c>
      <c r="D6141">
        <v>1</v>
      </c>
    </row>
    <row r="6144" spans="2:4">
      <c r="B6144">
        <v>1</v>
      </c>
      <c r="C6144">
        <v>102</v>
      </c>
      <c r="D6144">
        <v>1</v>
      </c>
    </row>
    <row r="6147" spans="2:4">
      <c r="B6147">
        <v>1</v>
      </c>
      <c r="C6147">
        <v>102</v>
      </c>
      <c r="D6147">
        <v>1</v>
      </c>
    </row>
    <row r="6149" spans="2:4">
      <c r="B6149">
        <v>1</v>
      </c>
      <c r="C6149">
        <v>102</v>
      </c>
      <c r="D6149">
        <v>1</v>
      </c>
    </row>
    <row r="6155" spans="2:4">
      <c r="B6155">
        <v>1</v>
      </c>
      <c r="C6155">
        <v>102</v>
      </c>
      <c r="D6155">
        <v>1</v>
      </c>
    </row>
    <row r="6160" spans="2:4">
      <c r="B6160">
        <v>1</v>
      </c>
      <c r="C6160">
        <v>102</v>
      </c>
      <c r="D6160">
        <v>1</v>
      </c>
    </row>
    <row r="6161" spans="2:4">
      <c r="B6161">
        <v>1</v>
      </c>
      <c r="C6161">
        <v>102</v>
      </c>
      <c r="D6161">
        <v>1</v>
      </c>
    </row>
    <row r="6162" spans="2:4">
      <c r="B6162">
        <v>1</v>
      </c>
      <c r="C6162">
        <v>102</v>
      </c>
      <c r="D6162">
        <v>1</v>
      </c>
    </row>
    <row r="6163" spans="2:4">
      <c r="B6163">
        <v>1</v>
      </c>
      <c r="C6163">
        <v>102</v>
      </c>
      <c r="D6163">
        <v>1</v>
      </c>
    </row>
    <row r="6167" spans="2:4">
      <c r="B6167">
        <v>1</v>
      </c>
      <c r="C6167">
        <v>102</v>
      </c>
      <c r="D6167">
        <v>1</v>
      </c>
    </row>
    <row r="6171" spans="2:4">
      <c r="B6171">
        <v>1</v>
      </c>
      <c r="C6171">
        <v>102</v>
      </c>
      <c r="D6171">
        <v>1</v>
      </c>
    </row>
    <row r="6172" spans="2:4">
      <c r="B6172">
        <v>1</v>
      </c>
      <c r="C6172">
        <v>102</v>
      </c>
      <c r="D6172">
        <v>1</v>
      </c>
    </row>
    <row r="6174" spans="2:4">
      <c r="B6174">
        <v>1</v>
      </c>
      <c r="C6174">
        <v>102</v>
      </c>
      <c r="D6174">
        <v>1</v>
      </c>
    </row>
    <row r="6179" spans="2:4">
      <c r="B6179">
        <v>1</v>
      </c>
      <c r="C6179">
        <v>102</v>
      </c>
      <c r="D6179">
        <v>1</v>
      </c>
    </row>
    <row r="6180" spans="2:4">
      <c r="B6180">
        <v>1</v>
      </c>
      <c r="C6180">
        <v>102</v>
      </c>
      <c r="D6180">
        <v>1</v>
      </c>
    </row>
    <row r="6182" spans="2:4">
      <c r="B6182">
        <v>1</v>
      </c>
      <c r="C6182">
        <v>102</v>
      </c>
      <c r="D6182">
        <v>1</v>
      </c>
    </row>
    <row r="6183" spans="2:4">
      <c r="B6183">
        <v>1</v>
      </c>
      <c r="C6183">
        <v>102</v>
      </c>
      <c r="D6183">
        <v>1</v>
      </c>
    </row>
    <row r="6186" spans="2:4">
      <c r="B6186">
        <v>1</v>
      </c>
      <c r="C6186">
        <v>102</v>
      </c>
      <c r="D6186">
        <v>1</v>
      </c>
    </row>
    <row r="6193" spans="2:4">
      <c r="B6193">
        <v>1</v>
      </c>
      <c r="C6193">
        <v>102</v>
      </c>
      <c r="D6193">
        <v>1</v>
      </c>
    </row>
    <row r="6195" spans="2:4">
      <c r="B6195">
        <v>1</v>
      </c>
      <c r="C6195">
        <v>102</v>
      </c>
      <c r="D6195">
        <v>1</v>
      </c>
    </row>
    <row r="6197" spans="2:4">
      <c r="B6197">
        <v>1</v>
      </c>
      <c r="C6197">
        <v>102</v>
      </c>
      <c r="D6197">
        <v>1</v>
      </c>
    </row>
    <row r="6199" spans="2:4">
      <c r="B6199">
        <v>1</v>
      </c>
      <c r="C6199">
        <v>102</v>
      </c>
      <c r="D6199">
        <v>1</v>
      </c>
    </row>
    <row r="6201" spans="2:4">
      <c r="B6201">
        <v>1</v>
      </c>
      <c r="C6201">
        <v>102</v>
      </c>
      <c r="D6201">
        <v>1</v>
      </c>
    </row>
    <row r="6203" spans="2:4">
      <c r="B6203">
        <v>1</v>
      </c>
      <c r="C6203">
        <v>102</v>
      </c>
      <c r="D6203">
        <v>1</v>
      </c>
    </row>
    <row r="6210" spans="2:4">
      <c r="B6210">
        <v>1</v>
      </c>
      <c r="C6210">
        <v>102</v>
      </c>
      <c r="D6210">
        <v>1</v>
      </c>
    </row>
    <row r="6215" spans="2:4">
      <c r="B6215">
        <v>1</v>
      </c>
      <c r="C6215">
        <v>102</v>
      </c>
      <c r="D6215">
        <v>1</v>
      </c>
    </row>
    <row r="6216" spans="2:4">
      <c r="B6216">
        <v>1</v>
      </c>
      <c r="C6216">
        <v>102</v>
      </c>
      <c r="D6216">
        <v>1</v>
      </c>
    </row>
    <row r="6222" spans="2:4">
      <c r="B6222">
        <v>1</v>
      </c>
      <c r="C6222">
        <v>102</v>
      </c>
      <c r="D6222">
        <v>1</v>
      </c>
    </row>
    <row r="6229" spans="2:4">
      <c r="B6229">
        <v>1</v>
      </c>
      <c r="C6229">
        <v>102</v>
      </c>
      <c r="D6229">
        <v>1</v>
      </c>
    </row>
    <row r="6230" spans="2:4">
      <c r="B6230">
        <v>1</v>
      </c>
      <c r="C6230">
        <v>102</v>
      </c>
      <c r="D6230">
        <v>1</v>
      </c>
    </row>
    <row r="6233" spans="2:4">
      <c r="B6233">
        <v>1</v>
      </c>
      <c r="C6233">
        <v>102</v>
      </c>
      <c r="D6233">
        <v>1</v>
      </c>
    </row>
    <row r="6234" spans="2:4">
      <c r="B6234">
        <v>1</v>
      </c>
      <c r="C6234">
        <v>102</v>
      </c>
      <c r="D6234">
        <v>1</v>
      </c>
    </row>
    <row r="6238" spans="2:4">
      <c r="B6238">
        <v>1</v>
      </c>
      <c r="C6238">
        <v>102</v>
      </c>
      <c r="D6238">
        <v>1</v>
      </c>
    </row>
    <row r="6240" spans="2:4">
      <c r="B6240">
        <v>1</v>
      </c>
      <c r="C6240">
        <v>102</v>
      </c>
      <c r="D6240">
        <v>1</v>
      </c>
    </row>
    <row r="6244" spans="2:4">
      <c r="B6244">
        <v>1</v>
      </c>
      <c r="C6244">
        <v>102</v>
      </c>
      <c r="D6244">
        <v>1</v>
      </c>
    </row>
    <row r="6247" spans="2:4">
      <c r="B6247">
        <v>1</v>
      </c>
      <c r="C6247">
        <v>102</v>
      </c>
      <c r="D6247">
        <v>1</v>
      </c>
    </row>
    <row r="6252" spans="2:4">
      <c r="B6252">
        <v>1</v>
      </c>
      <c r="C6252">
        <v>102</v>
      </c>
      <c r="D6252">
        <v>1</v>
      </c>
    </row>
    <row r="6253" spans="2:4">
      <c r="B6253">
        <v>1</v>
      </c>
      <c r="C6253">
        <v>102</v>
      </c>
      <c r="D6253">
        <v>1</v>
      </c>
    </row>
    <row r="6256" spans="2:4">
      <c r="B6256">
        <v>1</v>
      </c>
      <c r="C6256">
        <v>102</v>
      </c>
      <c r="D6256">
        <v>1</v>
      </c>
    </row>
    <row r="6258" spans="2:4">
      <c r="B6258">
        <v>1</v>
      </c>
      <c r="C6258">
        <v>102</v>
      </c>
      <c r="D6258">
        <v>1</v>
      </c>
    </row>
    <row r="6260" spans="2:4">
      <c r="B6260">
        <v>1</v>
      </c>
      <c r="C6260">
        <v>102</v>
      </c>
      <c r="D6260">
        <v>1</v>
      </c>
    </row>
    <row r="6265" spans="2:4">
      <c r="B6265">
        <v>1</v>
      </c>
      <c r="C6265">
        <v>102</v>
      </c>
      <c r="D6265">
        <v>1</v>
      </c>
    </row>
    <row r="6268" spans="2:4">
      <c r="B6268">
        <v>1</v>
      </c>
      <c r="C6268">
        <v>102</v>
      </c>
      <c r="D6268">
        <v>1</v>
      </c>
    </row>
    <row r="6271" spans="2:4">
      <c r="B6271">
        <v>1</v>
      </c>
      <c r="C6271">
        <v>102</v>
      </c>
      <c r="D6271">
        <v>1</v>
      </c>
    </row>
    <row r="6273" spans="2:4">
      <c r="B6273">
        <v>1</v>
      </c>
      <c r="C6273">
        <v>102</v>
      </c>
      <c r="D6273">
        <v>1</v>
      </c>
    </row>
    <row r="6278" spans="2:4">
      <c r="B6278">
        <v>1</v>
      </c>
      <c r="C6278">
        <v>102</v>
      </c>
      <c r="D6278">
        <v>1</v>
      </c>
    </row>
    <row r="6280" spans="2:4">
      <c r="B6280">
        <v>1</v>
      </c>
      <c r="C6280">
        <v>102</v>
      </c>
      <c r="D6280">
        <v>1</v>
      </c>
    </row>
    <row r="6282" spans="2:4">
      <c r="B6282">
        <v>1</v>
      </c>
      <c r="C6282">
        <v>102</v>
      </c>
      <c r="D6282">
        <v>1</v>
      </c>
    </row>
    <row r="6285" spans="2:4">
      <c r="B6285">
        <v>1</v>
      </c>
      <c r="C6285">
        <v>102</v>
      </c>
      <c r="D6285">
        <v>1</v>
      </c>
    </row>
    <row r="6287" spans="2:4">
      <c r="B6287">
        <v>1</v>
      </c>
      <c r="C6287">
        <v>102</v>
      </c>
      <c r="D6287">
        <v>1</v>
      </c>
    </row>
    <row r="6294" spans="2:4">
      <c r="B6294">
        <v>1</v>
      </c>
      <c r="C6294">
        <v>102</v>
      </c>
      <c r="D6294">
        <v>1</v>
      </c>
    </row>
    <row r="6296" spans="2:4">
      <c r="B6296">
        <v>1</v>
      </c>
      <c r="C6296">
        <v>102</v>
      </c>
      <c r="D6296">
        <v>1</v>
      </c>
    </row>
    <row r="6298" spans="2:4">
      <c r="B6298">
        <v>1</v>
      </c>
      <c r="C6298">
        <v>102</v>
      </c>
      <c r="D6298">
        <v>1</v>
      </c>
    </row>
    <row r="6303" spans="2:4">
      <c r="B6303">
        <v>1</v>
      </c>
      <c r="C6303">
        <v>102</v>
      </c>
      <c r="D6303">
        <v>1</v>
      </c>
    </row>
    <row r="6305" spans="2:4">
      <c r="B6305">
        <v>1</v>
      </c>
      <c r="C6305">
        <v>102</v>
      </c>
      <c r="D6305">
        <v>1</v>
      </c>
    </row>
    <row r="6309" spans="2:4">
      <c r="B6309">
        <v>1</v>
      </c>
      <c r="C6309">
        <v>102</v>
      </c>
      <c r="D6309">
        <v>1</v>
      </c>
    </row>
    <row r="6313" spans="2:4">
      <c r="B6313">
        <v>1</v>
      </c>
      <c r="C6313">
        <v>102</v>
      </c>
      <c r="D6313">
        <v>1</v>
      </c>
    </row>
    <row r="6317" spans="2:4">
      <c r="B6317">
        <v>1</v>
      </c>
      <c r="C6317">
        <v>102</v>
      </c>
      <c r="D6317">
        <v>1</v>
      </c>
    </row>
    <row r="6319" spans="2:4">
      <c r="B6319">
        <v>1</v>
      </c>
      <c r="C6319">
        <v>102</v>
      </c>
      <c r="D6319">
        <v>1</v>
      </c>
    </row>
    <row r="6326" spans="2:4">
      <c r="B6326">
        <v>1</v>
      </c>
      <c r="C6326">
        <v>102</v>
      </c>
      <c r="D6326">
        <v>1</v>
      </c>
    </row>
    <row r="6332" spans="2:4">
      <c r="B6332">
        <v>1</v>
      </c>
      <c r="C6332">
        <v>102</v>
      </c>
      <c r="D6332">
        <v>1</v>
      </c>
    </row>
    <row r="6334" spans="2:4">
      <c r="B6334">
        <v>1</v>
      </c>
      <c r="C6334">
        <v>102</v>
      </c>
      <c r="D6334">
        <v>1</v>
      </c>
    </row>
    <row r="6335" spans="2:4">
      <c r="B6335">
        <v>1</v>
      </c>
      <c r="C6335">
        <v>102</v>
      </c>
      <c r="D6335">
        <v>1</v>
      </c>
    </row>
    <row r="6336" spans="2:4">
      <c r="B6336">
        <v>1</v>
      </c>
      <c r="C6336">
        <v>102</v>
      </c>
      <c r="D6336">
        <v>1</v>
      </c>
    </row>
    <row r="6340" spans="2:4">
      <c r="B6340">
        <v>1</v>
      </c>
      <c r="C6340">
        <v>102</v>
      </c>
      <c r="D6340">
        <v>1</v>
      </c>
    </row>
    <row r="6341" spans="2:4">
      <c r="B6341">
        <v>1</v>
      </c>
      <c r="C6341">
        <v>102</v>
      </c>
      <c r="D6341">
        <v>1</v>
      </c>
    </row>
    <row r="6345" spans="2:4">
      <c r="B6345">
        <v>1</v>
      </c>
      <c r="C6345">
        <v>102</v>
      </c>
      <c r="D6345">
        <v>1</v>
      </c>
    </row>
    <row r="6348" spans="2:4">
      <c r="B6348">
        <v>1</v>
      </c>
      <c r="C6348">
        <v>102</v>
      </c>
      <c r="D6348">
        <v>1</v>
      </c>
    </row>
    <row r="6351" spans="2:4">
      <c r="B6351">
        <v>1</v>
      </c>
      <c r="C6351">
        <v>102</v>
      </c>
      <c r="D6351">
        <v>1</v>
      </c>
    </row>
    <row r="6353" spans="2:4">
      <c r="B6353">
        <v>1</v>
      </c>
      <c r="C6353">
        <v>102</v>
      </c>
      <c r="D6353">
        <v>1</v>
      </c>
    </row>
    <row r="6354" spans="2:4">
      <c r="B6354">
        <v>1</v>
      </c>
      <c r="C6354">
        <v>102</v>
      </c>
      <c r="D6354">
        <v>1</v>
      </c>
    </row>
    <row r="6355" spans="2:4">
      <c r="B6355">
        <v>1</v>
      </c>
      <c r="C6355">
        <v>102</v>
      </c>
      <c r="D6355">
        <v>1</v>
      </c>
    </row>
    <row r="6356" spans="2:4">
      <c r="B6356">
        <v>1</v>
      </c>
      <c r="C6356">
        <v>102</v>
      </c>
      <c r="D6356">
        <v>1</v>
      </c>
    </row>
    <row r="6364" spans="2:4">
      <c r="B6364">
        <v>1</v>
      </c>
      <c r="C6364">
        <v>102</v>
      </c>
      <c r="D6364">
        <v>1</v>
      </c>
    </row>
    <row r="6365" spans="2:4">
      <c r="B6365">
        <v>1</v>
      </c>
      <c r="C6365">
        <v>102</v>
      </c>
      <c r="D6365">
        <v>1</v>
      </c>
    </row>
    <row r="6370" spans="2:4">
      <c r="B6370">
        <v>1</v>
      </c>
      <c r="C6370">
        <v>102</v>
      </c>
      <c r="D6370">
        <v>1</v>
      </c>
    </row>
    <row r="6373" spans="2:4">
      <c r="B6373">
        <v>1</v>
      </c>
      <c r="C6373">
        <v>102</v>
      </c>
      <c r="D6373">
        <v>1</v>
      </c>
    </row>
    <row r="6376" spans="2:4">
      <c r="B6376">
        <v>1</v>
      </c>
      <c r="C6376">
        <v>102</v>
      </c>
      <c r="D6376">
        <v>1</v>
      </c>
    </row>
    <row r="6379" spans="2:4">
      <c r="B6379">
        <v>1</v>
      </c>
      <c r="C6379">
        <v>102</v>
      </c>
      <c r="D6379">
        <v>1</v>
      </c>
    </row>
    <row r="6382" spans="2:4">
      <c r="B6382">
        <v>1</v>
      </c>
      <c r="C6382">
        <v>102</v>
      </c>
      <c r="D6382">
        <v>1</v>
      </c>
    </row>
    <row r="6385" spans="2:4">
      <c r="B6385">
        <v>1</v>
      </c>
      <c r="C6385">
        <v>102</v>
      </c>
      <c r="D6385">
        <v>1</v>
      </c>
    </row>
    <row r="6387" spans="2:4">
      <c r="B6387">
        <v>1</v>
      </c>
      <c r="C6387">
        <v>102</v>
      </c>
      <c r="D6387">
        <v>1</v>
      </c>
    </row>
    <row r="6390" spans="2:4">
      <c r="B6390">
        <v>1</v>
      </c>
      <c r="C6390">
        <v>102</v>
      </c>
      <c r="D6390">
        <v>1</v>
      </c>
    </row>
    <row r="6392" spans="2:4">
      <c r="B6392">
        <v>1</v>
      </c>
      <c r="C6392">
        <v>102</v>
      </c>
      <c r="D6392">
        <v>1</v>
      </c>
    </row>
    <row r="6394" spans="2:4">
      <c r="B6394">
        <v>1</v>
      </c>
      <c r="C6394">
        <v>102</v>
      </c>
      <c r="D6394">
        <v>1</v>
      </c>
    </row>
    <row r="6395" spans="2:4">
      <c r="B6395">
        <v>1</v>
      </c>
      <c r="C6395">
        <v>102</v>
      </c>
      <c r="D6395">
        <v>1</v>
      </c>
    </row>
    <row r="6397" spans="2:4">
      <c r="B6397">
        <v>1</v>
      </c>
      <c r="C6397">
        <v>102</v>
      </c>
      <c r="D6397">
        <v>1</v>
      </c>
    </row>
    <row r="6400" spans="2:4">
      <c r="B6400">
        <v>1</v>
      </c>
      <c r="C6400">
        <v>102</v>
      </c>
      <c r="D6400">
        <v>1</v>
      </c>
    </row>
    <row r="6403" spans="2:4">
      <c r="B6403">
        <v>1</v>
      </c>
      <c r="C6403">
        <v>102</v>
      </c>
      <c r="D6403">
        <v>1</v>
      </c>
    </row>
    <row r="6405" spans="2:4">
      <c r="B6405">
        <v>1</v>
      </c>
      <c r="C6405">
        <v>102</v>
      </c>
      <c r="D6405">
        <v>1</v>
      </c>
    </row>
    <row r="6411" spans="2:4">
      <c r="B6411">
        <v>1</v>
      </c>
      <c r="C6411">
        <v>102</v>
      </c>
      <c r="D6411">
        <v>1</v>
      </c>
    </row>
    <row r="6416" spans="2:4">
      <c r="B6416">
        <v>1</v>
      </c>
      <c r="C6416">
        <v>102</v>
      </c>
      <c r="D6416">
        <v>1</v>
      </c>
    </row>
    <row r="6417" spans="2:4">
      <c r="B6417">
        <v>1</v>
      </c>
      <c r="C6417">
        <v>102</v>
      </c>
      <c r="D6417">
        <v>1</v>
      </c>
    </row>
    <row r="6418" spans="2:4">
      <c r="B6418">
        <v>1</v>
      </c>
      <c r="C6418">
        <v>102</v>
      </c>
      <c r="D6418">
        <v>1</v>
      </c>
    </row>
    <row r="6419" spans="2:4">
      <c r="B6419">
        <v>1</v>
      </c>
      <c r="C6419">
        <v>102</v>
      </c>
      <c r="D6419">
        <v>1</v>
      </c>
    </row>
    <row r="6423" spans="2:4">
      <c r="B6423">
        <v>1</v>
      </c>
      <c r="C6423">
        <v>102</v>
      </c>
      <c r="D6423">
        <v>1</v>
      </c>
    </row>
    <row r="6427" spans="2:4">
      <c r="B6427">
        <v>1</v>
      </c>
      <c r="C6427">
        <v>102</v>
      </c>
      <c r="D6427">
        <v>1</v>
      </c>
    </row>
    <row r="6428" spans="2:4">
      <c r="B6428">
        <v>1</v>
      </c>
      <c r="C6428">
        <v>102</v>
      </c>
      <c r="D6428">
        <v>1</v>
      </c>
    </row>
    <row r="6430" spans="2:4">
      <c r="B6430">
        <v>1</v>
      </c>
      <c r="C6430">
        <v>102</v>
      </c>
      <c r="D6430">
        <v>1</v>
      </c>
    </row>
    <row r="6435" spans="2:4">
      <c r="B6435">
        <v>1</v>
      </c>
      <c r="C6435">
        <v>102</v>
      </c>
      <c r="D6435">
        <v>1</v>
      </c>
    </row>
    <row r="6436" spans="2:4">
      <c r="B6436">
        <v>1</v>
      </c>
      <c r="C6436">
        <v>102</v>
      </c>
      <c r="D6436">
        <v>1</v>
      </c>
    </row>
    <row r="6438" spans="2:4">
      <c r="B6438">
        <v>1</v>
      </c>
      <c r="C6438">
        <v>102</v>
      </c>
      <c r="D6438">
        <v>1</v>
      </c>
    </row>
    <row r="6439" spans="2:4">
      <c r="B6439">
        <v>1</v>
      </c>
      <c r="C6439">
        <v>102</v>
      </c>
      <c r="D6439">
        <v>1</v>
      </c>
    </row>
    <row r="6442" spans="2:4">
      <c r="B6442">
        <v>1</v>
      </c>
      <c r="C6442">
        <v>102</v>
      </c>
      <c r="D6442">
        <v>1</v>
      </c>
    </row>
    <row r="6449" spans="2:4">
      <c r="B6449">
        <v>1</v>
      </c>
      <c r="C6449">
        <v>102</v>
      </c>
      <c r="D6449">
        <v>1</v>
      </c>
    </row>
    <row r="6451" spans="2:4">
      <c r="B6451">
        <v>1</v>
      </c>
      <c r="C6451">
        <v>102</v>
      </c>
      <c r="D6451">
        <v>1</v>
      </c>
    </row>
    <row r="6453" spans="2:4">
      <c r="B6453">
        <v>1</v>
      </c>
      <c r="C6453">
        <v>102</v>
      </c>
      <c r="D6453">
        <v>1</v>
      </c>
    </row>
    <row r="6455" spans="2:4">
      <c r="B6455">
        <v>1</v>
      </c>
      <c r="C6455">
        <v>102</v>
      </c>
      <c r="D6455">
        <v>1</v>
      </c>
    </row>
    <row r="6457" spans="2:4">
      <c r="B6457">
        <v>1</v>
      </c>
      <c r="C6457">
        <v>102</v>
      </c>
      <c r="D6457">
        <v>1</v>
      </c>
    </row>
    <row r="6459" spans="2:4">
      <c r="B6459">
        <v>1</v>
      </c>
      <c r="C6459">
        <v>102</v>
      </c>
      <c r="D6459">
        <v>1</v>
      </c>
    </row>
    <row r="6466" spans="2:4">
      <c r="B6466">
        <v>1</v>
      </c>
      <c r="C6466">
        <v>102</v>
      </c>
      <c r="D6466">
        <v>1</v>
      </c>
    </row>
    <row r="6471" spans="2:4">
      <c r="B6471">
        <v>1</v>
      </c>
      <c r="C6471">
        <v>102</v>
      </c>
      <c r="D6471">
        <v>1</v>
      </c>
    </row>
    <row r="6472" spans="2:4">
      <c r="B6472">
        <v>1</v>
      </c>
      <c r="C6472">
        <v>102</v>
      </c>
      <c r="D6472">
        <v>1</v>
      </c>
    </row>
    <row r="6478" spans="2:4">
      <c r="B6478">
        <v>1</v>
      </c>
      <c r="C6478">
        <v>102</v>
      </c>
      <c r="D6478">
        <v>1</v>
      </c>
    </row>
    <row r="6485" spans="2:4">
      <c r="B6485">
        <v>1</v>
      </c>
      <c r="C6485">
        <v>102</v>
      </c>
      <c r="D6485">
        <v>1</v>
      </c>
    </row>
    <row r="6486" spans="2:4">
      <c r="B6486">
        <v>1</v>
      </c>
      <c r="C6486">
        <v>102</v>
      </c>
      <c r="D6486">
        <v>1</v>
      </c>
    </row>
    <row r="6489" spans="2:4">
      <c r="B6489">
        <v>1</v>
      </c>
      <c r="C6489">
        <v>102</v>
      </c>
      <c r="D6489">
        <v>1</v>
      </c>
    </row>
    <row r="6490" spans="2:4">
      <c r="B6490">
        <v>1</v>
      </c>
      <c r="C6490">
        <v>102</v>
      </c>
      <c r="D6490">
        <v>1</v>
      </c>
    </row>
    <row r="6494" spans="2:4">
      <c r="B6494">
        <v>1</v>
      </c>
      <c r="C6494">
        <v>102</v>
      </c>
      <c r="D6494">
        <v>1</v>
      </c>
    </row>
    <row r="6496" spans="2:4">
      <c r="B6496">
        <v>1</v>
      </c>
      <c r="C6496">
        <v>102</v>
      </c>
      <c r="D6496">
        <v>1</v>
      </c>
    </row>
    <row r="6500" spans="2:4">
      <c r="B6500">
        <v>1</v>
      </c>
      <c r="C6500">
        <v>102</v>
      </c>
      <c r="D6500">
        <v>1</v>
      </c>
    </row>
    <row r="6503" spans="2:4">
      <c r="B6503">
        <v>1</v>
      </c>
      <c r="C6503">
        <v>102</v>
      </c>
      <c r="D6503">
        <v>1</v>
      </c>
    </row>
    <row r="6508" spans="2:4">
      <c r="B6508">
        <v>1</v>
      </c>
      <c r="C6508">
        <v>102</v>
      </c>
      <c r="D6508">
        <v>1</v>
      </c>
    </row>
    <row r="6509" spans="2:4">
      <c r="B6509">
        <v>1</v>
      </c>
      <c r="C6509">
        <v>102</v>
      </c>
      <c r="D6509">
        <v>1</v>
      </c>
    </row>
    <row r="6512" spans="2:4">
      <c r="B6512">
        <v>1</v>
      </c>
      <c r="C6512">
        <v>102</v>
      </c>
      <c r="D6512">
        <v>1</v>
      </c>
    </row>
    <row r="6514" spans="2:4">
      <c r="B6514">
        <v>1</v>
      </c>
      <c r="C6514">
        <v>102</v>
      </c>
      <c r="D6514">
        <v>1</v>
      </c>
    </row>
    <row r="6516" spans="2:4">
      <c r="B6516">
        <v>1</v>
      </c>
      <c r="C6516">
        <v>102</v>
      </c>
      <c r="D6516">
        <v>1</v>
      </c>
    </row>
    <row r="6521" spans="2:4">
      <c r="B6521">
        <v>1</v>
      </c>
      <c r="C6521">
        <v>102</v>
      </c>
      <c r="D6521">
        <v>1</v>
      </c>
    </row>
    <row r="6524" spans="2:4">
      <c r="B6524">
        <v>1</v>
      </c>
      <c r="C6524">
        <v>102</v>
      </c>
      <c r="D6524">
        <v>1</v>
      </c>
    </row>
    <row r="6527" spans="2:4">
      <c r="B6527">
        <v>1</v>
      </c>
      <c r="C6527">
        <v>102</v>
      </c>
      <c r="D6527">
        <v>1</v>
      </c>
    </row>
    <row r="6529" spans="2:4">
      <c r="B6529">
        <v>1</v>
      </c>
      <c r="C6529">
        <v>102</v>
      </c>
      <c r="D6529">
        <v>1</v>
      </c>
    </row>
    <row r="6534" spans="2:4">
      <c r="B6534">
        <v>1</v>
      </c>
      <c r="C6534">
        <v>102</v>
      </c>
      <c r="D6534">
        <v>1</v>
      </c>
    </row>
    <row r="6536" spans="2:4">
      <c r="B6536">
        <v>1</v>
      </c>
      <c r="C6536">
        <v>102</v>
      </c>
      <c r="D6536">
        <v>1</v>
      </c>
    </row>
    <row r="6538" spans="2:4">
      <c r="B6538">
        <v>1</v>
      </c>
      <c r="C6538">
        <v>102</v>
      </c>
      <c r="D6538">
        <v>1</v>
      </c>
    </row>
    <row r="6541" spans="2:4">
      <c r="B6541">
        <v>1</v>
      </c>
      <c r="C6541">
        <v>102</v>
      </c>
      <c r="D6541">
        <v>1</v>
      </c>
    </row>
    <row r="6543" spans="2:4">
      <c r="B6543">
        <v>1</v>
      </c>
      <c r="C6543">
        <v>102</v>
      </c>
      <c r="D6543">
        <v>1</v>
      </c>
    </row>
    <row r="6550" spans="2:4">
      <c r="B6550">
        <v>1</v>
      </c>
      <c r="C6550">
        <v>102</v>
      </c>
      <c r="D6550">
        <v>1</v>
      </c>
    </row>
    <row r="6552" spans="2:4">
      <c r="B6552">
        <v>1</v>
      </c>
      <c r="C6552">
        <v>102</v>
      </c>
      <c r="D6552">
        <v>1</v>
      </c>
    </row>
    <row r="6554" spans="2:4">
      <c r="B6554">
        <v>1</v>
      </c>
      <c r="C6554">
        <v>102</v>
      </c>
      <c r="D6554">
        <v>1</v>
      </c>
    </row>
    <row r="6559" spans="2:4">
      <c r="B6559">
        <v>1</v>
      </c>
      <c r="C6559">
        <v>102</v>
      </c>
      <c r="D6559">
        <v>1</v>
      </c>
    </row>
    <row r="6561" spans="2:4">
      <c r="B6561">
        <v>1</v>
      </c>
      <c r="C6561">
        <v>102</v>
      </c>
      <c r="D6561">
        <v>1</v>
      </c>
    </row>
    <row r="6565" spans="2:4">
      <c r="B6565">
        <v>1</v>
      </c>
      <c r="C6565">
        <v>102</v>
      </c>
      <c r="D6565">
        <v>1</v>
      </c>
    </row>
    <row r="6569" spans="2:4">
      <c r="B6569">
        <v>1</v>
      </c>
      <c r="C6569">
        <v>102</v>
      </c>
      <c r="D6569">
        <v>1</v>
      </c>
    </row>
    <row r="6573" spans="2:4">
      <c r="B6573">
        <v>1</v>
      </c>
      <c r="C6573">
        <v>102</v>
      </c>
      <c r="D6573">
        <v>1</v>
      </c>
    </row>
    <row r="6575" spans="2:4">
      <c r="B6575">
        <v>1</v>
      </c>
      <c r="C6575">
        <v>102</v>
      </c>
      <c r="D6575">
        <v>1</v>
      </c>
    </row>
    <row r="6582" spans="2:4">
      <c r="B6582">
        <v>1</v>
      </c>
      <c r="C6582">
        <v>102</v>
      </c>
      <c r="D6582">
        <v>1</v>
      </c>
    </row>
    <row r="6588" spans="2:4">
      <c r="B6588">
        <v>1</v>
      </c>
      <c r="C6588">
        <v>102</v>
      </c>
      <c r="D6588">
        <v>1</v>
      </c>
    </row>
    <row r="6590" spans="2:4">
      <c r="B6590">
        <v>1</v>
      </c>
      <c r="C6590">
        <v>102</v>
      </c>
      <c r="D6590">
        <v>1</v>
      </c>
    </row>
    <row r="6591" spans="2:4">
      <c r="B6591">
        <v>1</v>
      </c>
      <c r="C6591">
        <v>102</v>
      </c>
      <c r="D6591">
        <v>1</v>
      </c>
    </row>
    <row r="6592" spans="2:4">
      <c r="B6592">
        <v>1</v>
      </c>
      <c r="C6592">
        <v>102</v>
      </c>
      <c r="D6592">
        <v>1</v>
      </c>
    </row>
    <row r="6596" spans="2:4">
      <c r="B6596">
        <v>1</v>
      </c>
      <c r="C6596">
        <v>102</v>
      </c>
      <c r="D6596">
        <v>1</v>
      </c>
    </row>
    <row r="6597" spans="2:4">
      <c r="B6597">
        <v>1</v>
      </c>
      <c r="C6597">
        <v>102</v>
      </c>
      <c r="D6597">
        <v>1</v>
      </c>
    </row>
    <row r="6601" spans="2:4">
      <c r="B6601">
        <v>1</v>
      </c>
      <c r="C6601">
        <v>102</v>
      </c>
      <c r="D6601">
        <v>1</v>
      </c>
    </row>
    <row r="6604" spans="2:4">
      <c r="B6604">
        <v>1</v>
      </c>
      <c r="C6604">
        <v>102</v>
      </c>
      <c r="D6604">
        <v>1</v>
      </c>
    </row>
    <row r="6607" spans="2:4">
      <c r="B6607">
        <v>1</v>
      </c>
      <c r="C6607">
        <v>102</v>
      </c>
      <c r="D6607">
        <v>1</v>
      </c>
    </row>
    <row r="6609" spans="2:4">
      <c r="B6609">
        <v>1</v>
      </c>
      <c r="C6609">
        <v>102</v>
      </c>
      <c r="D6609">
        <v>1</v>
      </c>
    </row>
    <row r="6610" spans="2:4">
      <c r="B6610">
        <v>1</v>
      </c>
      <c r="C6610">
        <v>102</v>
      </c>
      <c r="D6610">
        <v>1</v>
      </c>
    </row>
    <row r="6611" spans="2:4">
      <c r="B6611">
        <v>1</v>
      </c>
      <c r="C6611">
        <v>102</v>
      </c>
      <c r="D6611">
        <v>1</v>
      </c>
    </row>
    <row r="6612" spans="2:4">
      <c r="B6612">
        <v>1</v>
      </c>
      <c r="C6612">
        <v>102</v>
      </c>
      <c r="D6612">
        <v>1</v>
      </c>
    </row>
    <row r="6620" spans="2:4">
      <c r="B6620">
        <v>1</v>
      </c>
      <c r="C6620">
        <v>102</v>
      </c>
      <c r="D6620">
        <v>1</v>
      </c>
    </row>
    <row r="6621" spans="2:4">
      <c r="B6621">
        <v>1</v>
      </c>
      <c r="C6621">
        <v>102</v>
      </c>
      <c r="D6621">
        <v>1</v>
      </c>
    </row>
    <row r="6626" spans="2:4">
      <c r="B6626">
        <v>1</v>
      </c>
      <c r="C6626">
        <v>102</v>
      </c>
      <c r="D6626">
        <v>1</v>
      </c>
    </row>
    <row r="6629" spans="2:4">
      <c r="B6629">
        <v>1</v>
      </c>
      <c r="C6629">
        <v>102</v>
      </c>
      <c r="D6629">
        <v>1</v>
      </c>
    </row>
    <row r="6632" spans="2:4">
      <c r="B6632">
        <v>1</v>
      </c>
      <c r="C6632">
        <v>102</v>
      </c>
      <c r="D6632">
        <v>1</v>
      </c>
    </row>
    <row r="6635" spans="2:4">
      <c r="B6635">
        <v>1</v>
      </c>
      <c r="C6635">
        <v>102</v>
      </c>
      <c r="D6635">
        <v>1</v>
      </c>
    </row>
    <row r="6638" spans="2:4">
      <c r="B6638">
        <v>1</v>
      </c>
      <c r="C6638">
        <v>102</v>
      </c>
      <c r="D6638">
        <v>1</v>
      </c>
    </row>
    <row r="6641" spans="2:4">
      <c r="B6641">
        <v>1</v>
      </c>
      <c r="C6641">
        <v>102</v>
      </c>
      <c r="D6641">
        <v>1</v>
      </c>
    </row>
    <row r="6643" spans="2:4">
      <c r="B6643">
        <v>1</v>
      </c>
      <c r="C6643">
        <v>102</v>
      </c>
      <c r="D6643">
        <v>1</v>
      </c>
    </row>
    <row r="6646" spans="2:4">
      <c r="B6646">
        <v>1</v>
      </c>
      <c r="C6646">
        <v>102</v>
      </c>
      <c r="D6646">
        <v>1</v>
      </c>
    </row>
    <row r="6648" spans="2:4">
      <c r="B6648">
        <v>1</v>
      </c>
      <c r="C6648">
        <v>102</v>
      </c>
      <c r="D6648">
        <v>1</v>
      </c>
    </row>
    <row r="6650" spans="2:4">
      <c r="B6650">
        <v>1</v>
      </c>
      <c r="C6650">
        <v>102</v>
      </c>
      <c r="D6650">
        <v>1</v>
      </c>
    </row>
    <row r="6651" spans="2:4">
      <c r="B6651">
        <v>1</v>
      </c>
      <c r="C6651">
        <v>102</v>
      </c>
      <c r="D6651">
        <v>1</v>
      </c>
    </row>
    <row r="6653" spans="2:4">
      <c r="B6653">
        <v>1</v>
      </c>
      <c r="C6653">
        <v>102</v>
      </c>
      <c r="D6653">
        <v>1</v>
      </c>
    </row>
    <row r="6656" spans="2:4">
      <c r="B6656">
        <v>1</v>
      </c>
      <c r="C6656">
        <v>102</v>
      </c>
      <c r="D6656">
        <v>1</v>
      </c>
    </row>
    <row r="6659" spans="2:4">
      <c r="B6659">
        <v>1</v>
      </c>
      <c r="C6659">
        <v>102</v>
      </c>
      <c r="D6659">
        <v>1</v>
      </c>
    </row>
    <row r="6661" spans="2:4">
      <c r="B6661">
        <v>1</v>
      </c>
      <c r="C6661">
        <v>102</v>
      </c>
      <c r="D6661">
        <v>1</v>
      </c>
    </row>
    <row r="6667" spans="2:4">
      <c r="B6667">
        <v>1</v>
      </c>
      <c r="C6667">
        <v>102</v>
      </c>
      <c r="D6667">
        <v>1</v>
      </c>
    </row>
    <row r="6672" spans="2:4">
      <c r="B6672">
        <v>1</v>
      </c>
      <c r="C6672">
        <v>102</v>
      </c>
      <c r="D6672">
        <v>1</v>
      </c>
    </row>
    <row r="6673" spans="2:4">
      <c r="B6673">
        <v>1</v>
      </c>
      <c r="C6673">
        <v>102</v>
      </c>
      <c r="D6673">
        <v>1</v>
      </c>
    </row>
    <row r="6674" spans="2:4">
      <c r="B6674">
        <v>1</v>
      </c>
      <c r="C6674">
        <v>102</v>
      </c>
      <c r="D6674">
        <v>1</v>
      </c>
    </row>
    <row r="6675" spans="2:4">
      <c r="B6675">
        <v>1</v>
      </c>
      <c r="C6675">
        <v>102</v>
      </c>
      <c r="D6675">
        <v>1</v>
      </c>
    </row>
    <row r="6679" spans="2:4">
      <c r="B6679">
        <v>1</v>
      </c>
      <c r="C6679">
        <v>102</v>
      </c>
      <c r="D6679">
        <v>1</v>
      </c>
    </row>
    <row r="6683" spans="2:4">
      <c r="B6683">
        <v>1</v>
      </c>
      <c r="C6683">
        <v>102</v>
      </c>
      <c r="D6683">
        <v>1</v>
      </c>
    </row>
    <row r="6684" spans="2:4">
      <c r="B6684">
        <v>1</v>
      </c>
      <c r="C6684">
        <v>102</v>
      </c>
      <c r="D6684">
        <v>1</v>
      </c>
    </row>
    <row r="6686" spans="2:4">
      <c r="B6686">
        <v>1</v>
      </c>
      <c r="C6686">
        <v>102</v>
      </c>
      <c r="D6686">
        <v>1</v>
      </c>
    </row>
    <row r="6691" spans="2:4">
      <c r="B6691">
        <v>1</v>
      </c>
      <c r="C6691">
        <v>102</v>
      </c>
      <c r="D6691">
        <v>1</v>
      </c>
    </row>
    <row r="6692" spans="2:4">
      <c r="B6692">
        <v>1</v>
      </c>
      <c r="C6692">
        <v>102</v>
      </c>
      <c r="D6692">
        <v>1</v>
      </c>
    </row>
    <row r="6694" spans="2:4">
      <c r="B6694">
        <v>1</v>
      </c>
      <c r="C6694">
        <v>102</v>
      </c>
      <c r="D6694">
        <v>1</v>
      </c>
    </row>
    <row r="6695" spans="2:4">
      <c r="B6695">
        <v>1</v>
      </c>
      <c r="C6695">
        <v>102</v>
      </c>
      <c r="D6695">
        <v>1</v>
      </c>
    </row>
    <row r="6698" spans="2:4">
      <c r="B6698">
        <v>1</v>
      </c>
      <c r="C6698">
        <v>102</v>
      </c>
      <c r="D6698">
        <v>1</v>
      </c>
    </row>
    <row r="6705" spans="2:4">
      <c r="B6705">
        <v>1</v>
      </c>
      <c r="C6705">
        <v>102</v>
      </c>
      <c r="D6705">
        <v>1</v>
      </c>
    </row>
    <row r="6707" spans="2:4">
      <c r="B6707">
        <v>1</v>
      </c>
      <c r="C6707">
        <v>102</v>
      </c>
      <c r="D6707">
        <v>1</v>
      </c>
    </row>
    <row r="6709" spans="2:4">
      <c r="B6709">
        <v>1</v>
      </c>
      <c r="C6709">
        <v>102</v>
      </c>
      <c r="D6709">
        <v>1</v>
      </c>
    </row>
    <row r="6711" spans="2:4">
      <c r="B6711">
        <v>1</v>
      </c>
      <c r="C6711">
        <v>102</v>
      </c>
      <c r="D6711">
        <v>1</v>
      </c>
    </row>
    <row r="6713" spans="2:4">
      <c r="B6713">
        <v>1</v>
      </c>
      <c r="C6713">
        <v>102</v>
      </c>
      <c r="D6713">
        <v>1</v>
      </c>
    </row>
    <row r="6715" spans="2:4">
      <c r="B6715">
        <v>1</v>
      </c>
      <c r="C6715">
        <v>102</v>
      </c>
      <c r="D6715">
        <v>1</v>
      </c>
    </row>
    <row r="6722" spans="2:4">
      <c r="B6722">
        <v>1</v>
      </c>
      <c r="C6722">
        <v>102</v>
      </c>
      <c r="D6722">
        <v>1</v>
      </c>
    </row>
    <row r="6727" spans="2:4">
      <c r="B6727">
        <v>1</v>
      </c>
      <c r="C6727">
        <v>102</v>
      </c>
      <c r="D6727">
        <v>1</v>
      </c>
    </row>
    <row r="6728" spans="2:4">
      <c r="B6728">
        <v>1</v>
      </c>
      <c r="C6728">
        <v>102</v>
      </c>
      <c r="D6728">
        <v>1</v>
      </c>
    </row>
    <row r="6734" spans="2:4">
      <c r="B6734">
        <v>1</v>
      </c>
      <c r="C6734">
        <v>102</v>
      </c>
      <c r="D6734">
        <v>1</v>
      </c>
    </row>
    <row r="6741" spans="2:4">
      <c r="B6741">
        <v>1</v>
      </c>
      <c r="C6741">
        <v>102</v>
      </c>
      <c r="D6741">
        <v>1</v>
      </c>
    </row>
    <row r="6742" spans="2:4">
      <c r="B6742">
        <v>1</v>
      </c>
      <c r="C6742">
        <v>102</v>
      </c>
      <c r="D6742">
        <v>1</v>
      </c>
    </row>
    <row r="6745" spans="2:4">
      <c r="B6745">
        <v>1</v>
      </c>
      <c r="C6745">
        <v>102</v>
      </c>
      <c r="D6745">
        <v>1</v>
      </c>
    </row>
    <row r="6746" spans="2:4">
      <c r="B6746">
        <v>1</v>
      </c>
      <c r="C6746">
        <v>102</v>
      </c>
      <c r="D6746">
        <v>1</v>
      </c>
    </row>
    <row r="6750" spans="2:4">
      <c r="B6750">
        <v>1</v>
      </c>
      <c r="C6750">
        <v>102</v>
      </c>
      <c r="D6750">
        <v>1</v>
      </c>
    </row>
    <row r="6752" spans="2:4">
      <c r="B6752">
        <v>1</v>
      </c>
      <c r="C6752">
        <v>102</v>
      </c>
      <c r="D6752">
        <v>1</v>
      </c>
    </row>
    <row r="6756" spans="2:4">
      <c r="B6756">
        <v>1</v>
      </c>
      <c r="C6756">
        <v>102</v>
      </c>
      <c r="D6756">
        <v>1</v>
      </c>
    </row>
    <row r="6759" spans="2:4">
      <c r="B6759">
        <v>1</v>
      </c>
      <c r="C6759">
        <v>102</v>
      </c>
      <c r="D6759">
        <v>1</v>
      </c>
    </row>
    <row r="6764" spans="2:4">
      <c r="B6764">
        <v>1</v>
      </c>
      <c r="C6764">
        <v>102</v>
      </c>
      <c r="D6764">
        <v>1</v>
      </c>
    </row>
    <row r="6765" spans="2:4">
      <c r="B6765">
        <v>1</v>
      </c>
      <c r="C6765">
        <v>102</v>
      </c>
      <c r="D6765">
        <v>1</v>
      </c>
    </row>
    <row r="6768" spans="2:4">
      <c r="B6768">
        <v>1</v>
      </c>
      <c r="C6768">
        <v>102</v>
      </c>
      <c r="D6768">
        <v>1</v>
      </c>
    </row>
    <row r="6770" spans="2:4">
      <c r="B6770">
        <v>1</v>
      </c>
      <c r="C6770">
        <v>102</v>
      </c>
      <c r="D6770">
        <v>1</v>
      </c>
    </row>
    <row r="6772" spans="2:4">
      <c r="B6772">
        <v>1</v>
      </c>
      <c r="C6772">
        <v>102</v>
      </c>
      <c r="D6772">
        <v>1</v>
      </c>
    </row>
    <row r="6777" spans="2:4">
      <c r="B6777">
        <v>1</v>
      </c>
      <c r="C6777">
        <v>102</v>
      </c>
      <c r="D6777">
        <v>1</v>
      </c>
    </row>
    <row r="6780" spans="2:4">
      <c r="B6780">
        <v>1</v>
      </c>
      <c r="C6780">
        <v>102</v>
      </c>
      <c r="D6780">
        <v>1</v>
      </c>
    </row>
    <row r="6783" spans="2:4">
      <c r="B6783">
        <v>1</v>
      </c>
      <c r="C6783">
        <v>102</v>
      </c>
      <c r="D6783">
        <v>1</v>
      </c>
    </row>
    <row r="6785" spans="2:4">
      <c r="B6785">
        <v>1</v>
      </c>
      <c r="C6785">
        <v>102</v>
      </c>
      <c r="D6785">
        <v>1</v>
      </c>
    </row>
    <row r="6790" spans="2:4">
      <c r="B6790">
        <v>1</v>
      </c>
      <c r="C6790">
        <v>102</v>
      </c>
      <c r="D6790">
        <v>1</v>
      </c>
    </row>
    <row r="6792" spans="2:4">
      <c r="B6792">
        <v>1</v>
      </c>
      <c r="C6792">
        <v>102</v>
      </c>
      <c r="D6792">
        <v>1</v>
      </c>
    </row>
    <row r="6794" spans="2:4">
      <c r="B6794">
        <v>1</v>
      </c>
      <c r="C6794">
        <v>102</v>
      </c>
      <c r="D6794">
        <v>1</v>
      </c>
    </row>
    <row r="6797" spans="2:4">
      <c r="B6797">
        <v>1</v>
      </c>
      <c r="C6797">
        <v>102</v>
      </c>
      <c r="D6797">
        <v>1</v>
      </c>
    </row>
    <row r="6799" spans="2:4">
      <c r="B6799">
        <v>1</v>
      </c>
      <c r="C6799">
        <v>102</v>
      </c>
      <c r="D6799">
        <v>1</v>
      </c>
    </row>
    <row r="6806" spans="2:4">
      <c r="B6806">
        <v>1</v>
      </c>
      <c r="C6806">
        <v>102</v>
      </c>
      <c r="D6806">
        <v>1</v>
      </c>
    </row>
    <row r="6808" spans="2:4">
      <c r="B6808">
        <v>1</v>
      </c>
      <c r="C6808">
        <v>102</v>
      </c>
      <c r="D6808">
        <v>1</v>
      </c>
    </row>
    <row r="6810" spans="2:4">
      <c r="B6810">
        <v>1</v>
      </c>
      <c r="C6810">
        <v>102</v>
      </c>
      <c r="D6810">
        <v>1</v>
      </c>
    </row>
    <row r="6815" spans="2:4">
      <c r="B6815">
        <v>1</v>
      </c>
      <c r="C6815">
        <v>102</v>
      </c>
      <c r="D6815">
        <v>1</v>
      </c>
    </row>
    <row r="6817" spans="2:4">
      <c r="B6817">
        <v>1</v>
      </c>
      <c r="C6817">
        <v>102</v>
      </c>
      <c r="D6817">
        <v>1</v>
      </c>
    </row>
    <row r="6821" spans="2:4">
      <c r="B6821">
        <v>1</v>
      </c>
      <c r="C6821">
        <v>102</v>
      </c>
      <c r="D6821">
        <v>1</v>
      </c>
    </row>
    <row r="6825" spans="2:4">
      <c r="B6825">
        <v>1</v>
      </c>
      <c r="C6825">
        <v>102</v>
      </c>
      <c r="D6825">
        <v>1</v>
      </c>
    </row>
    <row r="6829" spans="2:4">
      <c r="B6829">
        <v>1</v>
      </c>
      <c r="C6829">
        <v>102</v>
      </c>
      <c r="D6829">
        <v>1</v>
      </c>
    </row>
    <row r="6831" spans="2:4">
      <c r="B6831">
        <v>1</v>
      </c>
      <c r="C6831">
        <v>102</v>
      </c>
      <c r="D6831">
        <v>1</v>
      </c>
    </row>
    <row r="6838" spans="2:4">
      <c r="B6838">
        <v>1</v>
      </c>
      <c r="C6838">
        <v>102</v>
      </c>
      <c r="D6838">
        <v>1</v>
      </c>
    </row>
    <row r="6844" spans="2:4">
      <c r="B6844">
        <v>1</v>
      </c>
      <c r="C6844">
        <v>102</v>
      </c>
      <c r="D6844">
        <v>1</v>
      </c>
    </row>
    <row r="6846" spans="2:4">
      <c r="B6846">
        <v>1</v>
      </c>
      <c r="C6846">
        <v>102</v>
      </c>
      <c r="D6846">
        <v>1</v>
      </c>
    </row>
    <row r="6847" spans="2:4">
      <c r="B6847">
        <v>1</v>
      </c>
      <c r="C6847">
        <v>102</v>
      </c>
      <c r="D6847">
        <v>1</v>
      </c>
    </row>
    <row r="6848" spans="2:4">
      <c r="B6848">
        <v>1</v>
      </c>
      <c r="C6848">
        <v>102</v>
      </c>
      <c r="D6848">
        <v>1</v>
      </c>
    </row>
    <row r="6852" spans="2:4">
      <c r="B6852">
        <v>1</v>
      </c>
      <c r="C6852">
        <v>102</v>
      </c>
      <c r="D6852">
        <v>1</v>
      </c>
    </row>
    <row r="6853" spans="2:4">
      <c r="B6853">
        <v>1</v>
      </c>
      <c r="C6853">
        <v>102</v>
      </c>
      <c r="D6853">
        <v>1</v>
      </c>
    </row>
    <row r="6857" spans="2:4">
      <c r="B6857">
        <v>1</v>
      </c>
      <c r="C6857">
        <v>102</v>
      </c>
      <c r="D6857">
        <v>1</v>
      </c>
    </row>
    <row r="6860" spans="2:4">
      <c r="B6860">
        <v>1</v>
      </c>
      <c r="C6860">
        <v>102</v>
      </c>
      <c r="D6860">
        <v>1</v>
      </c>
    </row>
    <row r="6863" spans="2:4">
      <c r="B6863">
        <v>1</v>
      </c>
      <c r="C6863">
        <v>102</v>
      </c>
      <c r="D6863">
        <v>1</v>
      </c>
    </row>
    <row r="6865" spans="2:4">
      <c r="B6865">
        <v>1</v>
      </c>
      <c r="C6865">
        <v>102</v>
      </c>
      <c r="D6865">
        <v>1</v>
      </c>
    </row>
    <row r="6866" spans="2:4">
      <c r="B6866">
        <v>1</v>
      </c>
      <c r="C6866">
        <v>102</v>
      </c>
      <c r="D6866">
        <v>1</v>
      </c>
    </row>
    <row r="6867" spans="2:4">
      <c r="B6867">
        <v>1</v>
      </c>
      <c r="C6867">
        <v>102</v>
      </c>
      <c r="D6867">
        <v>1</v>
      </c>
    </row>
    <row r="6868" spans="2:4">
      <c r="B6868">
        <v>1</v>
      </c>
      <c r="C6868">
        <v>102</v>
      </c>
      <c r="D6868">
        <v>1</v>
      </c>
    </row>
    <row r="6876" spans="2:4">
      <c r="B6876">
        <v>1</v>
      </c>
      <c r="C6876">
        <v>102</v>
      </c>
      <c r="D6876">
        <v>1</v>
      </c>
    </row>
    <row r="6877" spans="2:4">
      <c r="B6877">
        <v>1</v>
      </c>
      <c r="C6877">
        <v>102</v>
      </c>
      <c r="D6877">
        <v>1</v>
      </c>
    </row>
    <row r="6882" spans="2:4">
      <c r="B6882">
        <v>1</v>
      </c>
      <c r="C6882">
        <v>102</v>
      </c>
      <c r="D6882">
        <v>1</v>
      </c>
    </row>
    <row r="6885" spans="2:4">
      <c r="B6885">
        <v>1</v>
      </c>
      <c r="C6885">
        <v>102</v>
      </c>
      <c r="D6885">
        <v>1</v>
      </c>
    </row>
    <row r="6888" spans="2:4">
      <c r="B6888">
        <v>1</v>
      </c>
      <c r="C6888">
        <v>102</v>
      </c>
      <c r="D6888">
        <v>1</v>
      </c>
    </row>
    <row r="6891" spans="2:4">
      <c r="B6891">
        <v>1</v>
      </c>
      <c r="C6891">
        <v>102</v>
      </c>
      <c r="D6891">
        <v>1</v>
      </c>
    </row>
    <row r="6894" spans="2:4">
      <c r="B6894">
        <v>1</v>
      </c>
      <c r="C6894">
        <v>102</v>
      </c>
      <c r="D6894">
        <v>1</v>
      </c>
    </row>
    <row r="6897" spans="2:4">
      <c r="B6897">
        <v>1</v>
      </c>
      <c r="C6897">
        <v>102</v>
      </c>
      <c r="D6897">
        <v>1</v>
      </c>
    </row>
    <row r="6899" spans="2:4">
      <c r="B6899">
        <v>1</v>
      </c>
      <c r="C6899">
        <v>102</v>
      </c>
      <c r="D6899">
        <v>1</v>
      </c>
    </row>
    <row r="6902" spans="2:4">
      <c r="B6902">
        <v>1</v>
      </c>
      <c r="C6902">
        <v>102</v>
      </c>
      <c r="D6902">
        <v>1</v>
      </c>
    </row>
    <row r="6904" spans="2:4">
      <c r="B6904">
        <v>1</v>
      </c>
      <c r="C6904">
        <v>102</v>
      </c>
      <c r="D6904">
        <v>1</v>
      </c>
    </row>
    <row r="6906" spans="2:4">
      <c r="B6906">
        <v>1</v>
      </c>
      <c r="C6906">
        <v>102</v>
      </c>
      <c r="D6906">
        <v>1</v>
      </c>
    </row>
    <row r="6907" spans="2:4">
      <c r="B6907">
        <v>1</v>
      </c>
      <c r="C6907">
        <v>102</v>
      </c>
      <c r="D6907">
        <v>1</v>
      </c>
    </row>
    <row r="6909" spans="2:4">
      <c r="B6909">
        <v>1</v>
      </c>
      <c r="C6909">
        <v>102</v>
      </c>
      <c r="D6909">
        <v>1</v>
      </c>
    </row>
    <row r="6912" spans="2:4">
      <c r="B6912">
        <v>1</v>
      </c>
      <c r="C6912">
        <v>102</v>
      </c>
      <c r="D6912">
        <v>1</v>
      </c>
    </row>
    <row r="6915" spans="2:4">
      <c r="B6915">
        <v>1</v>
      </c>
      <c r="C6915">
        <v>102</v>
      </c>
      <c r="D6915">
        <v>1</v>
      </c>
    </row>
    <row r="6917" spans="2:4">
      <c r="B6917">
        <v>1</v>
      </c>
      <c r="C6917">
        <v>102</v>
      </c>
      <c r="D6917">
        <v>1</v>
      </c>
    </row>
    <row r="6923" spans="2:4">
      <c r="B6923">
        <v>1</v>
      </c>
      <c r="C6923">
        <v>102</v>
      </c>
      <c r="D6923">
        <v>1</v>
      </c>
    </row>
    <row r="6928" spans="2:4">
      <c r="B6928">
        <v>1</v>
      </c>
      <c r="C6928">
        <v>102</v>
      </c>
      <c r="D6928">
        <v>1</v>
      </c>
    </row>
    <row r="6929" spans="2:4">
      <c r="B6929">
        <v>1</v>
      </c>
      <c r="C6929">
        <v>102</v>
      </c>
      <c r="D6929">
        <v>1</v>
      </c>
    </row>
    <row r="6930" spans="2:4">
      <c r="B6930">
        <v>1</v>
      </c>
      <c r="C6930">
        <v>102</v>
      </c>
      <c r="D6930">
        <v>1</v>
      </c>
    </row>
    <row r="6931" spans="2:4">
      <c r="B6931">
        <v>1</v>
      </c>
      <c r="C6931">
        <v>102</v>
      </c>
      <c r="D6931">
        <v>1</v>
      </c>
    </row>
    <row r="6935" spans="2:4">
      <c r="B6935">
        <v>1</v>
      </c>
      <c r="C6935">
        <v>102</v>
      </c>
      <c r="D6935">
        <v>1</v>
      </c>
    </row>
    <row r="6939" spans="2:4">
      <c r="B6939">
        <v>1</v>
      </c>
      <c r="C6939">
        <v>102</v>
      </c>
      <c r="D6939">
        <v>1</v>
      </c>
    </row>
    <row r="6940" spans="2:4">
      <c r="B6940">
        <v>1</v>
      </c>
      <c r="C6940">
        <v>102</v>
      </c>
      <c r="D6940">
        <v>1</v>
      </c>
    </row>
    <row r="6942" spans="2:4">
      <c r="B6942">
        <v>1</v>
      </c>
      <c r="C6942">
        <v>102</v>
      </c>
      <c r="D6942">
        <v>1</v>
      </c>
    </row>
    <row r="6947" spans="2:4">
      <c r="B6947">
        <v>1</v>
      </c>
      <c r="C6947">
        <v>102</v>
      </c>
      <c r="D6947">
        <v>1</v>
      </c>
    </row>
    <row r="6948" spans="2:4">
      <c r="B6948">
        <v>1</v>
      </c>
      <c r="C6948">
        <v>102</v>
      </c>
      <c r="D6948">
        <v>1</v>
      </c>
    </row>
    <row r="6950" spans="2:4">
      <c r="B6950">
        <v>1</v>
      </c>
      <c r="C6950">
        <v>102</v>
      </c>
      <c r="D6950">
        <v>1</v>
      </c>
    </row>
    <row r="6951" spans="2:4">
      <c r="B6951">
        <v>1</v>
      </c>
      <c r="C6951">
        <v>102</v>
      </c>
      <c r="D6951">
        <v>1</v>
      </c>
    </row>
    <row r="6954" spans="2:4">
      <c r="B6954">
        <v>1</v>
      </c>
      <c r="C6954">
        <v>102</v>
      </c>
      <c r="D6954">
        <v>1</v>
      </c>
    </row>
    <row r="6961" spans="2:4">
      <c r="B6961">
        <v>1</v>
      </c>
      <c r="C6961">
        <v>102</v>
      </c>
      <c r="D6961">
        <v>1</v>
      </c>
    </row>
    <row r="6963" spans="2:4">
      <c r="B6963">
        <v>1</v>
      </c>
      <c r="C6963">
        <v>102</v>
      </c>
      <c r="D6963">
        <v>1</v>
      </c>
    </row>
    <row r="6965" spans="2:4">
      <c r="B6965">
        <v>1</v>
      </c>
      <c r="C6965">
        <v>102</v>
      </c>
      <c r="D6965">
        <v>1</v>
      </c>
    </row>
    <row r="6967" spans="2:4">
      <c r="B6967">
        <v>1</v>
      </c>
      <c r="C6967">
        <v>102</v>
      </c>
      <c r="D6967">
        <v>1</v>
      </c>
    </row>
    <row r="6969" spans="2:4">
      <c r="B6969">
        <v>1</v>
      </c>
      <c r="C6969">
        <v>102</v>
      </c>
      <c r="D6969">
        <v>1</v>
      </c>
    </row>
    <row r="6971" spans="2:4">
      <c r="B6971">
        <v>1</v>
      </c>
      <c r="C6971">
        <v>102</v>
      </c>
      <c r="D6971">
        <v>1</v>
      </c>
    </row>
    <row r="6978" spans="2:4">
      <c r="B6978">
        <v>1</v>
      </c>
      <c r="C6978">
        <v>102</v>
      </c>
      <c r="D6978">
        <v>1</v>
      </c>
    </row>
    <row r="6983" spans="2:4">
      <c r="B6983">
        <v>1</v>
      </c>
      <c r="C6983">
        <v>102</v>
      </c>
      <c r="D6983">
        <v>1</v>
      </c>
    </row>
    <row r="6984" spans="2:4">
      <c r="B6984">
        <v>1</v>
      </c>
      <c r="C6984">
        <v>102</v>
      </c>
      <c r="D6984">
        <v>1</v>
      </c>
    </row>
    <row r="6990" spans="2:4">
      <c r="B6990">
        <v>1</v>
      </c>
      <c r="C6990">
        <v>102</v>
      </c>
      <c r="D6990">
        <v>1</v>
      </c>
    </row>
    <row r="6997" spans="2:4">
      <c r="B6997">
        <v>1</v>
      </c>
      <c r="C6997">
        <v>102</v>
      </c>
      <c r="D6997">
        <v>1</v>
      </c>
    </row>
    <row r="6998" spans="2:4">
      <c r="B6998">
        <v>1</v>
      </c>
      <c r="C6998">
        <v>102</v>
      </c>
      <c r="D6998">
        <v>1</v>
      </c>
    </row>
    <row r="7001" spans="2:4">
      <c r="B7001">
        <v>1</v>
      </c>
      <c r="C7001">
        <v>102</v>
      </c>
      <c r="D7001">
        <v>1</v>
      </c>
    </row>
    <row r="7002" spans="2:4">
      <c r="B7002">
        <v>1</v>
      </c>
      <c r="C7002">
        <v>102</v>
      </c>
      <c r="D7002">
        <v>1</v>
      </c>
    </row>
    <row r="7006" spans="2:4">
      <c r="B7006">
        <v>1</v>
      </c>
      <c r="C7006">
        <v>102</v>
      </c>
      <c r="D7006">
        <v>1</v>
      </c>
    </row>
    <row r="7008" spans="2:4">
      <c r="B7008">
        <v>1</v>
      </c>
      <c r="C7008">
        <v>102</v>
      </c>
      <c r="D7008">
        <v>1</v>
      </c>
    </row>
    <row r="7012" spans="2:4">
      <c r="B7012">
        <v>1</v>
      </c>
      <c r="C7012">
        <v>102</v>
      </c>
      <c r="D7012">
        <v>1</v>
      </c>
    </row>
    <row r="7015" spans="2:4">
      <c r="B7015">
        <v>1</v>
      </c>
      <c r="C7015">
        <v>102</v>
      </c>
      <c r="D7015">
        <v>1</v>
      </c>
    </row>
    <row r="7020" spans="2:4">
      <c r="B7020">
        <v>1</v>
      </c>
      <c r="C7020">
        <v>102</v>
      </c>
      <c r="D7020">
        <v>1</v>
      </c>
    </row>
    <row r="7021" spans="2:4">
      <c r="B7021">
        <v>1</v>
      </c>
      <c r="C7021">
        <v>102</v>
      </c>
      <c r="D7021">
        <v>1</v>
      </c>
    </row>
    <row r="7024" spans="2:4">
      <c r="B7024">
        <v>1</v>
      </c>
      <c r="C7024">
        <v>102</v>
      </c>
      <c r="D7024">
        <v>1</v>
      </c>
    </row>
    <row r="7026" spans="2:4">
      <c r="B7026">
        <v>1</v>
      </c>
      <c r="C7026">
        <v>102</v>
      </c>
      <c r="D7026">
        <v>1</v>
      </c>
    </row>
    <row r="7028" spans="2:4">
      <c r="B7028">
        <v>1</v>
      </c>
      <c r="C7028">
        <v>102</v>
      </c>
      <c r="D7028">
        <v>1</v>
      </c>
    </row>
    <row r="7033" spans="2:4">
      <c r="B7033">
        <v>1</v>
      </c>
      <c r="C7033">
        <v>102</v>
      </c>
      <c r="D7033">
        <v>1</v>
      </c>
    </row>
    <row r="7036" spans="2:4">
      <c r="B7036">
        <v>1</v>
      </c>
      <c r="C7036">
        <v>102</v>
      </c>
      <c r="D7036">
        <v>1</v>
      </c>
    </row>
    <row r="7039" spans="2:4">
      <c r="B7039">
        <v>1</v>
      </c>
      <c r="C7039">
        <v>102</v>
      </c>
      <c r="D7039">
        <v>1</v>
      </c>
    </row>
    <row r="7041" spans="2:4">
      <c r="B7041">
        <v>1</v>
      </c>
      <c r="C7041">
        <v>102</v>
      </c>
      <c r="D7041">
        <v>1</v>
      </c>
    </row>
    <row r="7046" spans="2:4">
      <c r="B7046">
        <v>1</v>
      </c>
      <c r="C7046">
        <v>102</v>
      </c>
      <c r="D7046">
        <v>1</v>
      </c>
    </row>
    <row r="7048" spans="2:4">
      <c r="B7048">
        <v>1</v>
      </c>
      <c r="C7048">
        <v>102</v>
      </c>
      <c r="D7048">
        <v>1</v>
      </c>
    </row>
    <row r="7050" spans="2:4">
      <c r="B7050">
        <v>1</v>
      </c>
      <c r="C7050">
        <v>102</v>
      </c>
      <c r="D7050">
        <v>1</v>
      </c>
    </row>
    <row r="7053" spans="2:4">
      <c r="B7053">
        <v>1</v>
      </c>
      <c r="C7053">
        <v>102</v>
      </c>
      <c r="D7053">
        <v>1</v>
      </c>
    </row>
    <row r="7055" spans="2:4">
      <c r="B7055">
        <v>1</v>
      </c>
      <c r="C7055">
        <v>102</v>
      </c>
      <c r="D7055">
        <v>1</v>
      </c>
    </row>
    <row r="7062" spans="2:4">
      <c r="B7062">
        <v>1</v>
      </c>
      <c r="C7062">
        <v>102</v>
      </c>
      <c r="D7062">
        <v>1</v>
      </c>
    </row>
    <row r="7064" spans="2:4">
      <c r="B7064">
        <v>1</v>
      </c>
      <c r="C7064">
        <v>102</v>
      </c>
      <c r="D7064">
        <v>1</v>
      </c>
    </row>
    <row r="7066" spans="2:4">
      <c r="B7066">
        <v>1</v>
      </c>
      <c r="C7066">
        <v>102</v>
      </c>
      <c r="D7066">
        <v>1</v>
      </c>
    </row>
    <row r="7071" spans="2:4">
      <c r="B7071">
        <v>1</v>
      </c>
      <c r="C7071">
        <v>102</v>
      </c>
      <c r="D7071">
        <v>1</v>
      </c>
    </row>
    <row r="7073" spans="2:4">
      <c r="B7073">
        <v>1</v>
      </c>
      <c r="C7073">
        <v>102</v>
      </c>
      <c r="D7073">
        <v>1</v>
      </c>
    </row>
    <row r="7077" spans="2:4">
      <c r="B7077">
        <v>1</v>
      </c>
      <c r="C7077">
        <v>102</v>
      </c>
      <c r="D7077">
        <v>1</v>
      </c>
    </row>
    <row r="7081" spans="2:4">
      <c r="B7081">
        <v>1</v>
      </c>
      <c r="C7081">
        <v>102</v>
      </c>
      <c r="D7081">
        <v>1</v>
      </c>
    </row>
    <row r="7085" spans="2:4">
      <c r="B7085">
        <v>1</v>
      </c>
      <c r="C7085">
        <v>102</v>
      </c>
      <c r="D7085">
        <v>1</v>
      </c>
    </row>
    <row r="7087" spans="2:4">
      <c r="B7087">
        <v>1</v>
      </c>
      <c r="C7087">
        <v>102</v>
      </c>
      <c r="D7087">
        <v>1</v>
      </c>
    </row>
    <row r="7094" spans="2:4">
      <c r="B7094">
        <v>1</v>
      </c>
      <c r="C7094">
        <v>102</v>
      </c>
      <c r="D7094">
        <v>1</v>
      </c>
    </row>
    <row r="7100" spans="2:4">
      <c r="B7100">
        <v>1</v>
      </c>
      <c r="C7100">
        <v>102</v>
      </c>
      <c r="D7100">
        <v>1</v>
      </c>
    </row>
    <row r="7102" spans="2:4">
      <c r="B7102">
        <v>1</v>
      </c>
      <c r="C7102">
        <v>102</v>
      </c>
      <c r="D7102">
        <v>1</v>
      </c>
    </row>
    <row r="7103" spans="2:4">
      <c r="B7103">
        <v>1</v>
      </c>
      <c r="C7103">
        <v>102</v>
      </c>
      <c r="D7103">
        <v>1</v>
      </c>
    </row>
    <row r="7104" spans="2:4">
      <c r="B7104">
        <v>1</v>
      </c>
      <c r="C7104">
        <v>102</v>
      </c>
      <c r="D7104">
        <v>1</v>
      </c>
    </row>
    <row r="7108" spans="2:4">
      <c r="B7108">
        <v>1</v>
      </c>
      <c r="C7108">
        <v>102</v>
      </c>
      <c r="D7108">
        <v>1</v>
      </c>
    </row>
    <row r="7109" spans="2:4">
      <c r="B7109">
        <v>1</v>
      </c>
      <c r="C7109">
        <v>102</v>
      </c>
      <c r="D7109">
        <v>1</v>
      </c>
    </row>
    <row r="7113" spans="2:4">
      <c r="B7113">
        <v>1</v>
      </c>
      <c r="C7113">
        <v>102</v>
      </c>
      <c r="D7113">
        <v>1</v>
      </c>
    </row>
    <row r="7116" spans="2:4">
      <c r="B7116">
        <v>1</v>
      </c>
      <c r="C7116">
        <v>102</v>
      </c>
      <c r="D7116">
        <v>1</v>
      </c>
    </row>
    <row r="7119" spans="2:4">
      <c r="B7119">
        <v>1</v>
      </c>
      <c r="C7119">
        <v>102</v>
      </c>
      <c r="D7119">
        <v>1</v>
      </c>
    </row>
    <row r="7121" spans="2:4">
      <c r="B7121">
        <v>1</v>
      </c>
      <c r="C7121">
        <v>102</v>
      </c>
      <c r="D7121">
        <v>1</v>
      </c>
    </row>
    <row r="7122" spans="2:4">
      <c r="B7122">
        <v>1</v>
      </c>
      <c r="C7122">
        <v>102</v>
      </c>
      <c r="D7122">
        <v>1</v>
      </c>
    </row>
    <row r="7123" spans="2:4">
      <c r="B7123">
        <v>1</v>
      </c>
      <c r="C7123">
        <v>102</v>
      </c>
      <c r="D7123">
        <v>1</v>
      </c>
    </row>
    <row r="7124" spans="2:4">
      <c r="B7124">
        <v>1</v>
      </c>
      <c r="C7124">
        <v>102</v>
      </c>
      <c r="D7124">
        <v>1</v>
      </c>
    </row>
    <row r="7132" spans="2:4">
      <c r="B7132">
        <v>1</v>
      </c>
      <c r="C7132">
        <v>102</v>
      </c>
      <c r="D7132">
        <v>1</v>
      </c>
    </row>
    <row r="7133" spans="2:4">
      <c r="B7133">
        <v>1</v>
      </c>
      <c r="C7133">
        <v>102</v>
      </c>
      <c r="D7133">
        <v>1</v>
      </c>
    </row>
    <row r="7138" spans="2:4">
      <c r="B7138">
        <v>1</v>
      </c>
      <c r="C7138">
        <v>102</v>
      </c>
      <c r="D7138">
        <v>1</v>
      </c>
    </row>
    <row r="7141" spans="2:4">
      <c r="B7141">
        <v>1</v>
      </c>
      <c r="C7141">
        <v>102</v>
      </c>
      <c r="D7141">
        <v>1</v>
      </c>
    </row>
    <row r="7144" spans="2:4">
      <c r="B7144">
        <v>1</v>
      </c>
      <c r="C7144">
        <v>102</v>
      </c>
      <c r="D7144">
        <v>1</v>
      </c>
    </row>
    <row r="7147" spans="2:4">
      <c r="B7147">
        <v>1</v>
      </c>
      <c r="C7147">
        <v>102</v>
      </c>
      <c r="D7147">
        <v>1</v>
      </c>
    </row>
    <row r="7150" spans="2:4">
      <c r="B7150">
        <v>1</v>
      </c>
      <c r="C7150">
        <v>102</v>
      </c>
      <c r="D7150">
        <v>1</v>
      </c>
    </row>
    <row r="7153" spans="2:4">
      <c r="B7153">
        <v>1</v>
      </c>
      <c r="C7153">
        <v>102</v>
      </c>
      <c r="D7153">
        <v>1</v>
      </c>
    </row>
    <row r="7155" spans="2:4">
      <c r="B7155">
        <v>1</v>
      </c>
      <c r="C7155">
        <v>102</v>
      </c>
      <c r="D7155">
        <v>1</v>
      </c>
    </row>
    <row r="7158" spans="2:4">
      <c r="B7158">
        <v>1</v>
      </c>
      <c r="C7158">
        <v>102</v>
      </c>
      <c r="D7158">
        <v>1</v>
      </c>
    </row>
    <row r="7160" spans="2:4">
      <c r="B7160">
        <v>1</v>
      </c>
      <c r="C7160">
        <v>102</v>
      </c>
      <c r="D7160">
        <v>1</v>
      </c>
    </row>
    <row r="7162" spans="2:4">
      <c r="B7162">
        <v>1</v>
      </c>
      <c r="C7162">
        <v>102</v>
      </c>
      <c r="D7162">
        <v>1</v>
      </c>
    </row>
    <row r="7163" spans="2:4">
      <c r="B7163">
        <v>1</v>
      </c>
      <c r="C7163">
        <v>102</v>
      </c>
      <c r="D7163">
        <v>1</v>
      </c>
    </row>
    <row r="7165" spans="2:4">
      <c r="B7165">
        <v>1</v>
      </c>
      <c r="C7165">
        <v>102</v>
      </c>
      <c r="D7165">
        <v>1</v>
      </c>
    </row>
    <row r="7168" spans="2:4">
      <c r="B7168">
        <v>1</v>
      </c>
      <c r="C7168">
        <v>102</v>
      </c>
      <c r="D7168">
        <v>1</v>
      </c>
    </row>
    <row r="7171" spans="2:4">
      <c r="B7171">
        <v>1</v>
      </c>
      <c r="C7171">
        <v>102</v>
      </c>
      <c r="D7171">
        <v>1</v>
      </c>
    </row>
    <row r="7173" spans="2:4">
      <c r="B7173">
        <v>1</v>
      </c>
      <c r="C7173">
        <v>102</v>
      </c>
      <c r="D7173">
        <v>1</v>
      </c>
    </row>
    <row r="7179" spans="2:4">
      <c r="B7179">
        <v>1</v>
      </c>
      <c r="C7179">
        <v>102</v>
      </c>
      <c r="D7179">
        <v>1</v>
      </c>
    </row>
    <row r="7184" spans="2:4">
      <c r="B7184">
        <v>1</v>
      </c>
      <c r="C7184">
        <v>102</v>
      </c>
      <c r="D7184">
        <v>1</v>
      </c>
    </row>
    <row r="7185" spans="2:4">
      <c r="B7185">
        <v>1</v>
      </c>
      <c r="C7185">
        <v>102</v>
      </c>
      <c r="D7185">
        <v>1</v>
      </c>
    </row>
    <row r="7186" spans="2:4">
      <c r="B7186">
        <v>1</v>
      </c>
      <c r="C7186">
        <v>102</v>
      </c>
      <c r="D7186">
        <v>1</v>
      </c>
    </row>
    <row r="7187" spans="2:4">
      <c r="B7187">
        <v>1</v>
      </c>
      <c r="C7187">
        <v>102</v>
      </c>
      <c r="D7187">
        <v>1</v>
      </c>
    </row>
    <row r="7191" spans="2:4">
      <c r="B7191">
        <v>1</v>
      </c>
      <c r="C7191">
        <v>102</v>
      </c>
      <c r="D7191">
        <v>1</v>
      </c>
    </row>
    <row r="7195" spans="2:4">
      <c r="B7195">
        <v>1</v>
      </c>
      <c r="C7195">
        <v>102</v>
      </c>
      <c r="D7195">
        <v>1</v>
      </c>
    </row>
    <row r="7196" spans="2:4">
      <c r="B7196">
        <v>1</v>
      </c>
      <c r="C7196">
        <v>102</v>
      </c>
      <c r="D7196">
        <v>1</v>
      </c>
    </row>
    <row r="7198" spans="2:4">
      <c r="B7198">
        <v>1</v>
      </c>
      <c r="C7198">
        <v>102</v>
      </c>
      <c r="D7198">
        <v>1</v>
      </c>
    </row>
    <row r="7203" spans="2:4">
      <c r="B7203">
        <v>1</v>
      </c>
      <c r="C7203">
        <v>102</v>
      </c>
      <c r="D7203">
        <v>1</v>
      </c>
    </row>
    <row r="7204" spans="2:4">
      <c r="B7204">
        <v>1</v>
      </c>
      <c r="C7204">
        <v>102</v>
      </c>
      <c r="D7204">
        <v>1</v>
      </c>
    </row>
    <row r="7206" spans="2:4">
      <c r="B7206">
        <v>1</v>
      </c>
      <c r="C7206">
        <v>102</v>
      </c>
      <c r="D7206">
        <v>1</v>
      </c>
    </row>
    <row r="7207" spans="2:4">
      <c r="B7207">
        <v>1</v>
      </c>
      <c r="C7207">
        <v>102</v>
      </c>
      <c r="D7207">
        <v>1</v>
      </c>
    </row>
    <row r="7210" spans="2:4">
      <c r="B7210">
        <v>1</v>
      </c>
      <c r="C7210">
        <v>102</v>
      </c>
      <c r="D7210">
        <v>1</v>
      </c>
    </row>
    <row r="7217" spans="2:4">
      <c r="B7217">
        <v>1</v>
      </c>
      <c r="C7217">
        <v>102</v>
      </c>
      <c r="D7217">
        <v>1</v>
      </c>
    </row>
    <row r="7219" spans="2:4">
      <c r="B7219">
        <v>1</v>
      </c>
      <c r="C7219">
        <v>102</v>
      </c>
      <c r="D7219">
        <v>1</v>
      </c>
    </row>
    <row r="7221" spans="2:4">
      <c r="B7221">
        <v>1</v>
      </c>
      <c r="C7221">
        <v>102</v>
      </c>
      <c r="D7221">
        <v>1</v>
      </c>
    </row>
    <row r="7223" spans="2:4">
      <c r="B7223">
        <v>1</v>
      </c>
      <c r="C7223">
        <v>102</v>
      </c>
      <c r="D7223">
        <v>1</v>
      </c>
    </row>
    <row r="7225" spans="2:4">
      <c r="B7225">
        <v>1</v>
      </c>
      <c r="C7225">
        <v>102</v>
      </c>
      <c r="D7225">
        <v>1</v>
      </c>
    </row>
    <row r="7227" spans="2:4">
      <c r="B7227">
        <v>1</v>
      </c>
      <c r="C7227">
        <v>102</v>
      </c>
      <c r="D7227">
        <v>1</v>
      </c>
    </row>
    <row r="7234" spans="2:4">
      <c r="B7234">
        <v>1</v>
      </c>
      <c r="C7234">
        <v>102</v>
      </c>
      <c r="D7234">
        <v>1</v>
      </c>
    </row>
    <row r="7239" spans="2:4">
      <c r="B7239">
        <v>1</v>
      </c>
      <c r="C7239">
        <v>102</v>
      </c>
      <c r="D7239">
        <v>1</v>
      </c>
    </row>
    <row r="7240" spans="2:4">
      <c r="B7240">
        <v>1</v>
      </c>
      <c r="C7240">
        <v>102</v>
      </c>
      <c r="D7240">
        <v>1</v>
      </c>
    </row>
    <row r="7246" spans="2:4">
      <c r="B7246">
        <v>1</v>
      </c>
      <c r="C7246">
        <v>102</v>
      </c>
      <c r="D7246">
        <v>1</v>
      </c>
    </row>
    <row r="7253" spans="2:4">
      <c r="B7253">
        <v>1</v>
      </c>
      <c r="C7253">
        <v>102</v>
      </c>
      <c r="D7253">
        <v>1</v>
      </c>
    </row>
    <row r="7254" spans="2:4">
      <c r="B7254">
        <v>1</v>
      </c>
      <c r="C7254">
        <v>102</v>
      </c>
      <c r="D7254">
        <v>1</v>
      </c>
    </row>
    <row r="7257" spans="2:4">
      <c r="B7257">
        <v>1</v>
      </c>
      <c r="C7257">
        <v>102</v>
      </c>
      <c r="D7257">
        <v>1</v>
      </c>
    </row>
    <row r="7258" spans="2:4">
      <c r="B7258">
        <v>1</v>
      </c>
      <c r="C7258">
        <v>102</v>
      </c>
      <c r="D7258">
        <v>1</v>
      </c>
    </row>
    <row r="7262" spans="2:4">
      <c r="B7262">
        <v>1</v>
      </c>
      <c r="C7262">
        <v>102</v>
      </c>
      <c r="D7262">
        <v>1</v>
      </c>
    </row>
    <row r="7264" spans="2:4">
      <c r="B7264">
        <v>1</v>
      </c>
      <c r="C7264">
        <v>102</v>
      </c>
      <c r="D7264">
        <v>1</v>
      </c>
    </row>
    <row r="7268" spans="2:4">
      <c r="B7268">
        <v>1</v>
      </c>
      <c r="C7268">
        <v>102</v>
      </c>
      <c r="D7268">
        <v>1</v>
      </c>
    </row>
    <row r="7271" spans="2:4">
      <c r="B7271">
        <v>1</v>
      </c>
      <c r="C7271">
        <v>102</v>
      </c>
      <c r="D7271">
        <v>1</v>
      </c>
    </row>
    <row r="7276" spans="2:4">
      <c r="B7276">
        <v>1</v>
      </c>
      <c r="C7276">
        <v>102</v>
      </c>
      <c r="D7276">
        <v>1</v>
      </c>
    </row>
    <row r="7277" spans="2:4">
      <c r="B7277">
        <v>1</v>
      </c>
      <c r="C7277">
        <v>102</v>
      </c>
      <c r="D7277">
        <v>1</v>
      </c>
    </row>
    <row r="7280" spans="2:4">
      <c r="B7280">
        <v>1</v>
      </c>
      <c r="C7280">
        <v>102</v>
      </c>
      <c r="D7280">
        <v>1</v>
      </c>
    </row>
    <row r="7282" spans="2:4">
      <c r="B7282">
        <v>1</v>
      </c>
      <c r="C7282">
        <v>102</v>
      </c>
      <c r="D7282">
        <v>1</v>
      </c>
    </row>
    <row r="7284" spans="2:4">
      <c r="B7284">
        <v>1</v>
      </c>
      <c r="C7284">
        <v>102</v>
      </c>
      <c r="D7284">
        <v>1</v>
      </c>
    </row>
    <row r="7289" spans="2:4">
      <c r="B7289">
        <v>1</v>
      </c>
      <c r="C7289">
        <v>102</v>
      </c>
      <c r="D7289">
        <v>1</v>
      </c>
    </row>
    <row r="7292" spans="2:4">
      <c r="B7292">
        <v>1</v>
      </c>
      <c r="C7292">
        <v>102</v>
      </c>
      <c r="D7292">
        <v>1</v>
      </c>
    </row>
    <row r="7295" spans="2:4">
      <c r="B7295">
        <v>1</v>
      </c>
      <c r="C7295">
        <v>102</v>
      </c>
      <c r="D7295">
        <v>1</v>
      </c>
    </row>
    <row r="7297" spans="2:4">
      <c r="B7297">
        <v>1</v>
      </c>
      <c r="C7297">
        <v>102</v>
      </c>
      <c r="D7297">
        <v>1</v>
      </c>
    </row>
    <row r="7302" spans="2:4">
      <c r="B7302">
        <v>1</v>
      </c>
      <c r="C7302">
        <v>102</v>
      </c>
      <c r="D7302">
        <v>1</v>
      </c>
    </row>
    <row r="7304" spans="2:4">
      <c r="B7304">
        <v>1</v>
      </c>
      <c r="C7304">
        <v>102</v>
      </c>
      <c r="D7304">
        <v>1</v>
      </c>
    </row>
    <row r="7306" spans="2:4">
      <c r="B7306">
        <v>1</v>
      </c>
      <c r="C7306">
        <v>102</v>
      </c>
      <c r="D7306">
        <v>1</v>
      </c>
    </row>
    <row r="7309" spans="2:4">
      <c r="B7309">
        <v>1</v>
      </c>
      <c r="C7309">
        <v>102</v>
      </c>
      <c r="D7309">
        <v>1</v>
      </c>
    </row>
    <row r="7311" spans="2:4">
      <c r="B7311">
        <v>1</v>
      </c>
      <c r="C7311">
        <v>102</v>
      </c>
      <c r="D7311">
        <v>1</v>
      </c>
    </row>
    <row r="7318" spans="2:4">
      <c r="B7318">
        <v>1</v>
      </c>
      <c r="C7318">
        <v>102</v>
      </c>
      <c r="D7318">
        <v>1</v>
      </c>
    </row>
    <row r="7320" spans="2:4">
      <c r="B7320">
        <v>1</v>
      </c>
      <c r="C7320">
        <v>102</v>
      </c>
      <c r="D7320">
        <v>1</v>
      </c>
    </row>
    <row r="7322" spans="2:4">
      <c r="B7322">
        <v>1</v>
      </c>
      <c r="C7322">
        <v>102</v>
      </c>
      <c r="D7322">
        <v>1</v>
      </c>
    </row>
    <row r="7327" spans="2:4">
      <c r="B7327">
        <v>1</v>
      </c>
      <c r="C7327">
        <v>102</v>
      </c>
      <c r="D7327">
        <v>1</v>
      </c>
    </row>
    <row r="7329" spans="2:4">
      <c r="B7329">
        <v>1</v>
      </c>
      <c r="C7329">
        <v>102</v>
      </c>
      <c r="D7329">
        <v>1</v>
      </c>
    </row>
    <row r="7333" spans="2:4">
      <c r="B7333">
        <v>1</v>
      </c>
      <c r="C7333">
        <v>102</v>
      </c>
      <c r="D7333">
        <v>1</v>
      </c>
    </row>
    <row r="7337" spans="2:4">
      <c r="B7337">
        <v>1</v>
      </c>
      <c r="C7337">
        <v>102</v>
      </c>
      <c r="D7337">
        <v>1</v>
      </c>
    </row>
    <row r="7341" spans="2:4">
      <c r="B7341">
        <v>1</v>
      </c>
      <c r="C7341">
        <v>102</v>
      </c>
      <c r="D7341">
        <v>1</v>
      </c>
    </row>
    <row r="7343" spans="2:4">
      <c r="B7343">
        <v>1</v>
      </c>
      <c r="C7343">
        <v>102</v>
      </c>
      <c r="D7343">
        <v>1</v>
      </c>
    </row>
    <row r="7350" spans="2:4">
      <c r="B7350">
        <v>1</v>
      </c>
      <c r="C7350">
        <v>102</v>
      </c>
      <c r="D7350">
        <v>1</v>
      </c>
    </row>
    <row r="7356" spans="2:4">
      <c r="B7356">
        <v>1</v>
      </c>
      <c r="C7356">
        <v>102</v>
      </c>
      <c r="D7356">
        <v>1</v>
      </c>
    </row>
    <row r="7358" spans="2:4">
      <c r="B7358">
        <v>1</v>
      </c>
      <c r="C7358">
        <v>102</v>
      </c>
      <c r="D7358">
        <v>1</v>
      </c>
    </row>
    <row r="7359" spans="2:4">
      <c r="B7359">
        <v>1</v>
      </c>
      <c r="C7359">
        <v>102</v>
      </c>
      <c r="D7359">
        <v>1</v>
      </c>
    </row>
    <row r="7360" spans="2:4">
      <c r="B7360">
        <v>1</v>
      </c>
      <c r="C7360">
        <v>102</v>
      </c>
      <c r="D7360">
        <v>1</v>
      </c>
    </row>
    <row r="7364" spans="2:4">
      <c r="B7364">
        <v>1</v>
      </c>
      <c r="C7364">
        <v>102</v>
      </c>
      <c r="D7364">
        <v>1</v>
      </c>
    </row>
    <row r="7365" spans="2:4">
      <c r="B7365">
        <v>1</v>
      </c>
      <c r="C7365">
        <v>102</v>
      </c>
      <c r="D7365">
        <v>1</v>
      </c>
    </row>
    <row r="7369" spans="2:4">
      <c r="B7369">
        <v>1</v>
      </c>
      <c r="C7369">
        <v>102</v>
      </c>
      <c r="D7369">
        <v>1</v>
      </c>
    </row>
    <row r="7372" spans="2:4">
      <c r="B7372">
        <v>1</v>
      </c>
      <c r="C7372">
        <v>102</v>
      </c>
      <c r="D7372">
        <v>1</v>
      </c>
    </row>
    <row r="7375" spans="2:4">
      <c r="B7375">
        <v>1</v>
      </c>
      <c r="C7375">
        <v>102</v>
      </c>
      <c r="D7375">
        <v>1</v>
      </c>
    </row>
    <row r="7377" spans="2:4">
      <c r="B7377">
        <v>1</v>
      </c>
      <c r="C7377">
        <v>102</v>
      </c>
      <c r="D7377">
        <v>1</v>
      </c>
    </row>
    <row r="7378" spans="2:4">
      <c r="B7378">
        <v>1</v>
      </c>
      <c r="C7378">
        <v>102</v>
      </c>
      <c r="D7378">
        <v>1</v>
      </c>
    </row>
    <row r="7379" spans="2:4">
      <c r="B7379">
        <v>1</v>
      </c>
      <c r="C7379">
        <v>102</v>
      </c>
      <c r="D7379">
        <v>1</v>
      </c>
    </row>
    <row r="7380" spans="2:4">
      <c r="B7380">
        <v>1</v>
      </c>
      <c r="C7380">
        <v>102</v>
      </c>
      <c r="D7380">
        <v>1</v>
      </c>
    </row>
    <row r="7388" spans="2:4">
      <c r="B7388">
        <v>1</v>
      </c>
      <c r="C7388">
        <v>102</v>
      </c>
      <c r="D7388">
        <v>1</v>
      </c>
    </row>
    <row r="7389" spans="2:4">
      <c r="B7389">
        <v>1</v>
      </c>
      <c r="C7389">
        <v>102</v>
      </c>
      <c r="D7389">
        <v>1</v>
      </c>
    </row>
    <row r="7394" spans="2:4">
      <c r="B7394">
        <v>1</v>
      </c>
      <c r="C7394">
        <v>102</v>
      </c>
      <c r="D7394">
        <v>1</v>
      </c>
    </row>
    <row r="7397" spans="2:4">
      <c r="B7397">
        <v>1</v>
      </c>
      <c r="C7397">
        <v>102</v>
      </c>
      <c r="D7397">
        <v>1</v>
      </c>
    </row>
    <row r="7400" spans="2:4">
      <c r="B7400">
        <v>1</v>
      </c>
      <c r="C7400">
        <v>102</v>
      </c>
      <c r="D7400">
        <v>1</v>
      </c>
    </row>
    <row r="7403" spans="2:4">
      <c r="B7403">
        <v>1</v>
      </c>
      <c r="C7403">
        <v>102</v>
      </c>
      <c r="D7403">
        <v>1</v>
      </c>
    </row>
    <row r="7406" spans="2:4">
      <c r="B7406">
        <v>1</v>
      </c>
      <c r="C7406">
        <v>102</v>
      </c>
      <c r="D7406">
        <v>1</v>
      </c>
    </row>
    <row r="7409" spans="2:4">
      <c r="B7409">
        <v>1</v>
      </c>
      <c r="C7409">
        <v>102</v>
      </c>
      <c r="D7409">
        <v>1</v>
      </c>
    </row>
    <row r="7411" spans="2:4">
      <c r="B7411">
        <v>1</v>
      </c>
      <c r="C7411">
        <v>102</v>
      </c>
      <c r="D7411">
        <v>1</v>
      </c>
    </row>
    <row r="7414" spans="2:4">
      <c r="B7414">
        <v>1</v>
      </c>
      <c r="C7414">
        <v>102</v>
      </c>
      <c r="D7414">
        <v>1</v>
      </c>
    </row>
    <row r="7416" spans="2:4">
      <c r="B7416">
        <v>1</v>
      </c>
      <c r="C7416">
        <v>102</v>
      </c>
      <c r="D7416">
        <v>1</v>
      </c>
    </row>
    <row r="7418" spans="2:4">
      <c r="B7418">
        <v>1</v>
      </c>
      <c r="C7418">
        <v>102</v>
      </c>
      <c r="D7418">
        <v>1</v>
      </c>
    </row>
    <row r="7419" spans="2:4">
      <c r="B7419">
        <v>1</v>
      </c>
      <c r="C7419">
        <v>102</v>
      </c>
      <c r="D7419">
        <v>1</v>
      </c>
    </row>
    <row r="7421" spans="2:4">
      <c r="B7421">
        <v>1</v>
      </c>
      <c r="C7421">
        <v>102</v>
      </c>
      <c r="D7421">
        <v>1</v>
      </c>
    </row>
    <row r="7424" spans="2:4">
      <c r="B7424">
        <v>1</v>
      </c>
      <c r="C7424">
        <v>102</v>
      </c>
      <c r="D7424">
        <v>1</v>
      </c>
    </row>
    <row r="7427" spans="2:4">
      <c r="B7427">
        <v>1</v>
      </c>
      <c r="C7427">
        <v>102</v>
      </c>
      <c r="D7427">
        <v>1</v>
      </c>
    </row>
    <row r="7429" spans="2:4">
      <c r="B7429">
        <v>1</v>
      </c>
      <c r="C7429">
        <v>102</v>
      </c>
      <c r="D7429">
        <v>1</v>
      </c>
    </row>
    <row r="7435" spans="2:4">
      <c r="B7435">
        <v>1</v>
      </c>
      <c r="C7435">
        <v>102</v>
      </c>
      <c r="D7435">
        <v>1</v>
      </c>
    </row>
    <row r="7440" spans="2:4">
      <c r="B7440">
        <v>1</v>
      </c>
      <c r="C7440">
        <v>102</v>
      </c>
      <c r="D7440">
        <v>1</v>
      </c>
    </row>
    <row r="7441" spans="2:4">
      <c r="B7441">
        <v>1</v>
      </c>
      <c r="C7441">
        <v>102</v>
      </c>
      <c r="D7441">
        <v>1</v>
      </c>
    </row>
    <row r="7442" spans="2:4">
      <c r="B7442">
        <v>1</v>
      </c>
      <c r="C7442">
        <v>102</v>
      </c>
      <c r="D7442">
        <v>1</v>
      </c>
    </row>
    <row r="7443" spans="2:4">
      <c r="B7443">
        <v>1</v>
      </c>
      <c r="C7443">
        <v>102</v>
      </c>
      <c r="D7443">
        <v>1</v>
      </c>
    </row>
    <row r="7447" spans="2:4">
      <c r="B7447">
        <v>1</v>
      </c>
      <c r="C7447">
        <v>102</v>
      </c>
      <c r="D7447">
        <v>1</v>
      </c>
    </row>
    <row r="7451" spans="2:4">
      <c r="B7451">
        <v>1</v>
      </c>
      <c r="C7451">
        <v>102</v>
      </c>
      <c r="D7451">
        <v>1</v>
      </c>
    </row>
    <row r="7452" spans="2:4">
      <c r="B7452">
        <v>1</v>
      </c>
      <c r="C7452">
        <v>102</v>
      </c>
      <c r="D7452">
        <v>1</v>
      </c>
    </row>
    <row r="7454" spans="2:4">
      <c r="B7454">
        <v>1</v>
      </c>
      <c r="C7454">
        <v>102</v>
      </c>
      <c r="D7454">
        <v>1</v>
      </c>
    </row>
    <row r="7459" spans="2:4">
      <c r="B7459">
        <v>1</v>
      </c>
      <c r="C7459">
        <v>102</v>
      </c>
      <c r="D7459">
        <v>1</v>
      </c>
    </row>
    <row r="7460" spans="2:4">
      <c r="B7460">
        <v>1</v>
      </c>
      <c r="C7460">
        <v>102</v>
      </c>
      <c r="D7460">
        <v>1</v>
      </c>
    </row>
    <row r="7462" spans="2:4">
      <c r="B7462">
        <v>1</v>
      </c>
      <c r="C7462">
        <v>102</v>
      </c>
      <c r="D7462">
        <v>1</v>
      </c>
    </row>
    <row r="7463" spans="2:4">
      <c r="B7463">
        <v>1</v>
      </c>
      <c r="C7463">
        <v>102</v>
      </c>
      <c r="D7463">
        <v>1</v>
      </c>
    </row>
    <row r="7466" spans="2:4">
      <c r="B7466">
        <v>1</v>
      </c>
      <c r="C7466">
        <v>102</v>
      </c>
      <c r="D7466">
        <v>1</v>
      </c>
    </row>
    <row r="7473" spans="2:4">
      <c r="B7473">
        <v>1</v>
      </c>
      <c r="C7473">
        <v>102</v>
      </c>
      <c r="D7473">
        <v>1</v>
      </c>
    </row>
    <row r="7475" spans="2:4">
      <c r="B7475">
        <v>1</v>
      </c>
      <c r="C7475">
        <v>102</v>
      </c>
      <c r="D7475">
        <v>1</v>
      </c>
    </row>
    <row r="7477" spans="2:4">
      <c r="B7477">
        <v>1</v>
      </c>
      <c r="C7477">
        <v>102</v>
      </c>
      <c r="D7477">
        <v>1</v>
      </c>
    </row>
    <row r="7479" spans="2:4">
      <c r="B7479">
        <v>1</v>
      </c>
      <c r="C7479">
        <v>102</v>
      </c>
      <c r="D7479">
        <v>1</v>
      </c>
    </row>
    <row r="7481" spans="2:4">
      <c r="B7481">
        <v>1</v>
      </c>
      <c r="C7481">
        <v>102</v>
      </c>
      <c r="D7481">
        <v>1</v>
      </c>
    </row>
    <row r="7483" spans="2:4">
      <c r="B7483">
        <v>1</v>
      </c>
      <c r="C7483">
        <v>102</v>
      </c>
      <c r="D7483">
        <v>1</v>
      </c>
    </row>
    <row r="7490" spans="2:4">
      <c r="B7490">
        <v>1</v>
      </c>
      <c r="C7490">
        <v>102</v>
      </c>
      <c r="D7490">
        <v>1</v>
      </c>
    </row>
    <row r="7495" spans="2:4">
      <c r="B7495">
        <v>1</v>
      </c>
      <c r="C7495">
        <v>102</v>
      </c>
      <c r="D7495">
        <v>1</v>
      </c>
    </row>
    <row r="7496" spans="2:4">
      <c r="B7496">
        <v>1</v>
      </c>
      <c r="C7496">
        <v>102</v>
      </c>
      <c r="D7496">
        <v>1</v>
      </c>
    </row>
    <row r="7502" spans="2:4">
      <c r="B7502">
        <v>1</v>
      </c>
      <c r="C7502">
        <v>102</v>
      </c>
      <c r="D7502">
        <v>1</v>
      </c>
    </row>
    <row r="7509" spans="2:4">
      <c r="B7509">
        <v>1</v>
      </c>
      <c r="C7509">
        <v>102</v>
      </c>
      <c r="D7509">
        <v>1</v>
      </c>
    </row>
    <row r="7510" spans="2:4">
      <c r="B7510">
        <v>1</v>
      </c>
      <c r="C7510">
        <v>102</v>
      </c>
      <c r="D7510">
        <v>1</v>
      </c>
    </row>
    <row r="7513" spans="2:4">
      <c r="B7513">
        <v>1</v>
      </c>
      <c r="C7513">
        <v>102</v>
      </c>
      <c r="D7513">
        <v>1</v>
      </c>
    </row>
    <row r="7514" spans="2:4">
      <c r="B7514">
        <v>1</v>
      </c>
      <c r="C7514">
        <v>102</v>
      </c>
      <c r="D7514">
        <v>1</v>
      </c>
    </row>
    <row r="7518" spans="2:4">
      <c r="B7518">
        <v>1</v>
      </c>
      <c r="C7518">
        <v>102</v>
      </c>
      <c r="D7518">
        <v>1</v>
      </c>
    </row>
    <row r="7520" spans="2:4">
      <c r="B7520">
        <v>1</v>
      </c>
      <c r="C7520">
        <v>102</v>
      </c>
      <c r="D7520">
        <v>1</v>
      </c>
    </row>
    <row r="7524" spans="2:4">
      <c r="B7524">
        <v>1</v>
      </c>
      <c r="C7524">
        <v>102</v>
      </c>
      <c r="D7524">
        <v>1</v>
      </c>
    </row>
    <row r="7527" spans="2:4">
      <c r="B7527">
        <v>1</v>
      </c>
      <c r="C7527">
        <v>102</v>
      </c>
      <c r="D7527">
        <v>1</v>
      </c>
    </row>
    <row r="7532" spans="2:4">
      <c r="B7532">
        <v>1</v>
      </c>
      <c r="C7532">
        <v>102</v>
      </c>
      <c r="D7532">
        <v>1</v>
      </c>
    </row>
    <row r="7533" spans="2:4">
      <c r="B7533">
        <v>1</v>
      </c>
      <c r="C7533">
        <v>102</v>
      </c>
      <c r="D7533">
        <v>1</v>
      </c>
    </row>
    <row r="7536" spans="2:4">
      <c r="B7536">
        <v>1</v>
      </c>
      <c r="C7536">
        <v>102</v>
      </c>
      <c r="D7536">
        <v>1</v>
      </c>
    </row>
    <row r="7538" spans="2:4">
      <c r="B7538">
        <v>1</v>
      </c>
      <c r="C7538">
        <v>102</v>
      </c>
      <c r="D7538">
        <v>1</v>
      </c>
    </row>
    <row r="7540" spans="2:4">
      <c r="B7540">
        <v>1</v>
      </c>
      <c r="C7540">
        <v>102</v>
      </c>
      <c r="D7540">
        <v>1</v>
      </c>
    </row>
    <row r="7545" spans="2:4">
      <c r="B7545">
        <v>1</v>
      </c>
      <c r="C7545">
        <v>102</v>
      </c>
      <c r="D7545">
        <v>1</v>
      </c>
    </row>
    <row r="7548" spans="2:4">
      <c r="B7548">
        <v>1</v>
      </c>
      <c r="C7548">
        <v>102</v>
      </c>
      <c r="D7548">
        <v>1</v>
      </c>
    </row>
    <row r="7551" spans="2:4">
      <c r="B7551">
        <v>1</v>
      </c>
      <c r="C7551">
        <v>102</v>
      </c>
      <c r="D7551">
        <v>1</v>
      </c>
    </row>
    <row r="7553" spans="2:4">
      <c r="B7553">
        <v>1</v>
      </c>
      <c r="C7553">
        <v>102</v>
      </c>
      <c r="D7553">
        <v>1</v>
      </c>
    </row>
    <row r="7558" spans="2:4">
      <c r="B7558">
        <v>1</v>
      </c>
      <c r="C7558">
        <v>102</v>
      </c>
      <c r="D7558">
        <v>1</v>
      </c>
    </row>
    <row r="7560" spans="2:4">
      <c r="B7560">
        <v>1</v>
      </c>
      <c r="C7560">
        <v>102</v>
      </c>
      <c r="D7560">
        <v>1</v>
      </c>
    </row>
    <row r="7562" spans="2:4">
      <c r="B7562">
        <v>1</v>
      </c>
      <c r="C7562">
        <v>102</v>
      </c>
      <c r="D7562">
        <v>1</v>
      </c>
    </row>
    <row r="7565" spans="2:4">
      <c r="B7565">
        <v>1</v>
      </c>
      <c r="C7565">
        <v>102</v>
      </c>
      <c r="D7565">
        <v>1</v>
      </c>
    </row>
    <row r="7567" spans="2:4">
      <c r="B7567">
        <v>1</v>
      </c>
      <c r="C7567">
        <v>102</v>
      </c>
      <c r="D7567">
        <v>1</v>
      </c>
    </row>
    <row r="7574" spans="2:4">
      <c r="B7574">
        <v>1</v>
      </c>
      <c r="C7574">
        <v>102</v>
      </c>
      <c r="D7574">
        <v>1</v>
      </c>
    </row>
    <row r="7576" spans="2:4">
      <c r="B7576">
        <v>1</v>
      </c>
      <c r="C7576">
        <v>102</v>
      </c>
      <c r="D7576">
        <v>1</v>
      </c>
    </row>
    <row r="7578" spans="2:4">
      <c r="B7578">
        <v>1</v>
      </c>
      <c r="C7578">
        <v>102</v>
      </c>
      <c r="D7578">
        <v>1</v>
      </c>
    </row>
    <row r="7583" spans="2:4">
      <c r="B7583">
        <v>1</v>
      </c>
      <c r="C7583">
        <v>102</v>
      </c>
      <c r="D7583">
        <v>1</v>
      </c>
    </row>
    <row r="7585" spans="2:4">
      <c r="B7585">
        <v>1</v>
      </c>
      <c r="C7585">
        <v>102</v>
      </c>
      <c r="D7585">
        <v>1</v>
      </c>
    </row>
    <row r="7589" spans="2:4">
      <c r="B7589">
        <v>1</v>
      </c>
      <c r="C7589">
        <v>102</v>
      </c>
      <c r="D7589">
        <v>1</v>
      </c>
    </row>
    <row r="7593" spans="2:4">
      <c r="B7593">
        <v>1</v>
      </c>
      <c r="C7593">
        <v>102</v>
      </c>
      <c r="D7593">
        <v>1</v>
      </c>
    </row>
    <row r="7597" spans="2:4">
      <c r="B7597">
        <v>1</v>
      </c>
      <c r="C7597">
        <v>102</v>
      </c>
      <c r="D7597">
        <v>1</v>
      </c>
    </row>
    <row r="7599" spans="2:4">
      <c r="B7599">
        <v>1</v>
      </c>
      <c r="C7599">
        <v>102</v>
      </c>
      <c r="D7599">
        <v>1</v>
      </c>
    </row>
    <row r="7606" spans="2:4">
      <c r="B7606">
        <v>1</v>
      </c>
      <c r="C7606">
        <v>102</v>
      </c>
      <c r="D7606">
        <v>1</v>
      </c>
    </row>
    <row r="7612" spans="2:4">
      <c r="B7612">
        <v>1</v>
      </c>
      <c r="C7612">
        <v>102</v>
      </c>
      <c r="D7612">
        <v>1</v>
      </c>
    </row>
    <row r="7614" spans="2:4">
      <c r="B7614">
        <v>1</v>
      </c>
      <c r="C7614">
        <v>102</v>
      </c>
      <c r="D7614">
        <v>1</v>
      </c>
    </row>
    <row r="7615" spans="2:4">
      <c r="B7615">
        <v>1</v>
      </c>
      <c r="C7615">
        <v>102</v>
      </c>
      <c r="D7615">
        <v>1</v>
      </c>
    </row>
    <row r="7616" spans="2:4">
      <c r="B7616">
        <v>1</v>
      </c>
      <c r="C7616">
        <v>102</v>
      </c>
      <c r="D7616">
        <v>1</v>
      </c>
    </row>
    <row r="7620" spans="2:4">
      <c r="B7620">
        <v>1</v>
      </c>
      <c r="C7620">
        <v>102</v>
      </c>
      <c r="D7620">
        <v>1</v>
      </c>
    </row>
    <row r="7621" spans="2:4">
      <c r="B7621">
        <v>1</v>
      </c>
      <c r="C7621">
        <v>102</v>
      </c>
      <c r="D7621">
        <v>1</v>
      </c>
    </row>
    <row r="7625" spans="2:4">
      <c r="B7625">
        <v>1</v>
      </c>
      <c r="C7625">
        <v>102</v>
      </c>
      <c r="D7625">
        <v>1</v>
      </c>
    </row>
    <row r="7628" spans="2:4">
      <c r="B7628">
        <v>1</v>
      </c>
      <c r="C7628">
        <v>102</v>
      </c>
      <c r="D7628">
        <v>1</v>
      </c>
    </row>
    <row r="7631" spans="2:4">
      <c r="B7631">
        <v>1</v>
      </c>
      <c r="C7631">
        <v>102</v>
      </c>
      <c r="D7631">
        <v>1</v>
      </c>
    </row>
    <row r="7633" spans="2:4">
      <c r="B7633">
        <v>1</v>
      </c>
      <c r="C7633">
        <v>102</v>
      </c>
      <c r="D7633">
        <v>1</v>
      </c>
    </row>
    <row r="7634" spans="2:4">
      <c r="B7634">
        <v>1</v>
      </c>
      <c r="C7634">
        <v>102</v>
      </c>
      <c r="D7634">
        <v>1</v>
      </c>
    </row>
    <row r="7635" spans="2:4">
      <c r="B7635">
        <v>1</v>
      </c>
      <c r="C7635">
        <v>102</v>
      </c>
      <c r="D7635">
        <v>1</v>
      </c>
    </row>
    <row r="7636" spans="2:4">
      <c r="B7636">
        <v>1</v>
      </c>
      <c r="C7636">
        <v>102</v>
      </c>
      <c r="D7636">
        <v>1</v>
      </c>
    </row>
    <row r="7644" spans="2:4">
      <c r="B7644">
        <v>1</v>
      </c>
      <c r="C7644">
        <v>102</v>
      </c>
      <c r="D7644">
        <v>1</v>
      </c>
    </row>
    <row r="7645" spans="2:4">
      <c r="B7645">
        <v>1</v>
      </c>
      <c r="C7645">
        <v>102</v>
      </c>
      <c r="D7645">
        <v>1</v>
      </c>
    </row>
    <row r="7650" spans="2:4">
      <c r="B7650">
        <v>1</v>
      </c>
      <c r="C7650">
        <v>102</v>
      </c>
      <c r="D7650">
        <v>1</v>
      </c>
    </row>
    <row r="7653" spans="2:4">
      <c r="B7653">
        <v>1</v>
      </c>
      <c r="C7653">
        <v>102</v>
      </c>
      <c r="D7653">
        <v>1</v>
      </c>
    </row>
    <row r="7656" spans="2:4">
      <c r="B7656">
        <v>1</v>
      </c>
      <c r="C7656">
        <v>102</v>
      </c>
      <c r="D7656">
        <v>1</v>
      </c>
    </row>
    <row r="7659" spans="2:4">
      <c r="B7659">
        <v>1</v>
      </c>
      <c r="C7659">
        <v>102</v>
      </c>
      <c r="D7659">
        <v>1</v>
      </c>
    </row>
    <row r="7662" spans="2:4">
      <c r="B7662">
        <v>1</v>
      </c>
      <c r="C7662">
        <v>102</v>
      </c>
      <c r="D7662">
        <v>1</v>
      </c>
    </row>
    <row r="7665" spans="2:4">
      <c r="B7665">
        <v>1</v>
      </c>
      <c r="C7665">
        <v>102</v>
      </c>
      <c r="D7665">
        <v>1</v>
      </c>
    </row>
    <row r="7667" spans="2:4">
      <c r="B7667">
        <v>1</v>
      </c>
      <c r="C7667">
        <v>102</v>
      </c>
      <c r="D7667">
        <v>1</v>
      </c>
    </row>
    <row r="7670" spans="2:4">
      <c r="B7670">
        <v>1</v>
      </c>
      <c r="C7670">
        <v>102</v>
      </c>
      <c r="D7670">
        <v>1</v>
      </c>
    </row>
    <row r="7672" spans="2:4">
      <c r="B7672">
        <v>1</v>
      </c>
      <c r="C7672">
        <v>102</v>
      </c>
      <c r="D7672">
        <v>1</v>
      </c>
    </row>
    <row r="7674" spans="2:4">
      <c r="B7674">
        <v>1</v>
      </c>
      <c r="C7674">
        <v>102</v>
      </c>
      <c r="D7674">
        <v>1</v>
      </c>
    </row>
    <row r="7675" spans="2:4">
      <c r="B7675">
        <v>1</v>
      </c>
      <c r="C7675">
        <v>102</v>
      </c>
      <c r="D7675">
        <v>1</v>
      </c>
    </row>
    <row r="7677" spans="2:4">
      <c r="B7677">
        <v>1</v>
      </c>
      <c r="C7677">
        <v>102</v>
      </c>
      <c r="D7677">
        <v>1</v>
      </c>
    </row>
    <row r="7680" spans="2:4">
      <c r="B7680">
        <v>1</v>
      </c>
      <c r="C7680">
        <v>102</v>
      </c>
      <c r="D7680">
        <v>1</v>
      </c>
    </row>
    <row r="7683" spans="2:4">
      <c r="B7683">
        <v>1</v>
      </c>
      <c r="C7683">
        <v>102</v>
      </c>
      <c r="D7683">
        <v>1</v>
      </c>
    </row>
    <row r="7685" spans="2:4">
      <c r="B7685">
        <v>1</v>
      </c>
      <c r="C7685">
        <v>102</v>
      </c>
      <c r="D7685">
        <v>1</v>
      </c>
    </row>
    <row r="7691" spans="2:4">
      <c r="B7691">
        <v>1</v>
      </c>
      <c r="C7691">
        <v>102</v>
      </c>
      <c r="D7691">
        <v>1</v>
      </c>
    </row>
    <row r="7696" spans="2:4">
      <c r="B7696">
        <v>1</v>
      </c>
      <c r="C7696">
        <v>102</v>
      </c>
      <c r="D7696">
        <v>1</v>
      </c>
    </row>
    <row r="7697" spans="2:4">
      <c r="B7697">
        <v>1</v>
      </c>
      <c r="C7697">
        <v>102</v>
      </c>
      <c r="D7697">
        <v>1</v>
      </c>
    </row>
    <row r="7698" spans="2:4">
      <c r="B7698">
        <v>1</v>
      </c>
      <c r="C7698">
        <v>102</v>
      </c>
      <c r="D7698">
        <v>1</v>
      </c>
    </row>
    <row r="7699" spans="2:4">
      <c r="B7699">
        <v>1</v>
      </c>
      <c r="C7699">
        <v>102</v>
      </c>
      <c r="D7699">
        <v>1</v>
      </c>
    </row>
    <row r="7703" spans="2:4">
      <c r="B7703">
        <v>1</v>
      </c>
      <c r="C7703">
        <v>102</v>
      </c>
      <c r="D7703">
        <v>1</v>
      </c>
    </row>
    <row r="7707" spans="2:4">
      <c r="B7707">
        <v>1</v>
      </c>
      <c r="C7707">
        <v>102</v>
      </c>
      <c r="D7707">
        <v>1</v>
      </c>
    </row>
    <row r="7708" spans="2:4">
      <c r="B7708">
        <v>1</v>
      </c>
      <c r="C7708">
        <v>102</v>
      </c>
      <c r="D7708">
        <v>1</v>
      </c>
    </row>
    <row r="7710" spans="2:4">
      <c r="B7710">
        <v>1</v>
      </c>
      <c r="C7710">
        <v>102</v>
      </c>
      <c r="D7710">
        <v>1</v>
      </c>
    </row>
    <row r="7715" spans="2:4">
      <c r="B7715">
        <v>1</v>
      </c>
      <c r="C7715">
        <v>102</v>
      </c>
      <c r="D7715">
        <v>1</v>
      </c>
    </row>
    <row r="7716" spans="2:4">
      <c r="B7716">
        <v>1</v>
      </c>
      <c r="C7716">
        <v>102</v>
      </c>
      <c r="D7716">
        <v>1</v>
      </c>
    </row>
    <row r="7718" spans="2:4">
      <c r="B7718">
        <v>1</v>
      </c>
      <c r="C7718">
        <v>102</v>
      </c>
      <c r="D7718">
        <v>1</v>
      </c>
    </row>
    <row r="7719" spans="2:4">
      <c r="B7719">
        <v>1</v>
      </c>
      <c r="C7719">
        <v>102</v>
      </c>
      <c r="D7719">
        <v>1</v>
      </c>
    </row>
    <row r="7722" spans="2:4">
      <c r="B7722">
        <v>1</v>
      </c>
      <c r="C7722">
        <v>102</v>
      </c>
      <c r="D7722">
        <v>1</v>
      </c>
    </row>
    <row r="7729" spans="2:4">
      <c r="B7729">
        <v>1</v>
      </c>
      <c r="C7729">
        <v>102</v>
      </c>
      <c r="D7729">
        <v>1</v>
      </c>
    </row>
    <row r="7731" spans="2:4">
      <c r="B7731">
        <v>1</v>
      </c>
      <c r="C7731">
        <v>102</v>
      </c>
      <c r="D7731">
        <v>1</v>
      </c>
    </row>
    <row r="7733" spans="2:4">
      <c r="B7733">
        <v>1</v>
      </c>
      <c r="C7733">
        <v>102</v>
      </c>
      <c r="D7733">
        <v>1</v>
      </c>
    </row>
    <row r="7735" spans="2:4">
      <c r="B7735">
        <v>1</v>
      </c>
      <c r="C7735">
        <v>102</v>
      </c>
      <c r="D7735">
        <v>1</v>
      </c>
    </row>
    <row r="7737" spans="2:4">
      <c r="B7737">
        <v>1</v>
      </c>
      <c r="C7737">
        <v>102</v>
      </c>
      <c r="D7737">
        <v>1</v>
      </c>
    </row>
    <row r="7739" spans="2:4">
      <c r="B7739">
        <v>1</v>
      </c>
      <c r="C7739">
        <v>102</v>
      </c>
      <c r="D7739">
        <v>1</v>
      </c>
    </row>
    <row r="7746" spans="2:4">
      <c r="B7746">
        <v>1</v>
      </c>
      <c r="C7746">
        <v>102</v>
      </c>
      <c r="D7746">
        <v>1</v>
      </c>
    </row>
    <row r="7751" spans="2:4">
      <c r="B7751">
        <v>1</v>
      </c>
      <c r="C7751">
        <v>102</v>
      </c>
      <c r="D7751">
        <v>1</v>
      </c>
    </row>
    <row r="7752" spans="2:4">
      <c r="B7752">
        <v>1</v>
      </c>
      <c r="C7752">
        <v>102</v>
      </c>
      <c r="D7752">
        <v>1</v>
      </c>
    </row>
    <row r="7758" spans="2:4">
      <c r="B7758">
        <v>1</v>
      </c>
      <c r="C7758">
        <v>102</v>
      </c>
      <c r="D7758">
        <v>1</v>
      </c>
    </row>
    <row r="7765" spans="2:4">
      <c r="B7765">
        <v>1</v>
      </c>
      <c r="C7765">
        <v>102</v>
      </c>
      <c r="D7765">
        <v>1</v>
      </c>
    </row>
    <row r="7766" spans="2:4">
      <c r="B7766">
        <v>1</v>
      </c>
      <c r="C7766">
        <v>102</v>
      </c>
      <c r="D7766">
        <v>1</v>
      </c>
    </row>
    <row r="7769" spans="2:4">
      <c r="B7769">
        <v>1</v>
      </c>
      <c r="C7769">
        <v>102</v>
      </c>
      <c r="D7769">
        <v>1</v>
      </c>
    </row>
    <row r="7770" spans="2:4">
      <c r="B7770">
        <v>1</v>
      </c>
      <c r="C7770">
        <v>102</v>
      </c>
      <c r="D7770">
        <v>1</v>
      </c>
    </row>
    <row r="7774" spans="2:4">
      <c r="B7774">
        <v>1</v>
      </c>
      <c r="C7774">
        <v>102</v>
      </c>
      <c r="D7774">
        <v>1</v>
      </c>
    </row>
    <row r="7776" spans="2:4">
      <c r="B7776">
        <v>1</v>
      </c>
      <c r="C7776">
        <v>102</v>
      </c>
      <c r="D7776">
        <v>1</v>
      </c>
    </row>
    <row r="7780" spans="2:4">
      <c r="B7780">
        <v>1</v>
      </c>
      <c r="C7780">
        <v>102</v>
      </c>
      <c r="D7780">
        <v>1</v>
      </c>
    </row>
    <row r="7783" spans="2:4">
      <c r="B7783">
        <v>1</v>
      </c>
      <c r="C7783">
        <v>102</v>
      </c>
      <c r="D7783">
        <v>1</v>
      </c>
    </row>
    <row r="7788" spans="2:4">
      <c r="B7788">
        <v>1</v>
      </c>
      <c r="C7788">
        <v>102</v>
      </c>
      <c r="D7788">
        <v>1</v>
      </c>
    </row>
    <row r="7789" spans="2:4">
      <c r="B7789">
        <v>1</v>
      </c>
      <c r="C7789">
        <v>102</v>
      </c>
      <c r="D7789">
        <v>1</v>
      </c>
    </row>
    <row r="7792" spans="2:4">
      <c r="B7792">
        <v>1</v>
      </c>
      <c r="C7792">
        <v>102</v>
      </c>
      <c r="D7792">
        <v>1</v>
      </c>
    </row>
    <row r="7794" spans="2:4">
      <c r="B7794">
        <v>1</v>
      </c>
      <c r="C7794">
        <v>102</v>
      </c>
      <c r="D7794">
        <v>1</v>
      </c>
    </row>
    <row r="7796" spans="2:4">
      <c r="B7796">
        <v>1</v>
      </c>
      <c r="C7796">
        <v>102</v>
      </c>
      <c r="D7796">
        <v>1</v>
      </c>
    </row>
    <row r="7801" spans="2:4">
      <c r="B7801">
        <v>1</v>
      </c>
      <c r="C7801">
        <v>102</v>
      </c>
      <c r="D7801">
        <v>1</v>
      </c>
    </row>
    <row r="7804" spans="2:4">
      <c r="B7804">
        <v>1</v>
      </c>
      <c r="C7804">
        <v>102</v>
      </c>
      <c r="D7804">
        <v>1</v>
      </c>
    </row>
    <row r="7807" spans="2:4">
      <c r="B7807">
        <v>1</v>
      </c>
      <c r="C7807">
        <v>102</v>
      </c>
      <c r="D7807">
        <v>1</v>
      </c>
    </row>
    <row r="7809" spans="2:4">
      <c r="B7809">
        <v>1</v>
      </c>
      <c r="C7809">
        <v>102</v>
      </c>
      <c r="D7809">
        <v>1</v>
      </c>
    </row>
    <row r="7814" spans="2:4">
      <c r="B7814">
        <v>1</v>
      </c>
      <c r="C7814">
        <v>102</v>
      </c>
      <c r="D7814">
        <v>1</v>
      </c>
    </row>
    <row r="7816" spans="2:4">
      <c r="B7816">
        <v>1</v>
      </c>
      <c r="C7816">
        <v>102</v>
      </c>
      <c r="D7816">
        <v>1</v>
      </c>
    </row>
    <row r="7818" spans="2:4">
      <c r="B7818">
        <v>1</v>
      </c>
      <c r="C7818">
        <v>102</v>
      </c>
      <c r="D7818">
        <v>1</v>
      </c>
    </row>
    <row r="7821" spans="2:4">
      <c r="B7821">
        <v>1</v>
      </c>
      <c r="C7821">
        <v>102</v>
      </c>
      <c r="D7821">
        <v>1</v>
      </c>
    </row>
    <row r="7823" spans="2:4">
      <c r="B7823">
        <v>1</v>
      </c>
      <c r="C7823">
        <v>102</v>
      </c>
      <c r="D7823">
        <v>1</v>
      </c>
    </row>
    <row r="7830" spans="2:4">
      <c r="B7830">
        <v>1</v>
      </c>
      <c r="C7830">
        <v>102</v>
      </c>
      <c r="D7830">
        <v>1</v>
      </c>
    </row>
    <row r="7832" spans="2:4">
      <c r="B7832">
        <v>1</v>
      </c>
      <c r="C7832">
        <v>102</v>
      </c>
      <c r="D7832">
        <v>1</v>
      </c>
    </row>
    <row r="7834" spans="2:4">
      <c r="B7834">
        <v>1</v>
      </c>
      <c r="C7834">
        <v>102</v>
      </c>
      <c r="D7834">
        <v>1</v>
      </c>
    </row>
    <row r="7839" spans="2:4">
      <c r="B7839">
        <v>1</v>
      </c>
      <c r="C7839">
        <v>102</v>
      </c>
      <c r="D7839">
        <v>1</v>
      </c>
    </row>
    <row r="7841" spans="2:4">
      <c r="B7841">
        <v>1</v>
      </c>
      <c r="C7841">
        <v>102</v>
      </c>
      <c r="D7841">
        <v>1</v>
      </c>
    </row>
    <row r="7845" spans="2:4">
      <c r="B7845">
        <v>1</v>
      </c>
      <c r="C7845">
        <v>102</v>
      </c>
      <c r="D7845">
        <v>1</v>
      </c>
    </row>
    <row r="7849" spans="2:4">
      <c r="B7849">
        <v>1</v>
      </c>
      <c r="C7849">
        <v>102</v>
      </c>
      <c r="D7849">
        <v>1</v>
      </c>
    </row>
    <row r="7853" spans="2:4">
      <c r="B7853">
        <v>1</v>
      </c>
      <c r="C7853">
        <v>102</v>
      </c>
      <c r="D7853">
        <v>1</v>
      </c>
    </row>
    <row r="7855" spans="2:4">
      <c r="B7855">
        <v>1</v>
      </c>
      <c r="C7855">
        <v>102</v>
      </c>
      <c r="D7855">
        <v>1</v>
      </c>
    </row>
    <row r="7862" spans="2:4">
      <c r="B7862">
        <v>1</v>
      </c>
      <c r="C7862">
        <v>102</v>
      </c>
      <c r="D7862">
        <v>1</v>
      </c>
    </row>
    <row r="7868" spans="2:4">
      <c r="B7868">
        <v>1</v>
      </c>
      <c r="C7868">
        <v>102</v>
      </c>
      <c r="D7868">
        <v>1</v>
      </c>
    </row>
    <row r="7870" spans="2:4">
      <c r="B7870">
        <v>1</v>
      </c>
      <c r="C7870">
        <v>102</v>
      </c>
      <c r="D7870">
        <v>1</v>
      </c>
    </row>
    <row r="7871" spans="2:4">
      <c r="B7871">
        <v>1</v>
      </c>
      <c r="C7871">
        <v>102</v>
      </c>
      <c r="D7871">
        <v>1</v>
      </c>
    </row>
    <row r="7872" spans="2:4">
      <c r="B7872">
        <v>1</v>
      </c>
      <c r="C7872">
        <v>102</v>
      </c>
      <c r="D7872">
        <v>1</v>
      </c>
    </row>
    <row r="7876" spans="2:4">
      <c r="B7876">
        <v>1</v>
      </c>
      <c r="C7876">
        <v>102</v>
      </c>
      <c r="D7876">
        <v>1</v>
      </c>
    </row>
    <row r="7877" spans="2:4">
      <c r="B7877">
        <v>1</v>
      </c>
      <c r="C7877">
        <v>102</v>
      </c>
      <c r="D7877">
        <v>1</v>
      </c>
    </row>
    <row r="7881" spans="2:4">
      <c r="B7881">
        <v>1</v>
      </c>
      <c r="C7881">
        <v>102</v>
      </c>
      <c r="D7881">
        <v>1</v>
      </c>
    </row>
    <row r="7884" spans="2:4">
      <c r="B7884">
        <v>1</v>
      </c>
      <c r="C7884">
        <v>102</v>
      </c>
      <c r="D7884">
        <v>1</v>
      </c>
    </row>
    <row r="7887" spans="2:4">
      <c r="B7887">
        <v>1</v>
      </c>
      <c r="C7887">
        <v>102</v>
      </c>
      <c r="D7887">
        <v>1</v>
      </c>
    </row>
    <row r="7889" spans="2:4">
      <c r="B7889">
        <v>1</v>
      </c>
      <c r="C7889">
        <v>102</v>
      </c>
      <c r="D7889">
        <v>1</v>
      </c>
    </row>
    <row r="7890" spans="2:4">
      <c r="B7890">
        <v>1</v>
      </c>
      <c r="C7890">
        <v>102</v>
      </c>
      <c r="D7890">
        <v>1</v>
      </c>
    </row>
    <row r="7891" spans="2:4">
      <c r="B7891">
        <v>1</v>
      </c>
      <c r="C7891">
        <v>102</v>
      </c>
      <c r="D7891">
        <v>1</v>
      </c>
    </row>
    <row r="7892" spans="2:4">
      <c r="B7892">
        <v>1</v>
      </c>
      <c r="C7892">
        <v>102</v>
      </c>
      <c r="D7892">
        <v>1</v>
      </c>
    </row>
    <row r="7900" spans="2:4">
      <c r="B7900">
        <v>1</v>
      </c>
      <c r="C7900">
        <v>102</v>
      </c>
      <c r="D7900">
        <v>1</v>
      </c>
    </row>
    <row r="7901" spans="2:4">
      <c r="B7901">
        <v>1</v>
      </c>
      <c r="C7901">
        <v>102</v>
      </c>
      <c r="D7901">
        <v>1</v>
      </c>
    </row>
    <row r="7906" spans="2:4">
      <c r="B7906">
        <v>1</v>
      </c>
      <c r="C7906">
        <v>102</v>
      </c>
      <c r="D7906">
        <v>1</v>
      </c>
    </row>
    <row r="7909" spans="2:4">
      <c r="B7909">
        <v>1</v>
      </c>
      <c r="C7909">
        <v>102</v>
      </c>
      <c r="D7909">
        <v>1</v>
      </c>
    </row>
    <row r="7912" spans="2:4">
      <c r="B7912">
        <v>1</v>
      </c>
      <c r="C7912">
        <v>102</v>
      </c>
      <c r="D7912">
        <v>1</v>
      </c>
    </row>
    <row r="7915" spans="2:4">
      <c r="B7915">
        <v>1</v>
      </c>
      <c r="C7915">
        <v>102</v>
      </c>
      <c r="D7915">
        <v>1</v>
      </c>
    </row>
    <row r="7918" spans="2:4">
      <c r="B7918">
        <v>1</v>
      </c>
      <c r="C7918">
        <v>102</v>
      </c>
      <c r="D7918">
        <v>1</v>
      </c>
    </row>
    <row r="7921" spans="2:4">
      <c r="B7921">
        <v>1</v>
      </c>
      <c r="C7921">
        <v>102</v>
      </c>
      <c r="D7921">
        <v>1</v>
      </c>
    </row>
    <row r="7923" spans="2:4">
      <c r="B7923">
        <v>1</v>
      </c>
      <c r="C7923">
        <v>102</v>
      </c>
      <c r="D7923">
        <v>1</v>
      </c>
    </row>
    <row r="7926" spans="2:4">
      <c r="B7926">
        <v>1</v>
      </c>
      <c r="C7926">
        <v>102</v>
      </c>
      <c r="D7926">
        <v>1</v>
      </c>
    </row>
    <row r="7928" spans="2:4">
      <c r="B7928">
        <v>1</v>
      </c>
      <c r="C7928">
        <v>102</v>
      </c>
      <c r="D7928">
        <v>1</v>
      </c>
    </row>
    <row r="7930" spans="2:4">
      <c r="B7930">
        <v>1</v>
      </c>
      <c r="C7930">
        <v>102</v>
      </c>
      <c r="D7930">
        <v>1</v>
      </c>
    </row>
    <row r="7931" spans="2:4">
      <c r="B7931">
        <v>1</v>
      </c>
      <c r="C7931">
        <v>102</v>
      </c>
      <c r="D7931">
        <v>1</v>
      </c>
    </row>
    <row r="7933" spans="2:4">
      <c r="B7933">
        <v>1</v>
      </c>
      <c r="C7933">
        <v>102</v>
      </c>
      <c r="D7933">
        <v>1</v>
      </c>
    </row>
    <row r="7936" spans="2:4">
      <c r="B7936">
        <v>1</v>
      </c>
      <c r="C7936">
        <v>102</v>
      </c>
      <c r="D7936">
        <v>1</v>
      </c>
    </row>
    <row r="7939" spans="2:4">
      <c r="B7939">
        <v>1</v>
      </c>
      <c r="C7939">
        <v>102</v>
      </c>
      <c r="D7939">
        <v>1</v>
      </c>
    </row>
    <row r="7941" spans="2:4">
      <c r="B7941">
        <v>1</v>
      </c>
      <c r="C7941">
        <v>102</v>
      </c>
      <c r="D7941">
        <v>1</v>
      </c>
    </row>
    <row r="7947" spans="2:4">
      <c r="B7947">
        <v>1</v>
      </c>
      <c r="C7947">
        <v>102</v>
      </c>
      <c r="D7947">
        <v>1</v>
      </c>
    </row>
    <row r="7952" spans="2:4">
      <c r="B7952">
        <v>1</v>
      </c>
      <c r="C7952">
        <v>102</v>
      </c>
      <c r="D7952">
        <v>1</v>
      </c>
    </row>
    <row r="7953" spans="2:4">
      <c r="B7953">
        <v>1</v>
      </c>
      <c r="C7953">
        <v>102</v>
      </c>
      <c r="D7953">
        <v>1</v>
      </c>
    </row>
    <row r="7954" spans="2:4">
      <c r="B7954">
        <v>1</v>
      </c>
      <c r="C7954">
        <v>102</v>
      </c>
      <c r="D7954">
        <v>1</v>
      </c>
    </row>
    <row r="7955" spans="2:4">
      <c r="B7955">
        <v>1</v>
      </c>
      <c r="C7955">
        <v>102</v>
      </c>
      <c r="D7955">
        <v>1</v>
      </c>
    </row>
    <row r="7959" spans="2:4">
      <c r="B7959">
        <v>1</v>
      </c>
      <c r="C7959">
        <v>102</v>
      </c>
      <c r="D7959">
        <v>1</v>
      </c>
    </row>
    <row r="7963" spans="2:4">
      <c r="B7963">
        <v>1</v>
      </c>
      <c r="C7963">
        <v>102</v>
      </c>
      <c r="D7963">
        <v>1</v>
      </c>
    </row>
    <row r="7964" spans="2:4">
      <c r="B7964">
        <v>1</v>
      </c>
      <c r="C7964">
        <v>102</v>
      </c>
      <c r="D7964">
        <v>1</v>
      </c>
    </row>
    <row r="7966" spans="2:4">
      <c r="B7966">
        <v>1</v>
      </c>
      <c r="C7966">
        <v>102</v>
      </c>
      <c r="D7966">
        <v>1</v>
      </c>
    </row>
    <row r="7971" spans="2:4">
      <c r="B7971">
        <v>1</v>
      </c>
      <c r="C7971">
        <v>102</v>
      </c>
      <c r="D7971">
        <v>1</v>
      </c>
    </row>
    <row r="7972" spans="2:4">
      <c r="B7972">
        <v>1</v>
      </c>
      <c r="C7972">
        <v>102</v>
      </c>
      <c r="D7972">
        <v>1</v>
      </c>
    </row>
    <row r="7974" spans="2:4">
      <c r="B7974">
        <v>1</v>
      </c>
      <c r="C7974">
        <v>102</v>
      </c>
      <c r="D7974">
        <v>1</v>
      </c>
    </row>
    <row r="7975" spans="2:4">
      <c r="B7975">
        <v>1</v>
      </c>
      <c r="C7975">
        <v>102</v>
      </c>
      <c r="D7975">
        <v>1</v>
      </c>
    </row>
    <row r="7978" spans="2:4">
      <c r="B7978">
        <v>1</v>
      </c>
      <c r="C7978">
        <v>102</v>
      </c>
      <c r="D7978">
        <v>1</v>
      </c>
    </row>
    <row r="7985" spans="2:4">
      <c r="B7985">
        <v>1</v>
      </c>
      <c r="C7985">
        <v>102</v>
      </c>
      <c r="D7985">
        <v>1</v>
      </c>
    </row>
    <row r="7987" spans="2:4">
      <c r="B7987">
        <v>1</v>
      </c>
      <c r="C7987">
        <v>102</v>
      </c>
      <c r="D7987">
        <v>1</v>
      </c>
    </row>
    <row r="7989" spans="2:4">
      <c r="B7989">
        <v>1</v>
      </c>
      <c r="C7989">
        <v>102</v>
      </c>
      <c r="D7989">
        <v>1</v>
      </c>
    </row>
    <row r="7991" spans="2:4">
      <c r="B7991">
        <v>1</v>
      </c>
      <c r="C7991">
        <v>102</v>
      </c>
      <c r="D7991">
        <v>1</v>
      </c>
    </row>
    <row r="7993" spans="2:4">
      <c r="B7993">
        <v>1</v>
      </c>
      <c r="C7993">
        <v>102</v>
      </c>
      <c r="D7993">
        <v>1</v>
      </c>
    </row>
    <row r="7995" spans="2:4">
      <c r="B7995">
        <v>1</v>
      </c>
      <c r="C7995">
        <v>102</v>
      </c>
      <c r="D7995">
        <v>1</v>
      </c>
    </row>
    <row r="8002" spans="2:4">
      <c r="B8002">
        <v>1</v>
      </c>
      <c r="C8002">
        <v>102</v>
      </c>
      <c r="D8002">
        <v>1</v>
      </c>
    </row>
    <row r="8007" spans="2:4">
      <c r="B8007">
        <v>1</v>
      </c>
      <c r="C8007">
        <v>102</v>
      </c>
      <c r="D8007">
        <v>1</v>
      </c>
    </row>
    <row r="8008" spans="2:4">
      <c r="B8008">
        <v>1</v>
      </c>
      <c r="C8008">
        <v>102</v>
      </c>
      <c r="D8008">
        <v>1</v>
      </c>
    </row>
    <row r="8014" spans="2:4">
      <c r="B8014">
        <v>1</v>
      </c>
      <c r="C8014">
        <v>102</v>
      </c>
      <c r="D8014">
        <v>1</v>
      </c>
    </row>
    <row r="8021" spans="2:4">
      <c r="B8021">
        <v>1</v>
      </c>
      <c r="C8021">
        <v>102</v>
      </c>
      <c r="D8021">
        <v>1</v>
      </c>
    </row>
    <row r="8022" spans="2:4">
      <c r="B8022">
        <v>1</v>
      </c>
      <c r="C8022">
        <v>102</v>
      </c>
      <c r="D8022">
        <v>1</v>
      </c>
    </row>
    <row r="8025" spans="2:4">
      <c r="B8025">
        <v>1</v>
      </c>
      <c r="C8025">
        <v>102</v>
      </c>
      <c r="D8025">
        <v>1</v>
      </c>
    </row>
    <row r="8026" spans="2:4">
      <c r="B8026">
        <v>1</v>
      </c>
      <c r="C8026">
        <v>102</v>
      </c>
      <c r="D8026">
        <v>1</v>
      </c>
    </row>
    <row r="8030" spans="2:4">
      <c r="B8030">
        <v>1</v>
      </c>
      <c r="C8030">
        <v>102</v>
      </c>
      <c r="D8030">
        <v>1</v>
      </c>
    </row>
    <row r="8032" spans="2:4">
      <c r="B8032">
        <v>1</v>
      </c>
      <c r="C8032">
        <v>102</v>
      </c>
      <c r="D8032">
        <v>1</v>
      </c>
    </row>
    <row r="8036" spans="2:4">
      <c r="B8036">
        <v>1</v>
      </c>
      <c r="C8036">
        <v>102</v>
      </c>
      <c r="D8036">
        <v>1</v>
      </c>
    </row>
    <row r="8039" spans="2:4">
      <c r="B8039">
        <v>1</v>
      </c>
      <c r="C8039">
        <v>102</v>
      </c>
      <c r="D8039">
        <v>1</v>
      </c>
    </row>
    <row r="8044" spans="2:4">
      <c r="B8044">
        <v>1</v>
      </c>
      <c r="C8044">
        <v>102</v>
      </c>
      <c r="D8044">
        <v>1</v>
      </c>
    </row>
    <row r="8045" spans="2:4">
      <c r="B8045">
        <v>1</v>
      </c>
      <c r="C8045">
        <v>102</v>
      </c>
      <c r="D8045">
        <v>1</v>
      </c>
    </row>
    <row r="8048" spans="2:4">
      <c r="B8048">
        <v>1</v>
      </c>
      <c r="C8048">
        <v>102</v>
      </c>
      <c r="D8048">
        <v>1</v>
      </c>
    </row>
    <row r="8050" spans="2:4">
      <c r="B8050">
        <v>1</v>
      </c>
      <c r="C8050">
        <v>102</v>
      </c>
      <c r="D8050">
        <v>1</v>
      </c>
    </row>
    <row r="8052" spans="2:4">
      <c r="B8052">
        <v>1</v>
      </c>
      <c r="C8052">
        <v>102</v>
      </c>
      <c r="D8052">
        <v>1</v>
      </c>
    </row>
    <row r="8057" spans="2:4">
      <c r="B8057">
        <v>1</v>
      </c>
      <c r="C8057">
        <v>102</v>
      </c>
      <c r="D8057">
        <v>1</v>
      </c>
    </row>
    <row r="8060" spans="2:4">
      <c r="B8060">
        <v>1</v>
      </c>
      <c r="C8060">
        <v>102</v>
      </c>
      <c r="D8060">
        <v>1</v>
      </c>
    </row>
    <row r="8063" spans="2:4">
      <c r="B8063">
        <v>1</v>
      </c>
      <c r="C8063">
        <v>102</v>
      </c>
      <c r="D8063">
        <v>1</v>
      </c>
    </row>
    <row r="8065" spans="2:4">
      <c r="B8065">
        <v>1</v>
      </c>
      <c r="C8065">
        <v>102</v>
      </c>
      <c r="D8065">
        <v>1</v>
      </c>
    </row>
    <row r="8070" spans="2:4">
      <c r="B8070">
        <v>1</v>
      </c>
      <c r="C8070">
        <v>102</v>
      </c>
      <c r="D8070">
        <v>1</v>
      </c>
    </row>
    <row r="8072" spans="2:4">
      <c r="B8072">
        <v>1</v>
      </c>
      <c r="C8072">
        <v>102</v>
      </c>
      <c r="D8072">
        <v>1</v>
      </c>
    </row>
    <row r="8074" spans="2:4">
      <c r="B8074">
        <v>1</v>
      </c>
      <c r="C8074">
        <v>102</v>
      </c>
      <c r="D8074">
        <v>1</v>
      </c>
    </row>
    <row r="8077" spans="2:4">
      <c r="B8077">
        <v>1</v>
      </c>
      <c r="C8077">
        <v>102</v>
      </c>
      <c r="D8077">
        <v>1</v>
      </c>
    </row>
    <row r="8079" spans="2:4">
      <c r="B8079">
        <v>1</v>
      </c>
      <c r="C8079">
        <v>102</v>
      </c>
      <c r="D8079">
        <v>1</v>
      </c>
    </row>
    <row r="8086" spans="2:4">
      <c r="B8086">
        <v>1</v>
      </c>
      <c r="C8086">
        <v>102</v>
      </c>
      <c r="D8086">
        <v>1</v>
      </c>
    </row>
    <row r="8088" spans="2:4">
      <c r="B8088">
        <v>1</v>
      </c>
      <c r="C8088">
        <v>102</v>
      </c>
      <c r="D8088">
        <v>1</v>
      </c>
    </row>
    <row r="8090" spans="2:4">
      <c r="B8090">
        <v>1</v>
      </c>
      <c r="C8090">
        <v>102</v>
      </c>
      <c r="D8090">
        <v>1</v>
      </c>
    </row>
    <row r="8095" spans="2:4">
      <c r="B8095">
        <v>1</v>
      </c>
      <c r="C8095">
        <v>102</v>
      </c>
      <c r="D8095">
        <v>1</v>
      </c>
    </row>
    <row r="8097" spans="2:4">
      <c r="B8097">
        <v>1</v>
      </c>
      <c r="C8097">
        <v>102</v>
      </c>
      <c r="D8097">
        <v>1</v>
      </c>
    </row>
    <row r="8101" spans="2:4">
      <c r="B8101">
        <v>1</v>
      </c>
      <c r="C8101">
        <v>102</v>
      </c>
      <c r="D8101">
        <v>1</v>
      </c>
    </row>
    <row r="8105" spans="2:4">
      <c r="B8105">
        <v>1</v>
      </c>
      <c r="C8105">
        <v>102</v>
      </c>
      <c r="D8105">
        <v>1</v>
      </c>
    </row>
    <row r="8109" spans="2:4">
      <c r="B8109">
        <v>1</v>
      </c>
      <c r="C8109">
        <v>102</v>
      </c>
      <c r="D8109">
        <v>1</v>
      </c>
    </row>
    <row r="8111" spans="2:4">
      <c r="B8111">
        <v>1</v>
      </c>
      <c r="C8111">
        <v>102</v>
      </c>
      <c r="D8111">
        <v>1</v>
      </c>
    </row>
    <row r="8118" spans="2:4">
      <c r="B8118">
        <v>1</v>
      </c>
      <c r="C8118">
        <v>102</v>
      </c>
      <c r="D8118">
        <v>1</v>
      </c>
    </row>
    <row r="8124" spans="2:4">
      <c r="B8124">
        <v>1</v>
      </c>
      <c r="C8124">
        <v>102</v>
      </c>
      <c r="D8124">
        <v>1</v>
      </c>
    </row>
    <row r="8126" spans="2:4">
      <c r="B8126">
        <v>1</v>
      </c>
      <c r="C8126">
        <v>102</v>
      </c>
      <c r="D8126">
        <v>1</v>
      </c>
    </row>
    <row r="8127" spans="2:4">
      <c r="B8127">
        <v>1</v>
      </c>
      <c r="C8127">
        <v>102</v>
      </c>
      <c r="D8127">
        <v>1</v>
      </c>
    </row>
    <row r="8128" spans="2:4">
      <c r="B8128">
        <v>1</v>
      </c>
      <c r="C8128">
        <v>102</v>
      </c>
      <c r="D8128">
        <v>1</v>
      </c>
    </row>
    <row r="8132" spans="2:4">
      <c r="B8132">
        <v>1</v>
      </c>
      <c r="C8132">
        <v>102</v>
      </c>
      <c r="D8132">
        <v>1</v>
      </c>
    </row>
    <row r="8133" spans="2:4">
      <c r="B8133">
        <v>1</v>
      </c>
      <c r="C8133">
        <v>102</v>
      </c>
      <c r="D8133">
        <v>1</v>
      </c>
    </row>
    <row r="8137" spans="2:4">
      <c r="B8137">
        <v>1</v>
      </c>
      <c r="C8137">
        <v>102</v>
      </c>
      <c r="D8137">
        <v>1</v>
      </c>
    </row>
    <row r="8140" spans="2:4">
      <c r="B8140">
        <v>1</v>
      </c>
      <c r="C8140">
        <v>102</v>
      </c>
      <c r="D8140">
        <v>1</v>
      </c>
    </row>
    <row r="8143" spans="2:4">
      <c r="B8143">
        <v>1</v>
      </c>
      <c r="C8143">
        <v>102</v>
      </c>
      <c r="D8143">
        <v>1</v>
      </c>
    </row>
    <row r="8145" spans="2:4">
      <c r="B8145">
        <v>1</v>
      </c>
      <c r="C8145">
        <v>102</v>
      </c>
      <c r="D8145">
        <v>1</v>
      </c>
    </row>
    <row r="8146" spans="2:4">
      <c r="B8146">
        <v>1</v>
      </c>
      <c r="C8146">
        <v>102</v>
      </c>
      <c r="D8146">
        <v>1</v>
      </c>
    </row>
    <row r="8147" spans="2:4">
      <c r="B8147">
        <v>1</v>
      </c>
      <c r="C8147">
        <v>102</v>
      </c>
      <c r="D8147">
        <v>1</v>
      </c>
    </row>
    <row r="8148" spans="2:4">
      <c r="B8148">
        <v>1</v>
      </c>
      <c r="C8148">
        <v>102</v>
      </c>
      <c r="D8148">
        <v>1</v>
      </c>
    </row>
    <row r="8156" spans="2:4">
      <c r="B8156">
        <v>1</v>
      </c>
      <c r="C8156">
        <v>102</v>
      </c>
      <c r="D8156">
        <v>1</v>
      </c>
    </row>
    <row r="8157" spans="2:4">
      <c r="B8157">
        <v>1</v>
      </c>
      <c r="C8157">
        <v>102</v>
      </c>
      <c r="D8157">
        <v>1</v>
      </c>
    </row>
    <row r="8162" spans="2:4">
      <c r="B8162">
        <v>1</v>
      </c>
      <c r="C8162">
        <v>102</v>
      </c>
      <c r="D8162">
        <v>1</v>
      </c>
    </row>
    <row r="8165" spans="2:4">
      <c r="B8165">
        <v>1</v>
      </c>
      <c r="C8165">
        <v>102</v>
      </c>
      <c r="D8165">
        <v>1</v>
      </c>
    </row>
    <row r="8168" spans="2:4">
      <c r="B8168">
        <v>1</v>
      </c>
      <c r="C8168">
        <v>102</v>
      </c>
      <c r="D8168">
        <v>1</v>
      </c>
    </row>
    <row r="8171" spans="2:4">
      <c r="B8171">
        <v>1</v>
      </c>
      <c r="C8171">
        <v>102</v>
      </c>
      <c r="D8171">
        <v>1</v>
      </c>
    </row>
    <row r="8174" spans="2:4">
      <c r="B8174">
        <v>1</v>
      </c>
      <c r="C8174">
        <v>102</v>
      </c>
      <c r="D8174">
        <v>1</v>
      </c>
    </row>
    <row r="8177" spans="2:4">
      <c r="B8177">
        <v>1</v>
      </c>
      <c r="C8177">
        <v>102</v>
      </c>
      <c r="D8177">
        <v>1</v>
      </c>
    </row>
    <row r="8179" spans="2:4">
      <c r="B8179">
        <v>1</v>
      </c>
      <c r="C8179">
        <v>102</v>
      </c>
      <c r="D8179">
        <v>1</v>
      </c>
    </row>
    <row r="8182" spans="2:4">
      <c r="B8182">
        <v>1</v>
      </c>
      <c r="C8182">
        <v>102</v>
      </c>
      <c r="D8182">
        <v>1</v>
      </c>
    </row>
    <row r="8184" spans="2:4">
      <c r="B8184">
        <v>1</v>
      </c>
      <c r="C8184">
        <v>102</v>
      </c>
      <c r="D8184">
        <v>1</v>
      </c>
    </row>
    <row r="8186" spans="2:4">
      <c r="B8186">
        <v>1</v>
      </c>
      <c r="C8186">
        <v>102</v>
      </c>
      <c r="D8186">
        <v>1</v>
      </c>
    </row>
    <row r="8187" spans="2:4">
      <c r="B8187">
        <v>1</v>
      </c>
      <c r="C8187">
        <v>102</v>
      </c>
      <c r="D8187">
        <v>1</v>
      </c>
    </row>
    <row r="8189" spans="2:4">
      <c r="B8189">
        <v>1</v>
      </c>
      <c r="C8189">
        <v>102</v>
      </c>
      <c r="D8189">
        <v>1</v>
      </c>
    </row>
    <row r="8192" spans="2:4">
      <c r="B8192">
        <v>1</v>
      </c>
      <c r="C8192">
        <v>102</v>
      </c>
      <c r="D8192">
        <v>1</v>
      </c>
    </row>
    <row r="8195" spans="2:4">
      <c r="B8195">
        <v>1</v>
      </c>
      <c r="C8195">
        <v>102</v>
      </c>
      <c r="D8195">
        <v>1</v>
      </c>
    </row>
    <row r="8197" spans="2:4">
      <c r="B8197">
        <v>1</v>
      </c>
      <c r="C8197">
        <v>102</v>
      </c>
      <c r="D8197">
        <v>1</v>
      </c>
    </row>
    <row r="8203" spans="2:4">
      <c r="B8203">
        <v>1</v>
      </c>
      <c r="C8203">
        <v>102</v>
      </c>
      <c r="D8203">
        <v>1</v>
      </c>
    </row>
    <row r="8208" spans="2:4">
      <c r="B8208">
        <v>1</v>
      </c>
      <c r="C8208">
        <v>102</v>
      </c>
      <c r="D8208">
        <v>1</v>
      </c>
    </row>
    <row r="8209" spans="2:4">
      <c r="B8209">
        <v>1</v>
      </c>
      <c r="C8209">
        <v>102</v>
      </c>
      <c r="D8209">
        <v>1</v>
      </c>
    </row>
    <row r="8210" spans="2:4">
      <c r="B8210">
        <v>1</v>
      </c>
      <c r="C8210">
        <v>102</v>
      </c>
      <c r="D8210">
        <v>1</v>
      </c>
    </row>
    <row r="8211" spans="2:4">
      <c r="B8211">
        <v>1</v>
      </c>
      <c r="C8211">
        <v>102</v>
      </c>
      <c r="D8211">
        <v>1</v>
      </c>
    </row>
    <row r="8215" spans="2:4">
      <c r="B8215">
        <v>1</v>
      </c>
      <c r="C8215">
        <v>102</v>
      </c>
      <c r="D8215">
        <v>1</v>
      </c>
    </row>
    <row r="8219" spans="2:4">
      <c r="B8219">
        <v>1</v>
      </c>
      <c r="C8219">
        <v>102</v>
      </c>
      <c r="D8219">
        <v>1</v>
      </c>
    </row>
    <row r="8220" spans="2:4">
      <c r="B8220">
        <v>1</v>
      </c>
      <c r="C8220">
        <v>102</v>
      </c>
      <c r="D8220">
        <v>1</v>
      </c>
    </row>
    <row r="8222" spans="2:4">
      <c r="B8222">
        <v>1</v>
      </c>
      <c r="C8222">
        <v>102</v>
      </c>
      <c r="D8222">
        <v>1</v>
      </c>
    </row>
    <row r="8227" spans="2:4">
      <c r="B8227">
        <v>1</v>
      </c>
      <c r="C8227">
        <v>102</v>
      </c>
      <c r="D8227">
        <v>1</v>
      </c>
    </row>
    <row r="8228" spans="2:4">
      <c r="B8228">
        <v>1</v>
      </c>
      <c r="C8228">
        <v>102</v>
      </c>
      <c r="D8228">
        <v>1</v>
      </c>
    </row>
    <row r="8230" spans="2:4">
      <c r="B8230">
        <v>1</v>
      </c>
      <c r="C8230">
        <v>102</v>
      </c>
      <c r="D8230">
        <v>1</v>
      </c>
    </row>
    <row r="8231" spans="2:4">
      <c r="B8231">
        <v>1</v>
      </c>
      <c r="C8231">
        <v>102</v>
      </c>
      <c r="D8231">
        <v>1</v>
      </c>
    </row>
    <row r="8234" spans="2:4">
      <c r="B8234">
        <v>1</v>
      </c>
      <c r="C8234">
        <v>102</v>
      </c>
      <c r="D8234">
        <v>1</v>
      </c>
    </row>
    <row r="8241" spans="2:4">
      <c r="B8241">
        <v>1</v>
      </c>
      <c r="C8241">
        <v>102</v>
      </c>
      <c r="D8241">
        <v>1</v>
      </c>
    </row>
    <row r="8243" spans="2:4">
      <c r="B8243">
        <v>1</v>
      </c>
      <c r="C8243">
        <v>102</v>
      </c>
      <c r="D8243">
        <v>1</v>
      </c>
    </row>
    <row r="8245" spans="2:4">
      <c r="B8245">
        <v>1</v>
      </c>
      <c r="C8245">
        <v>102</v>
      </c>
      <c r="D8245">
        <v>1</v>
      </c>
    </row>
    <row r="8247" spans="2:4">
      <c r="B8247">
        <v>1</v>
      </c>
      <c r="C8247">
        <v>102</v>
      </c>
      <c r="D8247">
        <v>1</v>
      </c>
    </row>
    <row r="8249" spans="2:4">
      <c r="B8249">
        <v>1</v>
      </c>
      <c r="C8249">
        <v>102</v>
      </c>
      <c r="D8249">
        <v>1</v>
      </c>
    </row>
    <row r="8251" spans="2:4">
      <c r="B8251">
        <v>1</v>
      </c>
      <c r="C8251">
        <v>102</v>
      </c>
      <c r="D8251">
        <v>1</v>
      </c>
    </row>
    <row r="8258" spans="2:4">
      <c r="B8258">
        <v>1</v>
      </c>
      <c r="C8258">
        <v>102</v>
      </c>
      <c r="D8258">
        <v>1</v>
      </c>
    </row>
    <row r="8263" spans="2:4">
      <c r="B8263">
        <v>1</v>
      </c>
      <c r="C8263">
        <v>102</v>
      </c>
      <c r="D8263">
        <v>1</v>
      </c>
    </row>
    <row r="8264" spans="2:4">
      <c r="B8264">
        <v>1</v>
      </c>
      <c r="C8264">
        <v>102</v>
      </c>
      <c r="D8264">
        <v>1</v>
      </c>
    </row>
    <row r="8270" spans="2:4">
      <c r="B8270">
        <v>1</v>
      </c>
      <c r="C8270">
        <v>102</v>
      </c>
      <c r="D8270">
        <v>1</v>
      </c>
    </row>
    <row r="8277" spans="2:4">
      <c r="B8277">
        <v>1</v>
      </c>
      <c r="C8277">
        <v>102</v>
      </c>
      <c r="D8277">
        <v>1</v>
      </c>
    </row>
    <row r="8278" spans="2:4">
      <c r="B8278">
        <v>1</v>
      </c>
      <c r="C8278">
        <v>102</v>
      </c>
      <c r="D8278">
        <v>1</v>
      </c>
    </row>
    <row r="8281" spans="2:4">
      <c r="B8281">
        <v>1</v>
      </c>
      <c r="C8281">
        <v>102</v>
      </c>
      <c r="D8281">
        <v>1</v>
      </c>
    </row>
    <row r="8282" spans="2:4">
      <c r="B8282">
        <v>1</v>
      </c>
      <c r="C8282">
        <v>102</v>
      </c>
      <c r="D8282">
        <v>1</v>
      </c>
    </row>
    <row r="8286" spans="2:4">
      <c r="B8286">
        <v>1</v>
      </c>
      <c r="C8286">
        <v>102</v>
      </c>
      <c r="D8286">
        <v>1</v>
      </c>
    </row>
    <row r="8288" spans="2:4">
      <c r="B8288">
        <v>1</v>
      </c>
      <c r="C8288">
        <v>102</v>
      </c>
      <c r="D8288">
        <v>1</v>
      </c>
    </row>
    <row r="8292" spans="2:4">
      <c r="B8292">
        <v>1</v>
      </c>
      <c r="C8292">
        <v>102</v>
      </c>
      <c r="D8292">
        <v>1</v>
      </c>
    </row>
    <row r="8297" spans="2:4">
      <c r="B8297">
        <v>1</v>
      </c>
      <c r="C8297">
        <v>102</v>
      </c>
      <c r="D8297">
        <v>1</v>
      </c>
    </row>
    <row r="8302" spans="2:4">
      <c r="B8302">
        <v>1</v>
      </c>
      <c r="C8302">
        <v>102</v>
      </c>
      <c r="D8302">
        <v>1</v>
      </c>
    </row>
    <row r="8303" spans="2:4">
      <c r="B8303">
        <v>1</v>
      </c>
      <c r="C8303">
        <v>102</v>
      </c>
      <c r="D8303">
        <v>1</v>
      </c>
    </row>
    <row r="8306" spans="2:4">
      <c r="B8306">
        <v>1</v>
      </c>
      <c r="C8306">
        <v>102</v>
      </c>
      <c r="D8306">
        <v>1</v>
      </c>
    </row>
    <row r="8316" spans="2:4">
      <c r="B8316">
        <v>1</v>
      </c>
      <c r="C8316">
        <v>102</v>
      </c>
      <c r="D8316">
        <v>1</v>
      </c>
    </row>
    <row r="8318" spans="2:4">
      <c r="B8318">
        <v>1</v>
      </c>
      <c r="C8318">
        <v>102</v>
      </c>
      <c r="D8318">
        <v>1</v>
      </c>
    </row>
    <row r="8319" spans="2:4">
      <c r="B8319">
        <v>1</v>
      </c>
      <c r="C8319">
        <v>102</v>
      </c>
      <c r="D8319">
        <v>1</v>
      </c>
    </row>
    <row r="8320" spans="2:4">
      <c r="B8320">
        <v>1</v>
      </c>
      <c r="C8320">
        <v>102</v>
      </c>
      <c r="D8320">
        <v>1</v>
      </c>
    </row>
    <row r="8324" spans="2:4">
      <c r="B8324">
        <v>1</v>
      </c>
      <c r="C8324">
        <v>102</v>
      </c>
      <c r="D8324">
        <v>1</v>
      </c>
    </row>
    <row r="8325" spans="2:4">
      <c r="B8325">
        <v>1</v>
      </c>
      <c r="C8325">
        <v>102</v>
      </c>
      <c r="D8325">
        <v>1</v>
      </c>
    </row>
    <row r="8329" spans="2:4">
      <c r="B8329">
        <v>1</v>
      </c>
      <c r="C8329">
        <v>102</v>
      </c>
      <c r="D8329">
        <v>1</v>
      </c>
    </row>
    <row r="8331" spans="2:4">
      <c r="B8331">
        <v>1</v>
      </c>
      <c r="C8331">
        <v>102</v>
      </c>
      <c r="D8331">
        <v>1</v>
      </c>
    </row>
    <row r="8332" spans="2:4">
      <c r="B8332">
        <v>1</v>
      </c>
      <c r="C8332">
        <v>102</v>
      </c>
      <c r="D8332">
        <v>1</v>
      </c>
    </row>
    <row r="8336" spans="2:4">
      <c r="B8336">
        <v>1</v>
      </c>
      <c r="C8336">
        <v>102</v>
      </c>
      <c r="D8336">
        <v>1</v>
      </c>
    </row>
    <row r="8340" spans="2:4">
      <c r="B8340">
        <v>1</v>
      </c>
      <c r="C8340">
        <v>102</v>
      </c>
      <c r="D8340">
        <v>1</v>
      </c>
    </row>
    <row r="8344" spans="2:4">
      <c r="B8344">
        <v>1</v>
      </c>
      <c r="C8344">
        <v>102</v>
      </c>
      <c r="D8344">
        <v>1</v>
      </c>
    </row>
    <row r="8349" spans="2:4">
      <c r="B8349">
        <v>1</v>
      </c>
      <c r="C8349">
        <v>102</v>
      </c>
      <c r="D8349">
        <v>1</v>
      </c>
    </row>
    <row r="8351" spans="2:4">
      <c r="B8351">
        <v>1</v>
      </c>
      <c r="C8351">
        <v>102</v>
      </c>
      <c r="D8351">
        <v>1</v>
      </c>
    </row>
    <row r="8354" spans="2:4">
      <c r="B8354">
        <v>1</v>
      </c>
      <c r="C8354">
        <v>102</v>
      </c>
      <c r="D8354">
        <v>1</v>
      </c>
    </row>
    <row r="8355" spans="2:4">
      <c r="B8355">
        <v>1</v>
      </c>
      <c r="C8355">
        <v>102</v>
      </c>
      <c r="D8355">
        <v>1</v>
      </c>
    </row>
    <row r="8357" spans="2:4">
      <c r="B8357">
        <v>1</v>
      </c>
      <c r="C8357">
        <v>102</v>
      </c>
      <c r="D8357">
        <v>1</v>
      </c>
    </row>
    <row r="8358" spans="2:4">
      <c r="B8358">
        <v>1</v>
      </c>
      <c r="C8358">
        <v>102</v>
      </c>
      <c r="D8358">
        <v>1</v>
      </c>
    </row>
    <row r="8360" spans="2:4">
      <c r="B8360">
        <v>1</v>
      </c>
      <c r="C8360">
        <v>102</v>
      </c>
      <c r="D8360">
        <v>1</v>
      </c>
    </row>
    <row r="8362" spans="2:4">
      <c r="B8362">
        <v>1</v>
      </c>
      <c r="C8362">
        <v>102</v>
      </c>
      <c r="D8362">
        <v>1</v>
      </c>
    </row>
    <row r="8363" spans="2:4">
      <c r="B8363">
        <v>1</v>
      </c>
      <c r="C8363">
        <v>102</v>
      </c>
      <c r="D8363">
        <v>1</v>
      </c>
    </row>
    <row r="8366" spans="2:4">
      <c r="B8366">
        <v>1</v>
      </c>
      <c r="C8366">
        <v>102</v>
      </c>
      <c r="D8366">
        <v>1</v>
      </c>
    </row>
    <row r="8369" spans="2:4">
      <c r="B8369">
        <v>1</v>
      </c>
      <c r="C8369">
        <v>102</v>
      </c>
      <c r="D8369">
        <v>1</v>
      </c>
    </row>
    <row r="8374" spans="2:4">
      <c r="B8374">
        <v>1</v>
      </c>
      <c r="C8374">
        <v>102</v>
      </c>
      <c r="D8374">
        <v>1</v>
      </c>
    </row>
    <row r="8375" spans="2:4">
      <c r="B8375">
        <v>1</v>
      </c>
      <c r="C8375">
        <v>102</v>
      </c>
      <c r="D8375">
        <v>1</v>
      </c>
    </row>
    <row r="8376" spans="2:4">
      <c r="B8376">
        <v>1</v>
      </c>
      <c r="C8376">
        <v>102</v>
      </c>
      <c r="D8376">
        <v>1</v>
      </c>
    </row>
    <row r="8378" spans="2:4">
      <c r="B8378">
        <v>1</v>
      </c>
      <c r="C8378">
        <v>102</v>
      </c>
      <c r="D8378">
        <v>1</v>
      </c>
    </row>
    <row r="8379" spans="2:4">
      <c r="B8379">
        <v>1</v>
      </c>
      <c r="C8379">
        <v>102</v>
      </c>
      <c r="D8379">
        <v>1</v>
      </c>
    </row>
    <row r="8381" spans="2:4">
      <c r="B8381">
        <v>1</v>
      </c>
      <c r="C8381">
        <v>102</v>
      </c>
      <c r="D8381">
        <v>1</v>
      </c>
    </row>
    <row r="8387" spans="2:4">
      <c r="B8387">
        <v>1</v>
      </c>
      <c r="C8387">
        <v>102</v>
      </c>
      <c r="D8387">
        <v>1</v>
      </c>
    </row>
    <row r="8395" spans="2:4">
      <c r="B8395">
        <v>1</v>
      </c>
      <c r="C8395">
        <v>102</v>
      </c>
      <c r="D8395">
        <v>1</v>
      </c>
    </row>
    <row r="8400" spans="2:4">
      <c r="B8400">
        <v>1</v>
      </c>
      <c r="C8400">
        <v>102</v>
      </c>
      <c r="D8400">
        <v>1</v>
      </c>
    </row>
    <row r="8401" spans="2:4">
      <c r="B8401">
        <v>1</v>
      </c>
      <c r="C8401">
        <v>102</v>
      </c>
      <c r="D8401">
        <v>1</v>
      </c>
    </row>
    <row r="8402" spans="2:4">
      <c r="B8402">
        <v>1</v>
      </c>
      <c r="C8402">
        <v>102</v>
      </c>
      <c r="D8402">
        <v>1</v>
      </c>
    </row>
    <row r="8403" spans="2:4">
      <c r="B8403">
        <v>1</v>
      </c>
      <c r="C8403">
        <v>102</v>
      </c>
      <c r="D8403">
        <v>1</v>
      </c>
    </row>
    <row r="8404" spans="2:4">
      <c r="B8404">
        <v>1</v>
      </c>
      <c r="C8404">
        <v>102</v>
      </c>
      <c r="D8404">
        <v>1</v>
      </c>
    </row>
    <row r="8405" spans="2:4">
      <c r="B8405">
        <v>1</v>
      </c>
      <c r="C8405">
        <v>102</v>
      </c>
      <c r="D8405">
        <v>1</v>
      </c>
    </row>
    <row r="8407" spans="2:4">
      <c r="B8407">
        <v>1</v>
      </c>
      <c r="C8407">
        <v>102</v>
      </c>
      <c r="D8407">
        <v>1</v>
      </c>
    </row>
    <row r="8411" spans="2:4">
      <c r="B8411">
        <v>1</v>
      </c>
      <c r="C8411">
        <v>102</v>
      </c>
      <c r="D8411">
        <v>1</v>
      </c>
    </row>
    <row r="8412" spans="2:4">
      <c r="B8412">
        <v>1</v>
      </c>
      <c r="C8412">
        <v>102</v>
      </c>
      <c r="D8412">
        <v>1</v>
      </c>
    </row>
    <row r="8413" spans="2:4">
      <c r="B8413">
        <v>1</v>
      </c>
      <c r="C8413">
        <v>102</v>
      </c>
      <c r="D8413">
        <v>1</v>
      </c>
    </row>
    <row r="8414" spans="2:4">
      <c r="B8414">
        <v>1</v>
      </c>
      <c r="C8414">
        <v>102</v>
      </c>
      <c r="D8414">
        <v>1</v>
      </c>
    </row>
    <row r="8419" spans="2:4">
      <c r="B8419">
        <v>1</v>
      </c>
      <c r="C8419">
        <v>102</v>
      </c>
      <c r="D8419">
        <v>1</v>
      </c>
    </row>
    <row r="8420" spans="2:4">
      <c r="B8420">
        <v>1</v>
      </c>
      <c r="C8420">
        <v>102</v>
      </c>
      <c r="D8420">
        <v>1</v>
      </c>
    </row>
    <row r="8422" spans="2:4">
      <c r="B8422">
        <v>1</v>
      </c>
      <c r="C8422">
        <v>102</v>
      </c>
      <c r="D8422">
        <v>1</v>
      </c>
    </row>
    <row r="8423" spans="2:4">
      <c r="B8423">
        <v>1</v>
      </c>
      <c r="C8423">
        <v>102</v>
      </c>
      <c r="D8423">
        <v>1</v>
      </c>
    </row>
    <row r="8426" spans="2:4">
      <c r="B8426">
        <v>1</v>
      </c>
      <c r="C8426">
        <v>102</v>
      </c>
      <c r="D8426">
        <v>1</v>
      </c>
    </row>
    <row r="8427" spans="2:4">
      <c r="B8427">
        <v>1</v>
      </c>
      <c r="C8427">
        <v>102</v>
      </c>
      <c r="D8427">
        <v>1</v>
      </c>
    </row>
    <row r="8428" spans="2:4">
      <c r="B8428">
        <v>1</v>
      </c>
      <c r="C8428">
        <v>102</v>
      </c>
      <c r="D8428">
        <v>1</v>
      </c>
    </row>
    <row r="8433" spans="2:4">
      <c r="B8433">
        <v>1</v>
      </c>
      <c r="C8433">
        <v>102</v>
      </c>
      <c r="D8433">
        <v>1</v>
      </c>
    </row>
    <row r="8435" spans="2:4">
      <c r="B8435">
        <v>1</v>
      </c>
      <c r="C8435">
        <v>102</v>
      </c>
      <c r="D8435">
        <v>1</v>
      </c>
    </row>
    <row r="8436" spans="2:4">
      <c r="B8436">
        <v>1</v>
      </c>
      <c r="C8436">
        <v>102</v>
      </c>
      <c r="D8436">
        <v>1</v>
      </c>
    </row>
    <row r="8437" spans="2:4">
      <c r="B8437">
        <v>1</v>
      </c>
      <c r="C8437">
        <v>102</v>
      </c>
      <c r="D8437">
        <v>1</v>
      </c>
    </row>
    <row r="8439" spans="2:4">
      <c r="B8439">
        <v>1</v>
      </c>
      <c r="C8439">
        <v>102</v>
      </c>
      <c r="D8439">
        <v>1</v>
      </c>
    </row>
    <row r="8440" spans="2:4">
      <c r="B8440">
        <v>1</v>
      </c>
      <c r="C8440">
        <v>102</v>
      </c>
      <c r="D8440">
        <v>1</v>
      </c>
    </row>
    <row r="8441" spans="2:4">
      <c r="B8441">
        <v>1</v>
      </c>
      <c r="C8441">
        <v>102</v>
      </c>
      <c r="D8441">
        <v>1</v>
      </c>
    </row>
    <row r="8445" spans="2:4">
      <c r="B8445">
        <v>1</v>
      </c>
      <c r="C8445">
        <v>102</v>
      </c>
      <c r="D8445">
        <v>1</v>
      </c>
    </row>
    <row r="8450" spans="2:4">
      <c r="B8450">
        <v>1</v>
      </c>
      <c r="C8450">
        <v>102</v>
      </c>
      <c r="D8450">
        <v>1</v>
      </c>
    </row>
    <row r="8455" spans="2:4">
      <c r="B8455">
        <v>1</v>
      </c>
      <c r="C8455">
        <v>102</v>
      </c>
      <c r="D8455">
        <v>1</v>
      </c>
    </row>
    <row r="8456" spans="2:4">
      <c r="B8456">
        <v>1</v>
      </c>
      <c r="C8456">
        <v>102</v>
      </c>
      <c r="D8456">
        <v>1</v>
      </c>
    </row>
    <row r="8462" spans="2:4">
      <c r="B8462">
        <v>1</v>
      </c>
      <c r="C8462">
        <v>102</v>
      </c>
      <c r="D8462">
        <v>1</v>
      </c>
    </row>
    <row r="8469" spans="2:4">
      <c r="B8469">
        <v>1</v>
      </c>
      <c r="C8469">
        <v>102</v>
      </c>
      <c r="D8469">
        <v>1</v>
      </c>
    </row>
    <row r="8470" spans="2:4">
      <c r="B8470">
        <v>1</v>
      </c>
      <c r="C8470">
        <v>102</v>
      </c>
      <c r="D8470">
        <v>1</v>
      </c>
    </row>
    <row r="8473" spans="2:4">
      <c r="B8473">
        <v>1</v>
      </c>
      <c r="C8473">
        <v>102</v>
      </c>
      <c r="D8473">
        <v>1</v>
      </c>
    </row>
    <row r="8474" spans="2:4">
      <c r="B8474">
        <v>1</v>
      </c>
      <c r="C8474">
        <v>102</v>
      </c>
      <c r="D8474">
        <v>1</v>
      </c>
    </row>
    <row r="8480" spans="2:4">
      <c r="B8480">
        <v>1</v>
      </c>
      <c r="C8480">
        <v>102</v>
      </c>
      <c r="D8480">
        <v>1</v>
      </c>
    </row>
    <row r="8481" spans="2:4">
      <c r="B8481">
        <v>1</v>
      </c>
      <c r="C8481">
        <v>102</v>
      </c>
      <c r="D8481">
        <v>1</v>
      </c>
    </row>
    <row r="8492" spans="2:4">
      <c r="B8492">
        <v>1</v>
      </c>
      <c r="C8492">
        <v>102</v>
      </c>
      <c r="D8492">
        <v>1</v>
      </c>
    </row>
    <row r="8493" spans="2:4">
      <c r="B8493">
        <v>1</v>
      </c>
      <c r="C8493">
        <v>102</v>
      </c>
      <c r="D8493">
        <v>1</v>
      </c>
    </row>
    <row r="8496" spans="2:4">
      <c r="B8496">
        <v>1</v>
      </c>
      <c r="C8496">
        <v>102</v>
      </c>
      <c r="D8496">
        <v>1</v>
      </c>
    </row>
    <row r="8498" spans="2:4">
      <c r="B8498">
        <v>1</v>
      </c>
      <c r="C8498">
        <v>102</v>
      </c>
      <c r="D8498">
        <v>1</v>
      </c>
    </row>
    <row r="8500" spans="2:4">
      <c r="B8500">
        <v>1</v>
      </c>
      <c r="C8500">
        <v>102</v>
      </c>
      <c r="D8500">
        <v>1</v>
      </c>
    </row>
    <row r="8513" spans="2:4">
      <c r="B8513">
        <v>1</v>
      </c>
      <c r="C8513">
        <v>102</v>
      </c>
      <c r="D8513">
        <v>1</v>
      </c>
    </row>
    <row r="8518" spans="2:4">
      <c r="B8518">
        <v>1</v>
      </c>
      <c r="C8518">
        <v>102</v>
      </c>
      <c r="D8518">
        <v>1</v>
      </c>
    </row>
    <row r="8521" spans="2:4">
      <c r="B8521">
        <v>1</v>
      </c>
      <c r="C8521">
        <v>102</v>
      </c>
      <c r="D8521">
        <v>1</v>
      </c>
    </row>
    <row r="8522" spans="2:4">
      <c r="B8522">
        <v>1</v>
      </c>
      <c r="C8522">
        <v>102</v>
      </c>
      <c r="D8522">
        <v>1</v>
      </c>
    </row>
    <row r="8525" spans="2:4">
      <c r="B8525">
        <v>1</v>
      </c>
      <c r="C8525">
        <v>102</v>
      </c>
      <c r="D8525">
        <v>1</v>
      </c>
    </row>
    <row r="8526" spans="2:4">
      <c r="B8526">
        <v>1</v>
      </c>
      <c r="C8526">
        <v>102</v>
      </c>
      <c r="D8526">
        <v>1</v>
      </c>
    </row>
    <row r="8527" spans="2:4">
      <c r="B8527">
        <v>1</v>
      </c>
      <c r="C8527">
        <v>102</v>
      </c>
      <c r="D8527">
        <v>1</v>
      </c>
    </row>
    <row r="8536" spans="2:4">
      <c r="B8536">
        <v>1</v>
      </c>
      <c r="C8536">
        <v>102</v>
      </c>
      <c r="D8536">
        <v>1</v>
      </c>
    </row>
    <row r="8543" spans="2:4">
      <c r="B8543">
        <v>1</v>
      </c>
      <c r="C8543">
        <v>102</v>
      </c>
      <c r="D8543">
        <v>1</v>
      </c>
    </row>
    <row r="8545" spans="2:4">
      <c r="B8545">
        <v>1</v>
      </c>
      <c r="C8545">
        <v>102</v>
      </c>
      <c r="D8545">
        <v>1</v>
      </c>
    </row>
    <row r="8546" spans="2:4">
      <c r="B8546">
        <v>1</v>
      </c>
      <c r="C8546">
        <v>102</v>
      </c>
      <c r="D8546">
        <v>1</v>
      </c>
    </row>
    <row r="8553" spans="2:4">
      <c r="B8553">
        <v>1</v>
      </c>
      <c r="C8553">
        <v>102</v>
      </c>
      <c r="D8553">
        <v>1</v>
      </c>
    </row>
    <row r="8558" spans="2:4">
      <c r="B8558">
        <v>1</v>
      </c>
      <c r="C8558">
        <v>102</v>
      </c>
      <c r="D8558">
        <v>1</v>
      </c>
    </row>
    <row r="8559" spans="2:4">
      <c r="B8559">
        <v>1</v>
      </c>
      <c r="C8559">
        <v>102</v>
      </c>
      <c r="D8559">
        <v>1</v>
      </c>
    </row>
    <row r="8562" spans="2:4">
      <c r="B8562">
        <v>1</v>
      </c>
      <c r="C8562">
        <v>102</v>
      </c>
      <c r="D8562">
        <v>1</v>
      </c>
    </row>
    <row r="8572" spans="2:4">
      <c r="B8572">
        <v>1</v>
      </c>
      <c r="C8572">
        <v>102</v>
      </c>
      <c r="D8572">
        <v>1</v>
      </c>
    </row>
    <row r="8574" spans="2:4">
      <c r="B8574">
        <v>1</v>
      </c>
      <c r="C8574">
        <v>102</v>
      </c>
      <c r="D8574">
        <v>1</v>
      </c>
    </row>
    <row r="8575" spans="2:4">
      <c r="B8575">
        <v>1</v>
      </c>
      <c r="C8575">
        <v>102</v>
      </c>
      <c r="D8575">
        <v>1</v>
      </c>
    </row>
    <row r="8576" spans="2:4">
      <c r="B8576">
        <v>1</v>
      </c>
      <c r="C8576">
        <v>102</v>
      </c>
      <c r="D8576">
        <v>1</v>
      </c>
    </row>
    <row r="8580" spans="2:4">
      <c r="B8580">
        <v>1</v>
      </c>
      <c r="C8580">
        <v>102</v>
      </c>
      <c r="D8580">
        <v>1</v>
      </c>
    </row>
    <row r="8581" spans="2:4">
      <c r="B8581">
        <v>1</v>
      </c>
      <c r="C8581">
        <v>102</v>
      </c>
      <c r="D8581">
        <v>1</v>
      </c>
    </row>
    <row r="8585" spans="2:4">
      <c r="B8585">
        <v>1</v>
      </c>
      <c r="C8585">
        <v>102</v>
      </c>
      <c r="D8585">
        <v>1</v>
      </c>
    </row>
    <row r="8587" spans="2:4">
      <c r="B8587">
        <v>1</v>
      </c>
      <c r="C8587">
        <v>102</v>
      </c>
      <c r="D8587">
        <v>1</v>
      </c>
    </row>
    <row r="8588" spans="2:4">
      <c r="B8588">
        <v>1</v>
      </c>
      <c r="C8588">
        <v>102</v>
      </c>
      <c r="D8588">
        <v>1</v>
      </c>
    </row>
    <row r="8592" spans="2:4">
      <c r="B8592">
        <v>1</v>
      </c>
      <c r="C8592">
        <v>102</v>
      </c>
      <c r="D8592">
        <v>1</v>
      </c>
    </row>
    <row r="8596" spans="2:4">
      <c r="B8596">
        <v>1</v>
      </c>
      <c r="C8596">
        <v>102</v>
      </c>
      <c r="D8596">
        <v>1</v>
      </c>
    </row>
    <row r="8600" spans="2:4">
      <c r="B8600">
        <v>1</v>
      </c>
      <c r="C8600">
        <v>102</v>
      </c>
      <c r="D8600">
        <v>1</v>
      </c>
    </row>
    <row r="8605" spans="2:4">
      <c r="B8605">
        <v>1</v>
      </c>
      <c r="C8605">
        <v>102</v>
      </c>
      <c r="D8605">
        <v>1</v>
      </c>
    </row>
    <row r="8607" spans="2:4">
      <c r="B8607">
        <v>1</v>
      </c>
      <c r="C8607">
        <v>102</v>
      </c>
      <c r="D8607">
        <v>1</v>
      </c>
    </row>
    <row r="8610" spans="2:4">
      <c r="B8610">
        <v>1</v>
      </c>
      <c r="C8610">
        <v>102</v>
      </c>
      <c r="D8610">
        <v>1</v>
      </c>
    </row>
    <row r="8611" spans="2:4">
      <c r="B8611">
        <v>1</v>
      </c>
      <c r="C8611">
        <v>102</v>
      </c>
      <c r="D8611">
        <v>1</v>
      </c>
    </row>
    <row r="8613" spans="2:4">
      <c r="B8613">
        <v>1</v>
      </c>
      <c r="C8613">
        <v>102</v>
      </c>
      <c r="D8613">
        <v>1</v>
      </c>
    </row>
    <row r="8614" spans="2:4">
      <c r="B8614">
        <v>1</v>
      </c>
      <c r="C8614">
        <v>102</v>
      </c>
      <c r="D8614">
        <v>1</v>
      </c>
    </row>
    <row r="8616" spans="2:4">
      <c r="B8616">
        <v>1</v>
      </c>
      <c r="C8616">
        <v>102</v>
      </c>
      <c r="D8616">
        <v>1</v>
      </c>
    </row>
    <row r="8618" spans="2:4">
      <c r="B8618">
        <v>1</v>
      </c>
      <c r="C8618">
        <v>102</v>
      </c>
      <c r="D8618">
        <v>1</v>
      </c>
    </row>
    <row r="8619" spans="2:4">
      <c r="B8619">
        <v>1</v>
      </c>
      <c r="C8619">
        <v>102</v>
      </c>
      <c r="D8619">
        <v>1</v>
      </c>
    </row>
    <row r="8622" spans="2:4">
      <c r="B8622">
        <v>1</v>
      </c>
      <c r="C8622">
        <v>102</v>
      </c>
      <c r="D8622">
        <v>1</v>
      </c>
    </row>
    <row r="8625" spans="2:4">
      <c r="B8625">
        <v>1</v>
      </c>
      <c r="C8625">
        <v>102</v>
      </c>
      <c r="D8625">
        <v>1</v>
      </c>
    </row>
    <row r="8630" spans="2:4">
      <c r="B8630">
        <v>1</v>
      </c>
      <c r="C8630">
        <v>102</v>
      </c>
      <c r="D8630">
        <v>1</v>
      </c>
    </row>
    <row r="8631" spans="2:4">
      <c r="B8631">
        <v>1</v>
      </c>
      <c r="C8631">
        <v>102</v>
      </c>
      <c r="D8631">
        <v>1</v>
      </c>
    </row>
    <row r="8632" spans="2:4">
      <c r="B8632">
        <v>1</v>
      </c>
      <c r="C8632">
        <v>102</v>
      </c>
      <c r="D8632">
        <v>1</v>
      </c>
    </row>
    <row r="8634" spans="2:4">
      <c r="B8634">
        <v>1</v>
      </c>
      <c r="C8634">
        <v>102</v>
      </c>
      <c r="D8634">
        <v>1</v>
      </c>
    </row>
    <row r="8635" spans="2:4">
      <c r="B8635">
        <v>1</v>
      </c>
      <c r="C8635">
        <v>102</v>
      </c>
      <c r="D8635">
        <v>1</v>
      </c>
    </row>
    <row r="8637" spans="2:4">
      <c r="B8637">
        <v>1</v>
      </c>
      <c r="C8637">
        <v>102</v>
      </c>
      <c r="D8637">
        <v>1</v>
      </c>
    </row>
    <row r="8643" spans="2:4">
      <c r="B8643">
        <v>1</v>
      </c>
      <c r="C8643">
        <v>102</v>
      </c>
      <c r="D8643">
        <v>1</v>
      </c>
    </row>
    <row r="8651" spans="2:4">
      <c r="B8651">
        <v>1</v>
      </c>
      <c r="C8651">
        <v>102</v>
      </c>
      <c r="D8651">
        <v>1</v>
      </c>
    </row>
    <row r="8656" spans="2:4">
      <c r="B8656">
        <v>1</v>
      </c>
      <c r="C8656">
        <v>102</v>
      </c>
      <c r="D8656">
        <v>1</v>
      </c>
    </row>
    <row r="8657" spans="2:4">
      <c r="B8657">
        <v>1</v>
      </c>
      <c r="C8657">
        <v>102</v>
      </c>
      <c r="D8657">
        <v>1</v>
      </c>
    </row>
    <row r="8658" spans="2:4">
      <c r="B8658">
        <v>1</v>
      </c>
      <c r="C8658">
        <v>102</v>
      </c>
      <c r="D8658">
        <v>1</v>
      </c>
    </row>
    <row r="8659" spans="2:4">
      <c r="B8659">
        <v>1</v>
      </c>
      <c r="C8659">
        <v>102</v>
      </c>
      <c r="D8659">
        <v>1</v>
      </c>
    </row>
    <row r="8660" spans="2:4">
      <c r="B8660">
        <v>1</v>
      </c>
      <c r="C8660">
        <v>102</v>
      </c>
      <c r="D8660">
        <v>1</v>
      </c>
    </row>
    <row r="8661" spans="2:4">
      <c r="B8661">
        <v>1</v>
      </c>
      <c r="C8661">
        <v>102</v>
      </c>
      <c r="D8661">
        <v>1</v>
      </c>
    </row>
    <row r="8663" spans="2:4">
      <c r="B8663">
        <v>1</v>
      </c>
      <c r="C8663">
        <v>102</v>
      </c>
      <c r="D8663">
        <v>1</v>
      </c>
    </row>
    <row r="8667" spans="2:4">
      <c r="B8667">
        <v>1</v>
      </c>
      <c r="C8667">
        <v>102</v>
      </c>
      <c r="D8667">
        <v>1</v>
      </c>
    </row>
    <row r="8668" spans="2:4">
      <c r="B8668">
        <v>1</v>
      </c>
      <c r="C8668">
        <v>102</v>
      </c>
      <c r="D8668">
        <v>1</v>
      </c>
    </row>
    <row r="8669" spans="2:4">
      <c r="B8669">
        <v>1</v>
      </c>
      <c r="C8669">
        <v>102</v>
      </c>
      <c r="D8669">
        <v>1</v>
      </c>
    </row>
    <row r="8670" spans="2:4">
      <c r="B8670">
        <v>1</v>
      </c>
      <c r="C8670">
        <v>102</v>
      </c>
      <c r="D8670">
        <v>1</v>
      </c>
    </row>
    <row r="8675" spans="2:4">
      <c r="B8675">
        <v>1</v>
      </c>
      <c r="C8675">
        <v>102</v>
      </c>
      <c r="D8675">
        <v>1</v>
      </c>
    </row>
    <row r="8676" spans="2:4">
      <c r="B8676">
        <v>1</v>
      </c>
      <c r="C8676">
        <v>102</v>
      </c>
      <c r="D8676">
        <v>1</v>
      </c>
    </row>
    <row r="8678" spans="2:4">
      <c r="B8678">
        <v>1</v>
      </c>
      <c r="C8678">
        <v>102</v>
      </c>
      <c r="D8678">
        <v>1</v>
      </c>
    </row>
    <row r="8679" spans="2:4">
      <c r="B8679">
        <v>1</v>
      </c>
      <c r="C8679">
        <v>102</v>
      </c>
      <c r="D8679">
        <v>1</v>
      </c>
    </row>
    <row r="8682" spans="2:4">
      <c r="B8682">
        <v>1</v>
      </c>
      <c r="C8682">
        <v>102</v>
      </c>
      <c r="D8682">
        <v>1</v>
      </c>
    </row>
    <row r="8683" spans="2:4">
      <c r="B8683">
        <v>1</v>
      </c>
      <c r="C8683">
        <v>102</v>
      </c>
      <c r="D8683">
        <v>1</v>
      </c>
    </row>
    <row r="8684" spans="2:4">
      <c r="B8684">
        <v>1</v>
      </c>
      <c r="C8684">
        <v>102</v>
      </c>
      <c r="D8684">
        <v>1</v>
      </c>
    </row>
    <row r="8689" spans="2:4">
      <c r="B8689">
        <v>1</v>
      </c>
      <c r="C8689">
        <v>102</v>
      </c>
      <c r="D8689">
        <v>1</v>
      </c>
    </row>
    <row r="8691" spans="2:4">
      <c r="B8691">
        <v>1</v>
      </c>
      <c r="C8691">
        <v>102</v>
      </c>
      <c r="D8691">
        <v>1</v>
      </c>
    </row>
    <row r="8692" spans="2:4">
      <c r="B8692">
        <v>1</v>
      </c>
      <c r="C8692">
        <v>102</v>
      </c>
      <c r="D8692">
        <v>1</v>
      </c>
    </row>
    <row r="8693" spans="2:4">
      <c r="B8693">
        <v>1</v>
      </c>
      <c r="C8693">
        <v>102</v>
      </c>
      <c r="D8693">
        <v>1</v>
      </c>
    </row>
    <row r="8695" spans="2:4">
      <c r="B8695">
        <v>1</v>
      </c>
      <c r="C8695">
        <v>102</v>
      </c>
      <c r="D8695">
        <v>1</v>
      </c>
    </row>
    <row r="8696" spans="2:4">
      <c r="B8696">
        <v>1</v>
      </c>
      <c r="C8696">
        <v>102</v>
      </c>
      <c r="D8696">
        <v>1</v>
      </c>
    </row>
    <row r="8697" spans="2:4">
      <c r="B8697">
        <v>1</v>
      </c>
      <c r="C8697">
        <v>102</v>
      </c>
      <c r="D8697">
        <v>1</v>
      </c>
    </row>
    <row r="8701" spans="2:4">
      <c r="B8701">
        <v>1</v>
      </c>
      <c r="C8701">
        <v>102</v>
      </c>
      <c r="D8701">
        <v>1</v>
      </c>
    </row>
    <row r="8706" spans="2:4">
      <c r="B8706">
        <v>1</v>
      </c>
      <c r="C8706">
        <v>102</v>
      </c>
      <c r="D8706">
        <v>1</v>
      </c>
    </row>
    <row r="8711" spans="2:4">
      <c r="B8711">
        <v>1</v>
      </c>
      <c r="C8711">
        <v>102</v>
      </c>
      <c r="D8711">
        <v>1</v>
      </c>
    </row>
    <row r="8712" spans="2:4">
      <c r="B8712">
        <v>1</v>
      </c>
      <c r="C8712">
        <v>102</v>
      </c>
      <c r="D8712">
        <v>1</v>
      </c>
    </row>
    <row r="8718" spans="2:4">
      <c r="B8718">
        <v>1</v>
      </c>
      <c r="C8718">
        <v>102</v>
      </c>
      <c r="D8718">
        <v>1</v>
      </c>
    </row>
    <row r="8725" spans="2:4">
      <c r="B8725">
        <v>1</v>
      </c>
      <c r="C8725">
        <v>102</v>
      </c>
      <c r="D8725">
        <v>1</v>
      </c>
    </row>
    <row r="8726" spans="2:4">
      <c r="B8726">
        <v>1</v>
      </c>
      <c r="C8726">
        <v>102</v>
      </c>
      <c r="D8726">
        <v>1</v>
      </c>
    </row>
    <row r="8729" spans="2:4">
      <c r="B8729">
        <v>1</v>
      </c>
      <c r="C8729">
        <v>102</v>
      </c>
      <c r="D8729">
        <v>1</v>
      </c>
    </row>
    <row r="8730" spans="2:4">
      <c r="B8730">
        <v>1</v>
      </c>
      <c r="C8730">
        <v>102</v>
      </c>
      <c r="D8730">
        <v>1</v>
      </c>
    </row>
    <row r="8736" spans="2:4">
      <c r="B8736">
        <v>1</v>
      </c>
      <c r="C8736">
        <v>102</v>
      </c>
      <c r="D8736">
        <v>1</v>
      </c>
    </row>
    <row r="8737" spans="2:4">
      <c r="B8737">
        <v>1</v>
      </c>
      <c r="C8737">
        <v>102</v>
      </c>
      <c r="D8737">
        <v>1</v>
      </c>
    </row>
    <row r="8748" spans="2:4">
      <c r="B8748">
        <v>1</v>
      </c>
      <c r="C8748">
        <v>102</v>
      </c>
      <c r="D8748">
        <v>1</v>
      </c>
    </row>
    <row r="8749" spans="2:4">
      <c r="B8749">
        <v>1</v>
      </c>
      <c r="C8749">
        <v>102</v>
      </c>
      <c r="D8749">
        <v>1</v>
      </c>
    </row>
    <row r="8752" spans="2:4">
      <c r="B8752">
        <v>1</v>
      </c>
      <c r="C8752">
        <v>102</v>
      </c>
      <c r="D8752">
        <v>1</v>
      </c>
    </row>
    <row r="8754" spans="2:4">
      <c r="B8754">
        <v>1</v>
      </c>
      <c r="C8754">
        <v>102</v>
      </c>
      <c r="D8754">
        <v>1</v>
      </c>
    </row>
    <row r="8756" spans="2:4">
      <c r="B8756">
        <v>1</v>
      </c>
      <c r="C8756">
        <v>102</v>
      </c>
      <c r="D8756">
        <v>1</v>
      </c>
    </row>
    <row r="8769" spans="2:4">
      <c r="B8769">
        <v>1</v>
      </c>
      <c r="C8769">
        <v>102</v>
      </c>
      <c r="D8769">
        <v>1</v>
      </c>
    </row>
    <row r="8774" spans="2:4">
      <c r="B8774">
        <v>1</v>
      </c>
      <c r="C8774">
        <v>102</v>
      </c>
      <c r="D8774">
        <v>1</v>
      </c>
    </row>
    <row r="8777" spans="2:4">
      <c r="B8777">
        <v>1</v>
      </c>
      <c r="C8777">
        <v>102</v>
      </c>
      <c r="D8777">
        <v>1</v>
      </c>
    </row>
    <row r="8778" spans="2:4">
      <c r="B8778">
        <v>1</v>
      </c>
      <c r="C8778">
        <v>102</v>
      </c>
      <c r="D8778">
        <v>1</v>
      </c>
    </row>
    <row r="8781" spans="2:4">
      <c r="B8781">
        <v>1</v>
      </c>
      <c r="C8781">
        <v>102</v>
      </c>
      <c r="D8781">
        <v>1</v>
      </c>
    </row>
    <row r="8782" spans="2:4">
      <c r="B8782">
        <v>1</v>
      </c>
      <c r="C8782">
        <v>102</v>
      </c>
      <c r="D8782">
        <v>1</v>
      </c>
    </row>
    <row r="8783" spans="2:4">
      <c r="B8783">
        <v>1</v>
      </c>
      <c r="C8783">
        <v>102</v>
      </c>
      <c r="D8783">
        <v>1</v>
      </c>
    </row>
    <row r="8792" spans="2:4">
      <c r="B8792">
        <v>1</v>
      </c>
      <c r="C8792">
        <v>102</v>
      </c>
      <c r="D8792">
        <v>1</v>
      </c>
    </row>
    <row r="8799" spans="2:4">
      <c r="B8799">
        <v>1</v>
      </c>
      <c r="C8799">
        <v>102</v>
      </c>
      <c r="D8799">
        <v>1</v>
      </c>
    </row>
    <row r="8801" spans="2:4">
      <c r="B8801">
        <v>1</v>
      </c>
      <c r="C8801">
        <v>102</v>
      </c>
      <c r="D8801">
        <v>1</v>
      </c>
    </row>
    <row r="8802" spans="2:4">
      <c r="B8802">
        <v>1</v>
      </c>
      <c r="C8802">
        <v>102</v>
      </c>
      <c r="D8802">
        <v>1</v>
      </c>
    </row>
    <row r="8809" spans="2:4">
      <c r="B8809">
        <v>1</v>
      </c>
      <c r="C8809">
        <v>102</v>
      </c>
      <c r="D8809">
        <v>1</v>
      </c>
    </row>
    <row r="8814" spans="2:4">
      <c r="B8814">
        <v>1</v>
      </c>
      <c r="C8814">
        <v>102</v>
      </c>
      <c r="D8814">
        <v>1</v>
      </c>
    </row>
    <row r="8815" spans="2:4">
      <c r="B8815">
        <v>1</v>
      </c>
      <c r="C8815">
        <v>102</v>
      </c>
      <c r="D8815">
        <v>1</v>
      </c>
    </row>
    <row r="8818" spans="2:4">
      <c r="B8818">
        <v>1</v>
      </c>
      <c r="C8818">
        <v>102</v>
      </c>
      <c r="D8818">
        <v>1</v>
      </c>
    </row>
    <row r="8828" spans="2:4">
      <c r="B8828">
        <v>1</v>
      </c>
      <c r="C8828">
        <v>102</v>
      </c>
      <c r="D8828">
        <v>1</v>
      </c>
    </row>
    <row r="8830" spans="2:4">
      <c r="B8830">
        <v>1</v>
      </c>
      <c r="C8830">
        <v>102</v>
      </c>
      <c r="D8830">
        <v>1</v>
      </c>
    </row>
    <row r="8831" spans="2:4">
      <c r="B8831">
        <v>1</v>
      </c>
      <c r="C8831">
        <v>102</v>
      </c>
      <c r="D8831">
        <v>1</v>
      </c>
    </row>
    <row r="8832" spans="2:4">
      <c r="B8832">
        <v>1</v>
      </c>
      <c r="C8832">
        <v>102</v>
      </c>
      <c r="D8832">
        <v>1</v>
      </c>
    </row>
    <row r="8836" spans="2:4">
      <c r="B8836">
        <v>1</v>
      </c>
      <c r="C8836">
        <v>102</v>
      </c>
      <c r="D8836">
        <v>1</v>
      </c>
    </row>
    <row r="8837" spans="2:4">
      <c r="B8837">
        <v>1</v>
      </c>
      <c r="C8837">
        <v>102</v>
      </c>
      <c r="D8837">
        <v>1</v>
      </c>
    </row>
    <row r="8841" spans="2:4">
      <c r="B8841">
        <v>1</v>
      </c>
      <c r="C8841">
        <v>102</v>
      </c>
      <c r="D8841">
        <v>1</v>
      </c>
    </row>
    <row r="8843" spans="2:4">
      <c r="B8843">
        <v>1</v>
      </c>
      <c r="C8843">
        <v>102</v>
      </c>
      <c r="D8843">
        <v>1</v>
      </c>
    </row>
    <row r="8844" spans="2:4">
      <c r="B8844">
        <v>1</v>
      </c>
      <c r="C8844">
        <v>102</v>
      </c>
      <c r="D8844">
        <v>1</v>
      </c>
    </row>
    <row r="8848" spans="2:4">
      <c r="B8848">
        <v>1</v>
      </c>
      <c r="C8848">
        <v>102</v>
      </c>
      <c r="D8848">
        <v>1</v>
      </c>
    </row>
    <row r="8852" spans="2:4">
      <c r="B8852">
        <v>1</v>
      </c>
      <c r="C8852">
        <v>102</v>
      </c>
      <c r="D8852">
        <v>1</v>
      </c>
    </row>
    <row r="8856" spans="2:4">
      <c r="B8856">
        <v>1</v>
      </c>
      <c r="C8856">
        <v>102</v>
      </c>
      <c r="D8856">
        <v>1</v>
      </c>
    </row>
    <row r="8861" spans="2:4">
      <c r="B8861">
        <v>1</v>
      </c>
      <c r="C8861">
        <v>102</v>
      </c>
      <c r="D8861">
        <v>1</v>
      </c>
    </row>
    <row r="8863" spans="2:4">
      <c r="B8863">
        <v>1</v>
      </c>
      <c r="C8863">
        <v>102</v>
      </c>
      <c r="D8863">
        <v>1</v>
      </c>
    </row>
    <row r="8866" spans="2:4">
      <c r="B8866">
        <v>1</v>
      </c>
      <c r="C8866">
        <v>102</v>
      </c>
      <c r="D8866">
        <v>1</v>
      </c>
    </row>
    <row r="8867" spans="2:4">
      <c r="B8867">
        <v>1</v>
      </c>
      <c r="C8867">
        <v>102</v>
      </c>
      <c r="D8867">
        <v>1</v>
      </c>
    </row>
    <row r="8869" spans="2:4">
      <c r="B8869">
        <v>1</v>
      </c>
      <c r="C8869">
        <v>102</v>
      </c>
      <c r="D8869">
        <v>1</v>
      </c>
    </row>
    <row r="8870" spans="2:4">
      <c r="B8870">
        <v>1</v>
      </c>
      <c r="C8870">
        <v>102</v>
      </c>
      <c r="D8870">
        <v>1</v>
      </c>
    </row>
    <row r="8872" spans="2:4">
      <c r="B8872">
        <v>1</v>
      </c>
      <c r="C8872">
        <v>102</v>
      </c>
      <c r="D8872">
        <v>1</v>
      </c>
    </row>
    <row r="8874" spans="2:4">
      <c r="B8874">
        <v>1</v>
      </c>
      <c r="C8874">
        <v>102</v>
      </c>
      <c r="D8874">
        <v>1</v>
      </c>
    </row>
    <row r="8875" spans="2:4">
      <c r="B8875">
        <v>1</v>
      </c>
      <c r="C8875">
        <v>102</v>
      </c>
      <c r="D8875">
        <v>1</v>
      </c>
    </row>
    <row r="8878" spans="2:4">
      <c r="B8878">
        <v>1</v>
      </c>
      <c r="C8878">
        <v>102</v>
      </c>
      <c r="D8878">
        <v>1</v>
      </c>
    </row>
    <row r="8881" spans="2:4">
      <c r="B8881">
        <v>1</v>
      </c>
      <c r="C8881">
        <v>102</v>
      </c>
      <c r="D8881">
        <v>1</v>
      </c>
    </row>
    <row r="8886" spans="2:4">
      <c r="B8886">
        <v>1</v>
      </c>
      <c r="C8886">
        <v>102</v>
      </c>
      <c r="D8886">
        <v>1</v>
      </c>
    </row>
    <row r="8887" spans="2:4">
      <c r="B8887">
        <v>1</v>
      </c>
      <c r="C8887">
        <v>102</v>
      </c>
      <c r="D8887">
        <v>1</v>
      </c>
    </row>
    <row r="8888" spans="2:4">
      <c r="B8888">
        <v>1</v>
      </c>
      <c r="C8888">
        <v>102</v>
      </c>
      <c r="D8888">
        <v>1</v>
      </c>
    </row>
    <row r="8890" spans="2:4">
      <c r="B8890">
        <v>1</v>
      </c>
      <c r="C8890">
        <v>102</v>
      </c>
      <c r="D8890">
        <v>1</v>
      </c>
    </row>
    <row r="8891" spans="2:4">
      <c r="B8891">
        <v>1</v>
      </c>
      <c r="C8891">
        <v>102</v>
      </c>
      <c r="D8891">
        <v>1</v>
      </c>
    </row>
    <row r="8893" spans="2:4">
      <c r="B8893">
        <v>1</v>
      </c>
      <c r="C8893">
        <v>102</v>
      </c>
      <c r="D8893">
        <v>1</v>
      </c>
    </row>
    <row r="8899" spans="2:4">
      <c r="B8899">
        <v>1</v>
      </c>
      <c r="C8899">
        <v>102</v>
      </c>
      <c r="D8899">
        <v>1</v>
      </c>
    </row>
    <row r="8907" spans="2:4">
      <c r="B8907">
        <v>1</v>
      </c>
      <c r="C8907">
        <v>102</v>
      </c>
      <c r="D8907">
        <v>1</v>
      </c>
    </row>
    <row r="8912" spans="2:4">
      <c r="B8912">
        <v>1</v>
      </c>
      <c r="C8912">
        <v>102</v>
      </c>
      <c r="D8912">
        <v>1</v>
      </c>
    </row>
    <row r="8913" spans="2:4">
      <c r="B8913">
        <v>1</v>
      </c>
      <c r="C8913">
        <v>102</v>
      </c>
      <c r="D8913">
        <v>1</v>
      </c>
    </row>
    <row r="8914" spans="2:4">
      <c r="B8914">
        <v>1</v>
      </c>
      <c r="C8914">
        <v>102</v>
      </c>
      <c r="D8914">
        <v>1</v>
      </c>
    </row>
    <row r="8915" spans="2:4">
      <c r="B8915">
        <v>1</v>
      </c>
      <c r="C8915">
        <v>102</v>
      </c>
      <c r="D8915">
        <v>1</v>
      </c>
    </row>
    <row r="8916" spans="2:4">
      <c r="B8916">
        <v>1</v>
      </c>
      <c r="C8916">
        <v>102</v>
      </c>
      <c r="D8916">
        <v>1</v>
      </c>
    </row>
    <row r="8917" spans="2:4">
      <c r="B8917">
        <v>1</v>
      </c>
      <c r="C8917">
        <v>102</v>
      </c>
      <c r="D8917">
        <v>1</v>
      </c>
    </row>
    <row r="8919" spans="2:4">
      <c r="B8919">
        <v>1</v>
      </c>
      <c r="C8919">
        <v>102</v>
      </c>
      <c r="D8919">
        <v>1</v>
      </c>
    </row>
    <row r="8923" spans="2:4">
      <c r="B8923">
        <v>1</v>
      </c>
      <c r="C8923">
        <v>102</v>
      </c>
      <c r="D8923">
        <v>1</v>
      </c>
    </row>
    <row r="8924" spans="2:4">
      <c r="B8924">
        <v>1</v>
      </c>
      <c r="C8924">
        <v>102</v>
      </c>
      <c r="D8924">
        <v>1</v>
      </c>
    </row>
    <row r="8925" spans="2:4">
      <c r="B8925">
        <v>1</v>
      </c>
      <c r="C8925">
        <v>102</v>
      </c>
      <c r="D8925">
        <v>1</v>
      </c>
    </row>
    <row r="8926" spans="2:4">
      <c r="B8926">
        <v>1</v>
      </c>
      <c r="C8926">
        <v>102</v>
      </c>
      <c r="D8926">
        <v>1</v>
      </c>
    </row>
    <row r="8931" spans="2:4">
      <c r="B8931">
        <v>1</v>
      </c>
      <c r="C8931">
        <v>102</v>
      </c>
      <c r="D8931">
        <v>1</v>
      </c>
    </row>
    <row r="8932" spans="2:4">
      <c r="B8932">
        <v>1</v>
      </c>
      <c r="C8932">
        <v>102</v>
      </c>
      <c r="D8932">
        <v>1</v>
      </c>
    </row>
    <row r="8934" spans="2:4">
      <c r="B8934">
        <v>1</v>
      </c>
      <c r="C8934">
        <v>102</v>
      </c>
      <c r="D8934">
        <v>1</v>
      </c>
    </row>
    <row r="8935" spans="2:4">
      <c r="B8935">
        <v>1</v>
      </c>
      <c r="C8935">
        <v>102</v>
      </c>
      <c r="D8935">
        <v>1</v>
      </c>
    </row>
    <row r="8938" spans="2:4">
      <c r="B8938">
        <v>1</v>
      </c>
      <c r="C8938">
        <v>102</v>
      </c>
      <c r="D8938">
        <v>1</v>
      </c>
    </row>
    <row r="8939" spans="2:4">
      <c r="B8939">
        <v>1</v>
      </c>
      <c r="C8939">
        <v>102</v>
      </c>
      <c r="D8939">
        <v>1</v>
      </c>
    </row>
    <row r="8940" spans="2:4">
      <c r="B8940">
        <v>1</v>
      </c>
      <c r="C8940">
        <v>102</v>
      </c>
      <c r="D8940">
        <v>1</v>
      </c>
    </row>
    <row r="8945" spans="2:4">
      <c r="B8945">
        <v>1</v>
      </c>
      <c r="C8945">
        <v>102</v>
      </c>
      <c r="D8945">
        <v>1</v>
      </c>
    </row>
    <row r="8947" spans="2:4">
      <c r="B8947">
        <v>1</v>
      </c>
      <c r="C8947">
        <v>102</v>
      </c>
      <c r="D8947">
        <v>1</v>
      </c>
    </row>
    <row r="8948" spans="2:4">
      <c r="B8948">
        <v>1</v>
      </c>
      <c r="C8948">
        <v>102</v>
      </c>
      <c r="D8948">
        <v>1</v>
      </c>
    </row>
    <row r="8949" spans="2:4">
      <c r="B8949">
        <v>1</v>
      </c>
      <c r="C8949">
        <v>102</v>
      </c>
      <c r="D8949">
        <v>1</v>
      </c>
    </row>
    <row r="8951" spans="2:4">
      <c r="B8951">
        <v>1</v>
      </c>
      <c r="C8951">
        <v>102</v>
      </c>
      <c r="D8951">
        <v>1</v>
      </c>
    </row>
    <row r="8952" spans="2:4">
      <c r="B8952">
        <v>1</v>
      </c>
      <c r="C8952">
        <v>102</v>
      </c>
      <c r="D8952">
        <v>1</v>
      </c>
    </row>
    <row r="8953" spans="2:4">
      <c r="B8953">
        <v>1</v>
      </c>
      <c r="C8953">
        <v>102</v>
      </c>
      <c r="D8953">
        <v>1</v>
      </c>
    </row>
    <row r="8957" spans="2:4">
      <c r="B8957">
        <v>1</v>
      </c>
      <c r="C8957">
        <v>102</v>
      </c>
      <c r="D8957">
        <v>1</v>
      </c>
    </row>
    <row r="8962" spans="2:4">
      <c r="B8962">
        <v>1</v>
      </c>
      <c r="C8962">
        <v>102</v>
      </c>
      <c r="D8962">
        <v>1</v>
      </c>
    </row>
    <row r="8967" spans="2:4">
      <c r="B8967">
        <v>1</v>
      </c>
      <c r="C8967">
        <v>102</v>
      </c>
      <c r="D8967">
        <v>1</v>
      </c>
    </row>
    <row r="8968" spans="2:4">
      <c r="B8968">
        <v>1</v>
      </c>
      <c r="C8968">
        <v>102</v>
      </c>
      <c r="D8968">
        <v>1</v>
      </c>
    </row>
    <row r="8974" spans="2:4">
      <c r="B8974">
        <v>1</v>
      </c>
      <c r="C8974">
        <v>102</v>
      </c>
      <c r="D8974">
        <v>1</v>
      </c>
    </row>
    <row r="8981" spans="2:4">
      <c r="B8981">
        <v>1</v>
      </c>
      <c r="C8981">
        <v>102</v>
      </c>
      <c r="D8981">
        <v>1</v>
      </c>
    </row>
    <row r="8982" spans="2:4">
      <c r="B8982">
        <v>1</v>
      </c>
      <c r="C8982">
        <v>102</v>
      </c>
      <c r="D8982">
        <v>1</v>
      </c>
    </row>
    <row r="8985" spans="2:4">
      <c r="B8985">
        <v>1</v>
      </c>
      <c r="C8985">
        <v>102</v>
      </c>
      <c r="D8985">
        <v>1</v>
      </c>
    </row>
    <row r="8986" spans="2:4">
      <c r="B8986">
        <v>1</v>
      </c>
      <c r="C8986">
        <v>102</v>
      </c>
      <c r="D8986">
        <v>1</v>
      </c>
    </row>
    <row r="8992" spans="2:4">
      <c r="B8992">
        <v>1</v>
      </c>
      <c r="C8992">
        <v>102</v>
      </c>
      <c r="D8992">
        <v>1</v>
      </c>
    </row>
    <row r="8993" spans="2:4">
      <c r="B8993">
        <v>1</v>
      </c>
      <c r="C8993">
        <v>102</v>
      </c>
      <c r="D8993">
        <v>1</v>
      </c>
    </row>
    <row r="9004" spans="2:4">
      <c r="B9004">
        <v>1</v>
      </c>
      <c r="C9004">
        <v>102</v>
      </c>
      <c r="D9004">
        <v>1</v>
      </c>
    </row>
    <row r="9005" spans="2:4">
      <c r="B9005">
        <v>1</v>
      </c>
      <c r="C9005">
        <v>102</v>
      </c>
      <c r="D9005">
        <v>1</v>
      </c>
    </row>
    <row r="9008" spans="2:4">
      <c r="B9008">
        <v>1</v>
      </c>
      <c r="C9008">
        <v>102</v>
      </c>
      <c r="D9008">
        <v>1</v>
      </c>
    </row>
    <row r="9010" spans="2:4">
      <c r="B9010">
        <v>1</v>
      </c>
      <c r="C9010">
        <v>102</v>
      </c>
      <c r="D9010">
        <v>1</v>
      </c>
    </row>
    <row r="9012" spans="2:4">
      <c r="B9012">
        <v>1</v>
      </c>
      <c r="C9012">
        <v>102</v>
      </c>
      <c r="D9012">
        <v>1</v>
      </c>
    </row>
    <row r="9025" spans="2:4">
      <c r="B9025">
        <v>1</v>
      </c>
      <c r="C9025">
        <v>102</v>
      </c>
      <c r="D9025">
        <v>1</v>
      </c>
    </row>
    <row r="9030" spans="2:4">
      <c r="B9030">
        <v>1</v>
      </c>
      <c r="C9030">
        <v>102</v>
      </c>
      <c r="D9030">
        <v>1</v>
      </c>
    </row>
    <row r="9033" spans="2:4">
      <c r="B9033">
        <v>1</v>
      </c>
      <c r="C9033">
        <v>102</v>
      </c>
      <c r="D9033">
        <v>1</v>
      </c>
    </row>
    <row r="9034" spans="2:4">
      <c r="B9034">
        <v>1</v>
      </c>
      <c r="C9034">
        <v>102</v>
      </c>
      <c r="D9034">
        <v>1</v>
      </c>
    </row>
    <row r="9037" spans="2:4">
      <c r="B9037">
        <v>1</v>
      </c>
      <c r="C9037">
        <v>102</v>
      </c>
      <c r="D9037">
        <v>1</v>
      </c>
    </row>
    <row r="9038" spans="2:4">
      <c r="B9038">
        <v>1</v>
      </c>
      <c r="C9038">
        <v>102</v>
      </c>
      <c r="D9038">
        <v>1</v>
      </c>
    </row>
    <row r="9039" spans="2:4">
      <c r="B9039">
        <v>1</v>
      </c>
      <c r="C9039">
        <v>102</v>
      </c>
      <c r="D9039">
        <v>1</v>
      </c>
    </row>
    <row r="9048" spans="2:4">
      <c r="B9048">
        <v>1</v>
      </c>
      <c r="C9048">
        <v>102</v>
      </c>
      <c r="D9048">
        <v>1</v>
      </c>
    </row>
    <row r="9055" spans="2:4">
      <c r="B9055">
        <v>1</v>
      </c>
      <c r="C9055">
        <v>102</v>
      </c>
      <c r="D9055">
        <v>1</v>
      </c>
    </row>
    <row r="9057" spans="2:4">
      <c r="B9057">
        <v>1</v>
      </c>
      <c r="C9057">
        <v>102</v>
      </c>
      <c r="D9057">
        <v>1</v>
      </c>
    </row>
    <row r="9058" spans="2:4">
      <c r="B9058">
        <v>1</v>
      </c>
      <c r="C9058">
        <v>102</v>
      </c>
      <c r="D9058">
        <v>1</v>
      </c>
    </row>
    <row r="9065" spans="2:4">
      <c r="B9065">
        <v>1</v>
      </c>
      <c r="C9065">
        <v>102</v>
      </c>
      <c r="D9065">
        <v>1</v>
      </c>
    </row>
    <row r="9070" spans="2:4">
      <c r="B9070">
        <v>1</v>
      </c>
      <c r="C9070">
        <v>102</v>
      </c>
      <c r="D9070">
        <v>1</v>
      </c>
    </row>
    <row r="9071" spans="2:4">
      <c r="B9071">
        <v>1</v>
      </c>
      <c r="C9071">
        <v>102</v>
      </c>
      <c r="D9071">
        <v>1</v>
      </c>
    </row>
    <row r="9074" spans="2:4">
      <c r="B9074">
        <v>1</v>
      </c>
      <c r="C9074">
        <v>102</v>
      </c>
      <c r="D9074">
        <v>1</v>
      </c>
    </row>
    <row r="9084" spans="2:4">
      <c r="B9084">
        <v>1</v>
      </c>
      <c r="C9084">
        <v>102</v>
      </c>
      <c r="D9084">
        <v>1</v>
      </c>
    </row>
    <row r="9086" spans="2:4">
      <c r="B9086">
        <v>1</v>
      </c>
      <c r="C9086">
        <v>102</v>
      </c>
      <c r="D9086">
        <v>1</v>
      </c>
    </row>
    <row r="9087" spans="2:4">
      <c r="B9087">
        <v>1</v>
      </c>
      <c r="C9087">
        <v>102</v>
      </c>
      <c r="D9087">
        <v>1</v>
      </c>
    </row>
    <row r="9088" spans="2:4">
      <c r="B9088">
        <v>1</v>
      </c>
      <c r="C9088">
        <v>102</v>
      </c>
      <c r="D9088">
        <v>1</v>
      </c>
    </row>
    <row r="9092" spans="2:4">
      <c r="B9092">
        <v>1</v>
      </c>
      <c r="C9092">
        <v>102</v>
      </c>
      <c r="D9092">
        <v>1</v>
      </c>
    </row>
    <row r="9093" spans="2:4">
      <c r="B9093">
        <v>1</v>
      </c>
      <c r="C9093">
        <v>102</v>
      </c>
      <c r="D9093">
        <v>1</v>
      </c>
    </row>
    <row r="9097" spans="2:4">
      <c r="B9097">
        <v>1</v>
      </c>
      <c r="C9097">
        <v>102</v>
      </c>
      <c r="D9097">
        <v>1</v>
      </c>
    </row>
    <row r="9099" spans="2:4">
      <c r="B9099">
        <v>1</v>
      </c>
      <c r="C9099">
        <v>102</v>
      </c>
      <c r="D9099">
        <v>1</v>
      </c>
    </row>
    <row r="9100" spans="2:4">
      <c r="B9100">
        <v>1</v>
      </c>
      <c r="C9100">
        <v>102</v>
      </c>
      <c r="D9100">
        <v>1</v>
      </c>
    </row>
    <row r="9104" spans="2:4">
      <c r="B9104">
        <v>1</v>
      </c>
      <c r="C9104">
        <v>102</v>
      </c>
      <c r="D9104">
        <v>1</v>
      </c>
    </row>
    <row r="9108" spans="2:4">
      <c r="B9108">
        <v>1</v>
      </c>
      <c r="C9108">
        <v>102</v>
      </c>
      <c r="D9108">
        <v>1</v>
      </c>
    </row>
    <row r="9112" spans="2:4">
      <c r="B9112">
        <v>1</v>
      </c>
      <c r="C9112">
        <v>102</v>
      </c>
      <c r="D9112">
        <v>1</v>
      </c>
    </row>
    <row r="9117" spans="2:4">
      <c r="B9117">
        <v>1</v>
      </c>
      <c r="C9117">
        <v>102</v>
      </c>
      <c r="D9117">
        <v>1</v>
      </c>
    </row>
    <row r="9119" spans="2:4">
      <c r="B9119">
        <v>1</v>
      </c>
      <c r="C9119">
        <v>102</v>
      </c>
      <c r="D9119">
        <v>1</v>
      </c>
    </row>
    <row r="9122" spans="2:4">
      <c r="B9122">
        <v>1</v>
      </c>
      <c r="C9122">
        <v>102</v>
      </c>
      <c r="D9122">
        <v>1</v>
      </c>
    </row>
    <row r="9123" spans="2:4">
      <c r="B9123">
        <v>1</v>
      </c>
      <c r="C9123">
        <v>102</v>
      </c>
      <c r="D9123">
        <v>1</v>
      </c>
    </row>
    <row r="9125" spans="2:4">
      <c r="B9125">
        <v>1</v>
      </c>
      <c r="C9125">
        <v>102</v>
      </c>
      <c r="D9125">
        <v>1</v>
      </c>
    </row>
    <row r="9126" spans="2:4">
      <c r="B9126">
        <v>1</v>
      </c>
      <c r="C9126">
        <v>102</v>
      </c>
      <c r="D9126">
        <v>1</v>
      </c>
    </row>
    <row r="9128" spans="2:4">
      <c r="B9128">
        <v>1</v>
      </c>
      <c r="C9128">
        <v>102</v>
      </c>
      <c r="D9128">
        <v>1</v>
      </c>
    </row>
    <row r="9130" spans="2:4">
      <c r="B9130">
        <v>1</v>
      </c>
      <c r="C9130">
        <v>102</v>
      </c>
      <c r="D9130">
        <v>1</v>
      </c>
    </row>
    <row r="9131" spans="2:4">
      <c r="B9131">
        <v>1</v>
      </c>
      <c r="C9131">
        <v>102</v>
      </c>
      <c r="D9131">
        <v>1</v>
      </c>
    </row>
    <row r="9134" spans="2:4">
      <c r="B9134">
        <v>1</v>
      </c>
      <c r="C9134">
        <v>102</v>
      </c>
      <c r="D9134">
        <v>1</v>
      </c>
    </row>
    <row r="9137" spans="2:4">
      <c r="B9137">
        <v>1</v>
      </c>
      <c r="C9137">
        <v>102</v>
      </c>
      <c r="D9137">
        <v>1</v>
      </c>
    </row>
    <row r="9142" spans="2:4">
      <c r="B9142">
        <v>1</v>
      </c>
      <c r="C9142">
        <v>102</v>
      </c>
      <c r="D9142">
        <v>1</v>
      </c>
    </row>
    <row r="9143" spans="2:4">
      <c r="B9143">
        <v>1</v>
      </c>
      <c r="C9143">
        <v>102</v>
      </c>
      <c r="D9143">
        <v>1</v>
      </c>
    </row>
    <row r="9144" spans="2:4">
      <c r="B9144">
        <v>1</v>
      </c>
      <c r="C9144">
        <v>102</v>
      </c>
      <c r="D9144">
        <v>1</v>
      </c>
    </row>
    <row r="9146" spans="2:4">
      <c r="B9146">
        <v>1</v>
      </c>
      <c r="C9146">
        <v>102</v>
      </c>
      <c r="D9146">
        <v>1</v>
      </c>
    </row>
    <row r="9147" spans="2:4">
      <c r="B9147">
        <v>1</v>
      </c>
      <c r="C9147">
        <v>102</v>
      </c>
      <c r="D9147">
        <v>1</v>
      </c>
    </row>
    <row r="9149" spans="2:4">
      <c r="B9149">
        <v>1</v>
      </c>
      <c r="C9149">
        <v>102</v>
      </c>
      <c r="D9149">
        <v>1</v>
      </c>
    </row>
    <row r="9155" spans="2:4">
      <c r="B9155">
        <v>1</v>
      </c>
      <c r="C9155">
        <v>102</v>
      </c>
      <c r="D9155">
        <v>1</v>
      </c>
    </row>
    <row r="9163" spans="2:4">
      <c r="B9163">
        <v>1</v>
      </c>
      <c r="C9163">
        <v>102</v>
      </c>
      <c r="D9163">
        <v>1</v>
      </c>
    </row>
    <row r="9168" spans="2:4">
      <c r="B9168">
        <v>1</v>
      </c>
      <c r="C9168">
        <v>102</v>
      </c>
      <c r="D9168">
        <v>1</v>
      </c>
    </row>
    <row r="9169" spans="2:4">
      <c r="B9169">
        <v>1</v>
      </c>
      <c r="C9169">
        <v>102</v>
      </c>
      <c r="D9169">
        <v>1</v>
      </c>
    </row>
    <row r="9170" spans="2:4">
      <c r="B9170">
        <v>1</v>
      </c>
      <c r="C9170">
        <v>102</v>
      </c>
      <c r="D9170">
        <v>1</v>
      </c>
    </row>
    <row r="9171" spans="2:4">
      <c r="B9171">
        <v>1</v>
      </c>
      <c r="C9171">
        <v>102</v>
      </c>
      <c r="D9171">
        <v>1</v>
      </c>
    </row>
    <row r="9172" spans="2:4">
      <c r="B9172">
        <v>1</v>
      </c>
      <c r="C9172">
        <v>102</v>
      </c>
      <c r="D9172">
        <v>1</v>
      </c>
    </row>
    <row r="9173" spans="2:4">
      <c r="B9173">
        <v>1</v>
      </c>
      <c r="C9173">
        <v>102</v>
      </c>
      <c r="D9173">
        <v>1</v>
      </c>
    </row>
    <row r="9175" spans="2:4">
      <c r="B9175">
        <v>1</v>
      </c>
      <c r="C9175">
        <v>102</v>
      </c>
      <c r="D9175">
        <v>1</v>
      </c>
    </row>
    <row r="9179" spans="2:4">
      <c r="B9179">
        <v>1</v>
      </c>
      <c r="C9179">
        <v>102</v>
      </c>
      <c r="D9179">
        <v>1</v>
      </c>
    </row>
    <row r="9180" spans="2:4">
      <c r="B9180">
        <v>1</v>
      </c>
      <c r="C9180">
        <v>102</v>
      </c>
      <c r="D9180">
        <v>1</v>
      </c>
    </row>
    <row r="9181" spans="2:4">
      <c r="B9181">
        <v>1</v>
      </c>
      <c r="C9181">
        <v>102</v>
      </c>
      <c r="D9181">
        <v>1</v>
      </c>
    </row>
    <row r="9182" spans="2:4">
      <c r="B9182">
        <v>1</v>
      </c>
      <c r="C9182">
        <v>102</v>
      </c>
      <c r="D9182">
        <v>1</v>
      </c>
    </row>
    <row r="9187" spans="2:4">
      <c r="B9187">
        <v>1</v>
      </c>
      <c r="C9187">
        <v>102</v>
      </c>
      <c r="D9187">
        <v>1</v>
      </c>
    </row>
    <row r="9188" spans="2:4">
      <c r="B9188">
        <v>1</v>
      </c>
      <c r="C9188">
        <v>102</v>
      </c>
      <c r="D9188">
        <v>1</v>
      </c>
    </row>
    <row r="9190" spans="2:4">
      <c r="B9190">
        <v>1</v>
      </c>
      <c r="C9190">
        <v>102</v>
      </c>
      <c r="D9190">
        <v>1</v>
      </c>
    </row>
    <row r="9191" spans="2:4">
      <c r="B9191">
        <v>1</v>
      </c>
      <c r="C9191">
        <v>102</v>
      </c>
      <c r="D9191">
        <v>1</v>
      </c>
    </row>
    <row r="9194" spans="2:4">
      <c r="B9194">
        <v>1</v>
      </c>
      <c r="C9194">
        <v>102</v>
      </c>
      <c r="D9194">
        <v>1</v>
      </c>
    </row>
    <row r="9195" spans="2:4">
      <c r="B9195">
        <v>1</v>
      </c>
      <c r="C9195">
        <v>102</v>
      </c>
      <c r="D9195">
        <v>1</v>
      </c>
    </row>
    <row r="9196" spans="2:4">
      <c r="B9196">
        <v>1</v>
      </c>
      <c r="C9196">
        <v>102</v>
      </c>
      <c r="D9196">
        <v>1</v>
      </c>
    </row>
    <row r="9201" spans="2:4">
      <c r="B9201">
        <v>1</v>
      </c>
      <c r="C9201">
        <v>102</v>
      </c>
      <c r="D9201">
        <v>1</v>
      </c>
    </row>
    <row r="9203" spans="2:4">
      <c r="B9203">
        <v>1</v>
      </c>
      <c r="C9203">
        <v>102</v>
      </c>
      <c r="D9203">
        <v>1</v>
      </c>
    </row>
    <row r="9204" spans="2:4">
      <c r="B9204">
        <v>1</v>
      </c>
      <c r="C9204">
        <v>102</v>
      </c>
      <c r="D9204">
        <v>1</v>
      </c>
    </row>
    <row r="9205" spans="2:4">
      <c r="B9205">
        <v>1</v>
      </c>
      <c r="C9205">
        <v>102</v>
      </c>
      <c r="D9205">
        <v>1</v>
      </c>
    </row>
    <row r="9207" spans="2:4">
      <c r="B9207">
        <v>1</v>
      </c>
      <c r="C9207">
        <v>102</v>
      </c>
      <c r="D9207">
        <v>1</v>
      </c>
    </row>
    <row r="9208" spans="2:4">
      <c r="B9208">
        <v>1</v>
      </c>
      <c r="C9208">
        <v>102</v>
      </c>
      <c r="D9208">
        <v>1</v>
      </c>
    </row>
    <row r="9209" spans="2:4">
      <c r="B9209">
        <v>1</v>
      </c>
      <c r="C9209">
        <v>102</v>
      </c>
      <c r="D9209">
        <v>1</v>
      </c>
    </row>
    <row r="9213" spans="2:4">
      <c r="B9213">
        <v>1</v>
      </c>
      <c r="C9213">
        <v>102</v>
      </c>
      <c r="D9213">
        <v>1</v>
      </c>
    </row>
    <row r="9218" spans="2:4">
      <c r="B9218">
        <v>1</v>
      </c>
      <c r="C9218">
        <v>102</v>
      </c>
      <c r="D9218">
        <v>1</v>
      </c>
    </row>
    <row r="9223" spans="2:4">
      <c r="B9223">
        <v>1</v>
      </c>
      <c r="C9223">
        <v>102</v>
      </c>
      <c r="D9223">
        <v>1</v>
      </c>
    </row>
    <row r="9224" spans="2:4">
      <c r="B9224">
        <v>1</v>
      </c>
      <c r="C9224">
        <v>102</v>
      </c>
      <c r="D9224">
        <v>1</v>
      </c>
    </row>
    <row r="9230" spans="2:4">
      <c r="B9230">
        <v>1</v>
      </c>
      <c r="C9230">
        <v>102</v>
      </c>
      <c r="D9230">
        <v>1</v>
      </c>
    </row>
    <row r="9237" spans="2:4">
      <c r="B9237">
        <v>1</v>
      </c>
      <c r="C9237">
        <v>102</v>
      </c>
      <c r="D9237">
        <v>1</v>
      </c>
    </row>
    <row r="9238" spans="2:4">
      <c r="B9238">
        <v>1</v>
      </c>
      <c r="C9238">
        <v>102</v>
      </c>
      <c r="D9238">
        <v>1</v>
      </c>
    </row>
    <row r="9241" spans="2:4">
      <c r="B9241">
        <v>1</v>
      </c>
      <c r="C9241">
        <v>102</v>
      </c>
      <c r="D9241">
        <v>1</v>
      </c>
    </row>
    <row r="9242" spans="2:4">
      <c r="B9242">
        <v>1</v>
      </c>
      <c r="C9242">
        <v>102</v>
      </c>
      <c r="D9242">
        <v>1</v>
      </c>
    </row>
    <row r="9248" spans="2:4">
      <c r="B9248">
        <v>1</v>
      </c>
      <c r="C9248">
        <v>102</v>
      </c>
      <c r="D9248">
        <v>1</v>
      </c>
    </row>
    <row r="9249" spans="2:4">
      <c r="B9249">
        <v>1</v>
      </c>
      <c r="C9249">
        <v>102</v>
      </c>
      <c r="D9249">
        <v>1</v>
      </c>
    </row>
    <row r="9260" spans="2:4">
      <c r="B9260">
        <v>1</v>
      </c>
      <c r="C9260">
        <v>102</v>
      </c>
      <c r="D9260">
        <v>1</v>
      </c>
    </row>
    <row r="9261" spans="2:4">
      <c r="B9261">
        <v>1</v>
      </c>
      <c r="C9261">
        <v>102</v>
      </c>
      <c r="D9261">
        <v>1</v>
      </c>
    </row>
    <row r="9264" spans="2:4">
      <c r="B9264">
        <v>1</v>
      </c>
      <c r="C9264">
        <v>102</v>
      </c>
      <c r="D9264">
        <v>1</v>
      </c>
    </row>
    <row r="9266" spans="2:4">
      <c r="B9266">
        <v>1</v>
      </c>
      <c r="C9266">
        <v>102</v>
      </c>
      <c r="D9266">
        <v>1</v>
      </c>
    </row>
    <row r="9268" spans="2:4">
      <c r="B9268">
        <v>1</v>
      </c>
      <c r="C9268">
        <v>102</v>
      </c>
      <c r="D9268">
        <v>1</v>
      </c>
    </row>
    <row r="9281" spans="2:4">
      <c r="B9281">
        <v>1</v>
      </c>
      <c r="C9281">
        <v>102</v>
      </c>
      <c r="D9281">
        <v>1</v>
      </c>
    </row>
    <row r="9286" spans="2:4">
      <c r="B9286">
        <v>1</v>
      </c>
      <c r="C9286">
        <v>102</v>
      </c>
      <c r="D9286">
        <v>1</v>
      </c>
    </row>
    <row r="9289" spans="2:4">
      <c r="B9289">
        <v>1</v>
      </c>
      <c r="C9289">
        <v>102</v>
      </c>
      <c r="D9289">
        <v>1</v>
      </c>
    </row>
    <row r="9290" spans="2:4">
      <c r="B9290">
        <v>1</v>
      </c>
      <c r="C9290">
        <v>102</v>
      </c>
      <c r="D9290">
        <v>1</v>
      </c>
    </row>
    <row r="9293" spans="2:4">
      <c r="B9293">
        <v>1</v>
      </c>
      <c r="C9293">
        <v>102</v>
      </c>
      <c r="D9293">
        <v>1</v>
      </c>
    </row>
    <row r="9294" spans="2:4">
      <c r="B9294">
        <v>1</v>
      </c>
      <c r="C9294">
        <v>102</v>
      </c>
      <c r="D9294">
        <v>1</v>
      </c>
    </row>
    <row r="9295" spans="2:4">
      <c r="B9295">
        <v>1</v>
      </c>
      <c r="C9295">
        <v>102</v>
      </c>
      <c r="D9295">
        <v>1</v>
      </c>
    </row>
    <row r="9304" spans="2:4">
      <c r="B9304">
        <v>1</v>
      </c>
      <c r="C9304">
        <v>102</v>
      </c>
      <c r="D9304">
        <v>1</v>
      </c>
    </row>
    <row r="9311" spans="2:4">
      <c r="B9311">
        <v>1</v>
      </c>
      <c r="C9311">
        <v>102</v>
      </c>
      <c r="D9311">
        <v>1</v>
      </c>
    </row>
    <row r="9313" spans="2:4">
      <c r="B9313">
        <v>1</v>
      </c>
      <c r="C9313">
        <v>102</v>
      </c>
      <c r="D9313">
        <v>1</v>
      </c>
    </row>
    <row r="9314" spans="2:4">
      <c r="B9314">
        <v>1</v>
      </c>
      <c r="C9314">
        <v>102</v>
      </c>
      <c r="D9314">
        <v>1</v>
      </c>
    </row>
    <row r="9321" spans="2:4">
      <c r="B9321">
        <v>1</v>
      </c>
      <c r="C9321">
        <v>102</v>
      </c>
      <c r="D9321">
        <v>1</v>
      </c>
    </row>
    <row r="9326" spans="2:4">
      <c r="B9326">
        <v>1</v>
      </c>
      <c r="C9326">
        <v>102</v>
      </c>
      <c r="D9326">
        <v>1</v>
      </c>
    </row>
    <row r="9327" spans="2:4">
      <c r="B9327">
        <v>1</v>
      </c>
      <c r="C9327">
        <v>102</v>
      </c>
      <c r="D9327">
        <v>1</v>
      </c>
    </row>
    <row r="9330" spans="2:4">
      <c r="B9330">
        <v>1</v>
      </c>
      <c r="C9330">
        <v>102</v>
      </c>
      <c r="D9330">
        <v>1</v>
      </c>
    </row>
    <row r="9340" spans="2:4">
      <c r="B9340">
        <v>1</v>
      </c>
      <c r="C9340">
        <v>102</v>
      </c>
      <c r="D9340">
        <v>1</v>
      </c>
    </row>
    <row r="9342" spans="2:4">
      <c r="B9342">
        <v>1</v>
      </c>
      <c r="C9342">
        <v>102</v>
      </c>
      <c r="D9342">
        <v>1</v>
      </c>
    </row>
    <row r="9343" spans="2:4">
      <c r="B9343">
        <v>1</v>
      </c>
      <c r="C9343">
        <v>102</v>
      </c>
      <c r="D9343">
        <v>1</v>
      </c>
    </row>
    <row r="9344" spans="2:4">
      <c r="B9344">
        <v>1</v>
      </c>
      <c r="C9344">
        <v>102</v>
      </c>
      <c r="D9344">
        <v>1</v>
      </c>
    </row>
    <row r="9348" spans="2:4">
      <c r="B9348">
        <v>1</v>
      </c>
      <c r="C9348">
        <v>102</v>
      </c>
      <c r="D9348">
        <v>1</v>
      </c>
    </row>
    <row r="9349" spans="2:4">
      <c r="B9349">
        <v>1</v>
      </c>
      <c r="C9349">
        <v>102</v>
      </c>
      <c r="D9349">
        <v>1</v>
      </c>
    </row>
    <row r="9353" spans="2:4">
      <c r="B9353">
        <v>1</v>
      </c>
      <c r="C9353">
        <v>102</v>
      </c>
      <c r="D9353">
        <v>1</v>
      </c>
    </row>
    <row r="9355" spans="2:4">
      <c r="B9355">
        <v>1</v>
      </c>
      <c r="C9355">
        <v>102</v>
      </c>
      <c r="D9355">
        <v>1</v>
      </c>
    </row>
    <row r="9356" spans="2:4">
      <c r="B9356">
        <v>1</v>
      </c>
      <c r="C9356">
        <v>102</v>
      </c>
      <c r="D9356">
        <v>1</v>
      </c>
    </row>
    <row r="9360" spans="2:4">
      <c r="B9360">
        <v>1</v>
      </c>
      <c r="C9360">
        <v>102</v>
      </c>
      <c r="D9360">
        <v>1</v>
      </c>
    </row>
    <row r="9364" spans="2:4">
      <c r="B9364">
        <v>1</v>
      </c>
      <c r="C9364">
        <v>102</v>
      </c>
      <c r="D9364">
        <v>1</v>
      </c>
    </row>
    <row r="9368" spans="2:4">
      <c r="B9368">
        <v>1</v>
      </c>
      <c r="C9368">
        <v>102</v>
      </c>
      <c r="D9368">
        <v>1</v>
      </c>
    </row>
    <row r="9373" spans="2:4">
      <c r="B9373">
        <v>1</v>
      </c>
      <c r="C9373">
        <v>102</v>
      </c>
      <c r="D9373">
        <v>1</v>
      </c>
    </row>
    <row r="9375" spans="2:4">
      <c r="B9375">
        <v>1</v>
      </c>
      <c r="C9375">
        <v>102</v>
      </c>
      <c r="D9375">
        <v>1</v>
      </c>
    </row>
    <row r="9378" spans="2:4">
      <c r="B9378">
        <v>1</v>
      </c>
      <c r="C9378">
        <v>102</v>
      </c>
      <c r="D9378">
        <v>1</v>
      </c>
    </row>
    <row r="9379" spans="2:4">
      <c r="B9379">
        <v>1</v>
      </c>
      <c r="C9379">
        <v>102</v>
      </c>
      <c r="D9379">
        <v>1</v>
      </c>
    </row>
    <row r="9381" spans="2:4">
      <c r="B9381">
        <v>1</v>
      </c>
      <c r="C9381">
        <v>102</v>
      </c>
      <c r="D9381">
        <v>1</v>
      </c>
    </row>
    <row r="9382" spans="2:4">
      <c r="B9382">
        <v>1</v>
      </c>
      <c r="C9382">
        <v>102</v>
      </c>
      <c r="D9382">
        <v>1</v>
      </c>
    </row>
    <row r="9384" spans="2:4">
      <c r="B9384">
        <v>1</v>
      </c>
      <c r="C9384">
        <v>102</v>
      </c>
      <c r="D9384">
        <v>1</v>
      </c>
    </row>
    <row r="9386" spans="2:4">
      <c r="B9386">
        <v>1</v>
      </c>
      <c r="C9386">
        <v>102</v>
      </c>
      <c r="D9386">
        <v>1</v>
      </c>
    </row>
    <row r="9387" spans="2:4">
      <c r="B9387">
        <v>1</v>
      </c>
      <c r="C9387">
        <v>102</v>
      </c>
      <c r="D9387">
        <v>1</v>
      </c>
    </row>
    <row r="9390" spans="2:4">
      <c r="B9390">
        <v>1</v>
      </c>
      <c r="C9390">
        <v>102</v>
      </c>
      <c r="D9390">
        <v>1</v>
      </c>
    </row>
    <row r="9393" spans="2:4">
      <c r="B9393">
        <v>1</v>
      </c>
      <c r="C9393">
        <v>102</v>
      </c>
      <c r="D9393">
        <v>1</v>
      </c>
    </row>
    <row r="9398" spans="2:4">
      <c r="B9398">
        <v>1</v>
      </c>
      <c r="C9398">
        <v>102</v>
      </c>
      <c r="D9398">
        <v>1</v>
      </c>
    </row>
    <row r="9399" spans="2:4">
      <c r="B9399">
        <v>1</v>
      </c>
      <c r="C9399">
        <v>102</v>
      </c>
      <c r="D9399">
        <v>1</v>
      </c>
    </row>
    <row r="9400" spans="2:4">
      <c r="B9400">
        <v>1</v>
      </c>
      <c r="C9400">
        <v>102</v>
      </c>
      <c r="D9400">
        <v>1</v>
      </c>
    </row>
    <row r="9402" spans="2:4">
      <c r="B9402">
        <v>1</v>
      </c>
      <c r="C9402">
        <v>102</v>
      </c>
      <c r="D9402">
        <v>1</v>
      </c>
    </row>
    <row r="9403" spans="2:4">
      <c r="B9403">
        <v>1</v>
      </c>
      <c r="C9403">
        <v>102</v>
      </c>
      <c r="D9403">
        <v>1</v>
      </c>
    </row>
    <row r="9405" spans="2:4">
      <c r="B9405">
        <v>1</v>
      </c>
      <c r="C9405">
        <v>102</v>
      </c>
      <c r="D9405">
        <v>1</v>
      </c>
    </row>
    <row r="9411" spans="2:4">
      <c r="B9411">
        <v>1</v>
      </c>
      <c r="C9411">
        <v>102</v>
      </c>
      <c r="D9411">
        <v>1</v>
      </c>
    </row>
    <row r="9419" spans="2:4">
      <c r="B9419">
        <v>1</v>
      </c>
      <c r="C9419">
        <v>102</v>
      </c>
      <c r="D9419">
        <v>1</v>
      </c>
    </row>
    <row r="9424" spans="2:4">
      <c r="B9424">
        <v>1</v>
      </c>
      <c r="C9424">
        <v>102</v>
      </c>
      <c r="D9424">
        <v>1</v>
      </c>
    </row>
    <row r="9425" spans="2:4">
      <c r="B9425">
        <v>1</v>
      </c>
      <c r="C9425">
        <v>102</v>
      </c>
      <c r="D9425">
        <v>1</v>
      </c>
    </row>
    <row r="9426" spans="2:4">
      <c r="B9426">
        <v>1</v>
      </c>
      <c r="C9426">
        <v>102</v>
      </c>
      <c r="D9426">
        <v>1</v>
      </c>
    </row>
    <row r="9427" spans="2:4">
      <c r="B9427">
        <v>1</v>
      </c>
      <c r="C9427">
        <v>102</v>
      </c>
      <c r="D9427">
        <v>1</v>
      </c>
    </row>
    <row r="9428" spans="2:4">
      <c r="B9428">
        <v>1</v>
      </c>
      <c r="C9428">
        <v>102</v>
      </c>
      <c r="D9428">
        <v>1</v>
      </c>
    </row>
    <row r="9429" spans="2:4">
      <c r="B9429">
        <v>1</v>
      </c>
      <c r="C9429">
        <v>102</v>
      </c>
      <c r="D9429">
        <v>1</v>
      </c>
    </row>
    <row r="9431" spans="2:4">
      <c r="B9431">
        <v>1</v>
      </c>
      <c r="C9431">
        <v>102</v>
      </c>
      <c r="D9431">
        <v>1</v>
      </c>
    </row>
    <row r="9435" spans="2:4">
      <c r="B9435">
        <v>1</v>
      </c>
      <c r="C9435">
        <v>102</v>
      </c>
      <c r="D9435">
        <v>1</v>
      </c>
    </row>
    <row r="9436" spans="2:4">
      <c r="B9436">
        <v>1</v>
      </c>
      <c r="C9436">
        <v>102</v>
      </c>
      <c r="D9436">
        <v>1</v>
      </c>
    </row>
    <row r="9437" spans="2:4">
      <c r="B9437">
        <v>1</v>
      </c>
      <c r="C9437">
        <v>102</v>
      </c>
      <c r="D9437">
        <v>1</v>
      </c>
    </row>
    <row r="9438" spans="2:4">
      <c r="B9438">
        <v>1</v>
      </c>
      <c r="C9438">
        <v>102</v>
      </c>
      <c r="D9438">
        <v>1</v>
      </c>
    </row>
    <row r="9443" spans="2:4">
      <c r="B9443">
        <v>1</v>
      </c>
      <c r="C9443">
        <v>102</v>
      </c>
      <c r="D9443">
        <v>1</v>
      </c>
    </row>
    <row r="9444" spans="2:4">
      <c r="B9444">
        <v>1</v>
      </c>
      <c r="C9444">
        <v>102</v>
      </c>
      <c r="D9444">
        <v>1</v>
      </c>
    </row>
    <row r="9446" spans="2:4">
      <c r="B9446">
        <v>1</v>
      </c>
      <c r="C9446">
        <v>102</v>
      </c>
      <c r="D9446">
        <v>1</v>
      </c>
    </row>
    <row r="9447" spans="2:4">
      <c r="B9447">
        <v>1</v>
      </c>
      <c r="C9447">
        <v>102</v>
      </c>
      <c r="D9447">
        <v>1</v>
      </c>
    </row>
    <row r="9450" spans="2:4">
      <c r="B9450">
        <v>1</v>
      </c>
      <c r="C9450">
        <v>102</v>
      </c>
      <c r="D9450">
        <v>1</v>
      </c>
    </row>
    <row r="9451" spans="2:4">
      <c r="B9451">
        <v>1</v>
      </c>
      <c r="C9451">
        <v>102</v>
      </c>
      <c r="D9451">
        <v>1</v>
      </c>
    </row>
    <row r="9452" spans="2:4">
      <c r="B9452">
        <v>1</v>
      </c>
      <c r="C9452">
        <v>102</v>
      </c>
      <c r="D9452">
        <v>1</v>
      </c>
    </row>
    <row r="9457" spans="2:4">
      <c r="B9457">
        <v>1</v>
      </c>
      <c r="C9457">
        <v>102</v>
      </c>
      <c r="D9457">
        <v>1</v>
      </c>
    </row>
    <row r="9459" spans="2:4">
      <c r="B9459">
        <v>1</v>
      </c>
      <c r="C9459">
        <v>102</v>
      </c>
      <c r="D9459">
        <v>1</v>
      </c>
    </row>
    <row r="9460" spans="2:4">
      <c r="B9460">
        <v>1</v>
      </c>
      <c r="C9460">
        <v>102</v>
      </c>
      <c r="D9460">
        <v>1</v>
      </c>
    </row>
    <row r="9461" spans="2:4">
      <c r="B9461">
        <v>1</v>
      </c>
      <c r="C9461">
        <v>102</v>
      </c>
      <c r="D9461">
        <v>1</v>
      </c>
    </row>
    <row r="9463" spans="2:4">
      <c r="B9463">
        <v>1</v>
      </c>
      <c r="C9463">
        <v>102</v>
      </c>
      <c r="D9463">
        <v>1</v>
      </c>
    </row>
    <row r="9464" spans="2:4">
      <c r="B9464">
        <v>1</v>
      </c>
      <c r="C9464">
        <v>102</v>
      </c>
      <c r="D9464">
        <v>1</v>
      </c>
    </row>
    <row r="9465" spans="2:4">
      <c r="B9465">
        <v>1</v>
      </c>
      <c r="C9465">
        <v>102</v>
      </c>
      <c r="D9465">
        <v>1</v>
      </c>
    </row>
    <row r="9469" spans="2:4">
      <c r="B9469">
        <v>1</v>
      </c>
      <c r="C9469">
        <v>102</v>
      </c>
      <c r="D9469">
        <v>1</v>
      </c>
    </row>
    <row r="9474" spans="2:4">
      <c r="B9474">
        <v>1</v>
      </c>
      <c r="C9474">
        <v>102</v>
      </c>
      <c r="D9474">
        <v>1</v>
      </c>
    </row>
    <row r="9479" spans="2:4">
      <c r="B9479">
        <v>1</v>
      </c>
      <c r="C9479">
        <v>102</v>
      </c>
      <c r="D9479">
        <v>1</v>
      </c>
    </row>
    <row r="9480" spans="2:4">
      <c r="B9480">
        <v>1</v>
      </c>
      <c r="C9480">
        <v>102</v>
      </c>
      <c r="D9480">
        <v>1</v>
      </c>
    </row>
    <row r="9486" spans="2:4">
      <c r="B9486">
        <v>1</v>
      </c>
      <c r="C9486">
        <v>102</v>
      </c>
      <c r="D9486">
        <v>1</v>
      </c>
    </row>
    <row r="9493" spans="2:4">
      <c r="B9493">
        <v>1</v>
      </c>
      <c r="C9493">
        <v>102</v>
      </c>
      <c r="D9493">
        <v>1</v>
      </c>
    </row>
    <row r="9494" spans="2:4">
      <c r="B9494">
        <v>1</v>
      </c>
      <c r="C9494">
        <v>102</v>
      </c>
      <c r="D9494">
        <v>1</v>
      </c>
    </row>
    <row r="9497" spans="2:4">
      <c r="B9497">
        <v>1</v>
      </c>
      <c r="C9497">
        <v>102</v>
      </c>
      <c r="D9497">
        <v>1</v>
      </c>
    </row>
    <row r="9498" spans="2:4">
      <c r="B9498">
        <v>1</v>
      </c>
      <c r="C9498">
        <v>102</v>
      </c>
      <c r="D9498">
        <v>1</v>
      </c>
    </row>
    <row r="9504" spans="2:4">
      <c r="B9504">
        <v>1</v>
      </c>
      <c r="C9504">
        <v>102</v>
      </c>
      <c r="D9504">
        <v>1</v>
      </c>
    </row>
    <row r="9505" spans="2:4">
      <c r="B9505">
        <v>1</v>
      </c>
      <c r="C9505">
        <v>102</v>
      </c>
      <c r="D9505">
        <v>1</v>
      </c>
    </row>
    <row r="9516" spans="2:4">
      <c r="B9516">
        <v>1</v>
      </c>
      <c r="C9516">
        <v>102</v>
      </c>
      <c r="D9516">
        <v>1</v>
      </c>
    </row>
    <row r="9517" spans="2:4">
      <c r="B9517">
        <v>1</v>
      </c>
      <c r="C9517">
        <v>102</v>
      </c>
      <c r="D9517">
        <v>1</v>
      </c>
    </row>
    <row r="9520" spans="2:4">
      <c r="B9520">
        <v>1</v>
      </c>
      <c r="C9520">
        <v>102</v>
      </c>
      <c r="D9520">
        <v>1</v>
      </c>
    </row>
    <row r="9522" spans="2:4">
      <c r="B9522">
        <v>1</v>
      </c>
      <c r="C9522">
        <v>102</v>
      </c>
      <c r="D9522">
        <v>1</v>
      </c>
    </row>
    <row r="9524" spans="2:4">
      <c r="B9524">
        <v>1</v>
      </c>
      <c r="C9524">
        <v>102</v>
      </c>
      <c r="D9524">
        <v>1</v>
      </c>
    </row>
    <row r="9537" spans="2:4">
      <c r="B9537">
        <v>1</v>
      </c>
      <c r="C9537">
        <v>102</v>
      </c>
      <c r="D9537">
        <v>1</v>
      </c>
    </row>
    <row r="9542" spans="2:4">
      <c r="B9542">
        <v>1</v>
      </c>
      <c r="C9542">
        <v>102</v>
      </c>
      <c r="D9542">
        <v>1</v>
      </c>
    </row>
    <row r="9545" spans="2:4">
      <c r="B9545">
        <v>1</v>
      </c>
      <c r="C9545">
        <v>102</v>
      </c>
      <c r="D9545">
        <v>1</v>
      </c>
    </row>
    <row r="9546" spans="2:4">
      <c r="B9546">
        <v>1</v>
      </c>
      <c r="C9546">
        <v>102</v>
      </c>
      <c r="D9546">
        <v>1</v>
      </c>
    </row>
    <row r="9549" spans="2:4">
      <c r="B9549">
        <v>1</v>
      </c>
      <c r="C9549">
        <v>102</v>
      </c>
      <c r="D9549">
        <v>1</v>
      </c>
    </row>
    <row r="9550" spans="2:4">
      <c r="B9550">
        <v>1</v>
      </c>
      <c r="C9550">
        <v>102</v>
      </c>
      <c r="D9550">
        <v>1</v>
      </c>
    </row>
    <row r="9551" spans="2:4">
      <c r="B9551">
        <v>1</v>
      </c>
      <c r="C9551">
        <v>102</v>
      </c>
      <c r="D9551">
        <v>1</v>
      </c>
    </row>
    <row r="9560" spans="2:4">
      <c r="B9560">
        <v>1</v>
      </c>
      <c r="C9560">
        <v>102</v>
      </c>
      <c r="D9560">
        <v>1</v>
      </c>
    </row>
    <row r="9567" spans="2:4">
      <c r="B9567">
        <v>1</v>
      </c>
      <c r="C9567">
        <v>102</v>
      </c>
      <c r="D9567">
        <v>1</v>
      </c>
    </row>
    <row r="9569" spans="2:4">
      <c r="B9569">
        <v>1</v>
      </c>
      <c r="C9569">
        <v>102</v>
      </c>
      <c r="D9569">
        <v>1</v>
      </c>
    </row>
    <row r="9570" spans="2:4">
      <c r="B9570">
        <v>1</v>
      </c>
      <c r="C9570">
        <v>102</v>
      </c>
      <c r="D9570">
        <v>1</v>
      </c>
    </row>
    <row r="9577" spans="2:4">
      <c r="B9577">
        <v>1</v>
      </c>
      <c r="C9577">
        <v>102</v>
      </c>
      <c r="D9577">
        <v>1</v>
      </c>
    </row>
    <row r="9582" spans="2:4">
      <c r="B9582">
        <v>1</v>
      </c>
      <c r="C9582">
        <v>102</v>
      </c>
      <c r="D9582">
        <v>1</v>
      </c>
    </row>
    <row r="9583" spans="2:4">
      <c r="B9583">
        <v>1</v>
      </c>
      <c r="C9583">
        <v>102</v>
      </c>
      <c r="D9583">
        <v>1</v>
      </c>
    </row>
    <row r="9586" spans="2:4">
      <c r="B9586">
        <v>1</v>
      </c>
      <c r="C9586">
        <v>102</v>
      </c>
      <c r="D9586">
        <v>1</v>
      </c>
    </row>
    <row r="9596" spans="2:4">
      <c r="B9596">
        <v>1</v>
      </c>
      <c r="C9596">
        <v>102</v>
      </c>
      <c r="D9596">
        <v>1</v>
      </c>
    </row>
    <row r="9598" spans="2:4">
      <c r="B9598">
        <v>1</v>
      </c>
      <c r="C9598">
        <v>102</v>
      </c>
      <c r="D9598">
        <v>1</v>
      </c>
    </row>
    <row r="9599" spans="2:4">
      <c r="B9599">
        <v>1</v>
      </c>
      <c r="C9599">
        <v>102</v>
      </c>
      <c r="D9599">
        <v>1</v>
      </c>
    </row>
    <row r="9600" spans="2:4">
      <c r="B9600">
        <v>1</v>
      </c>
      <c r="C9600">
        <v>102</v>
      </c>
      <c r="D9600">
        <v>1</v>
      </c>
    </row>
    <row r="9604" spans="2:4">
      <c r="B9604">
        <v>1</v>
      </c>
      <c r="C9604">
        <v>102</v>
      </c>
      <c r="D9604">
        <v>1</v>
      </c>
    </row>
    <row r="9605" spans="2:4">
      <c r="B9605">
        <v>1</v>
      </c>
      <c r="C9605">
        <v>102</v>
      </c>
      <c r="D9605">
        <v>1</v>
      </c>
    </row>
    <row r="9609" spans="2:4">
      <c r="B9609">
        <v>1</v>
      </c>
      <c r="C9609">
        <v>102</v>
      </c>
      <c r="D9609">
        <v>1</v>
      </c>
    </row>
    <row r="9611" spans="2:4">
      <c r="B9611">
        <v>1</v>
      </c>
      <c r="C9611">
        <v>102</v>
      </c>
      <c r="D9611">
        <v>1</v>
      </c>
    </row>
    <row r="9612" spans="2:4">
      <c r="B9612">
        <v>1</v>
      </c>
      <c r="C9612">
        <v>102</v>
      </c>
      <c r="D9612">
        <v>1</v>
      </c>
    </row>
    <row r="9616" spans="2:4">
      <c r="B9616">
        <v>1</v>
      </c>
      <c r="C9616">
        <v>102</v>
      </c>
      <c r="D9616">
        <v>1</v>
      </c>
    </row>
    <row r="9620" spans="2:4">
      <c r="B9620">
        <v>1</v>
      </c>
      <c r="C9620">
        <v>102</v>
      </c>
      <c r="D9620">
        <v>1</v>
      </c>
    </row>
    <row r="9624" spans="2:4">
      <c r="B9624">
        <v>1</v>
      </c>
      <c r="C9624">
        <v>102</v>
      </c>
      <c r="D9624">
        <v>1</v>
      </c>
    </row>
    <row r="9629" spans="2:4">
      <c r="B9629">
        <v>1</v>
      </c>
      <c r="C9629">
        <v>102</v>
      </c>
      <c r="D9629">
        <v>1</v>
      </c>
    </row>
    <row r="9631" spans="2:4">
      <c r="B9631">
        <v>1</v>
      </c>
      <c r="C9631">
        <v>102</v>
      </c>
      <c r="D9631">
        <v>1</v>
      </c>
    </row>
    <row r="9634" spans="2:4">
      <c r="B9634">
        <v>1</v>
      </c>
      <c r="C9634">
        <v>102</v>
      </c>
      <c r="D9634">
        <v>1</v>
      </c>
    </row>
    <row r="9635" spans="2:4">
      <c r="B9635">
        <v>1</v>
      </c>
      <c r="C9635">
        <v>102</v>
      </c>
      <c r="D9635">
        <v>1</v>
      </c>
    </row>
    <row r="9637" spans="2:4">
      <c r="B9637">
        <v>1</v>
      </c>
      <c r="C9637">
        <v>102</v>
      </c>
      <c r="D9637">
        <v>1</v>
      </c>
    </row>
    <row r="9638" spans="2:4">
      <c r="B9638">
        <v>1</v>
      </c>
      <c r="C9638">
        <v>102</v>
      </c>
      <c r="D9638">
        <v>1</v>
      </c>
    </row>
    <row r="9640" spans="2:4">
      <c r="B9640">
        <v>1</v>
      </c>
      <c r="C9640">
        <v>102</v>
      </c>
      <c r="D9640">
        <v>1</v>
      </c>
    </row>
    <row r="9642" spans="2:4">
      <c r="B9642">
        <v>1</v>
      </c>
      <c r="C9642">
        <v>102</v>
      </c>
      <c r="D9642">
        <v>1</v>
      </c>
    </row>
    <row r="9643" spans="2:4">
      <c r="B9643">
        <v>1</v>
      </c>
      <c r="C9643">
        <v>102</v>
      </c>
      <c r="D9643">
        <v>1</v>
      </c>
    </row>
    <row r="9646" spans="2:4">
      <c r="B9646">
        <v>1</v>
      </c>
      <c r="C9646">
        <v>102</v>
      </c>
      <c r="D9646">
        <v>1</v>
      </c>
    </row>
    <row r="9649" spans="2:4">
      <c r="B9649">
        <v>1</v>
      </c>
      <c r="C9649">
        <v>102</v>
      </c>
      <c r="D9649">
        <v>1</v>
      </c>
    </row>
    <row r="9654" spans="2:4">
      <c r="B9654">
        <v>1</v>
      </c>
      <c r="C9654">
        <v>102</v>
      </c>
      <c r="D9654">
        <v>1</v>
      </c>
    </row>
    <row r="9655" spans="2:4">
      <c r="B9655">
        <v>1</v>
      </c>
      <c r="C9655">
        <v>102</v>
      </c>
      <c r="D9655">
        <v>1</v>
      </c>
    </row>
    <row r="9656" spans="2:4">
      <c r="B9656">
        <v>1</v>
      </c>
      <c r="C9656">
        <v>102</v>
      </c>
      <c r="D9656">
        <v>1</v>
      </c>
    </row>
    <row r="9658" spans="2:4">
      <c r="B9658">
        <v>1</v>
      </c>
      <c r="C9658">
        <v>102</v>
      </c>
      <c r="D9658">
        <v>1</v>
      </c>
    </row>
    <row r="9659" spans="2:4">
      <c r="B9659">
        <v>1</v>
      </c>
      <c r="C9659">
        <v>102</v>
      </c>
      <c r="D9659">
        <v>1</v>
      </c>
    </row>
    <row r="9661" spans="2:4">
      <c r="B9661">
        <v>1</v>
      </c>
      <c r="C9661">
        <v>102</v>
      </c>
      <c r="D9661">
        <v>1</v>
      </c>
    </row>
    <row r="9667" spans="2:4">
      <c r="B9667">
        <v>1</v>
      </c>
      <c r="C9667">
        <v>102</v>
      </c>
      <c r="D9667">
        <v>1</v>
      </c>
    </row>
    <row r="9675" spans="2:4">
      <c r="B9675">
        <v>1</v>
      </c>
      <c r="C9675">
        <v>102</v>
      </c>
      <c r="D9675">
        <v>1</v>
      </c>
    </row>
    <row r="9680" spans="2:4">
      <c r="B9680">
        <v>1</v>
      </c>
      <c r="C9680">
        <v>102</v>
      </c>
      <c r="D9680">
        <v>1</v>
      </c>
    </row>
    <row r="9681" spans="2:4">
      <c r="B9681">
        <v>1</v>
      </c>
      <c r="C9681">
        <v>102</v>
      </c>
      <c r="D9681">
        <v>1</v>
      </c>
    </row>
    <row r="9682" spans="2:4">
      <c r="B9682">
        <v>1</v>
      </c>
      <c r="C9682">
        <v>102</v>
      </c>
      <c r="D9682">
        <v>1</v>
      </c>
    </row>
    <row r="9683" spans="2:4">
      <c r="B9683">
        <v>1</v>
      </c>
      <c r="C9683">
        <v>102</v>
      </c>
      <c r="D9683">
        <v>1</v>
      </c>
    </row>
    <row r="9684" spans="2:4">
      <c r="B9684">
        <v>1</v>
      </c>
      <c r="C9684">
        <v>102</v>
      </c>
      <c r="D9684">
        <v>1</v>
      </c>
    </row>
    <row r="9685" spans="2:4">
      <c r="B9685">
        <v>1</v>
      </c>
      <c r="C9685">
        <v>102</v>
      </c>
      <c r="D9685">
        <v>1</v>
      </c>
    </row>
    <row r="9687" spans="2:4">
      <c r="B9687">
        <v>1</v>
      </c>
      <c r="C9687">
        <v>102</v>
      </c>
      <c r="D9687">
        <v>1</v>
      </c>
    </row>
    <row r="9691" spans="2:4">
      <c r="B9691">
        <v>1</v>
      </c>
      <c r="C9691">
        <v>102</v>
      </c>
      <c r="D9691">
        <v>1</v>
      </c>
    </row>
    <row r="9692" spans="2:4">
      <c r="B9692">
        <v>1</v>
      </c>
      <c r="C9692">
        <v>102</v>
      </c>
      <c r="D9692">
        <v>1</v>
      </c>
    </row>
    <row r="9693" spans="2:4">
      <c r="B9693">
        <v>1</v>
      </c>
      <c r="C9693">
        <v>102</v>
      </c>
      <c r="D9693">
        <v>1</v>
      </c>
    </row>
    <row r="9694" spans="2:4">
      <c r="B9694">
        <v>1</v>
      </c>
      <c r="C9694">
        <v>102</v>
      </c>
      <c r="D9694">
        <v>1</v>
      </c>
    </row>
    <row r="9699" spans="2:4">
      <c r="B9699">
        <v>1</v>
      </c>
      <c r="C9699">
        <v>102</v>
      </c>
      <c r="D9699">
        <v>1</v>
      </c>
    </row>
    <row r="9700" spans="2:4">
      <c r="B9700">
        <v>1</v>
      </c>
      <c r="C9700">
        <v>102</v>
      </c>
      <c r="D9700">
        <v>1</v>
      </c>
    </row>
    <row r="9702" spans="2:4">
      <c r="B9702">
        <v>1</v>
      </c>
      <c r="C9702">
        <v>102</v>
      </c>
      <c r="D9702">
        <v>1</v>
      </c>
    </row>
    <row r="9703" spans="2:4">
      <c r="B9703">
        <v>1</v>
      </c>
      <c r="C9703">
        <v>102</v>
      </c>
      <c r="D9703">
        <v>1</v>
      </c>
    </row>
    <row r="9706" spans="2:4">
      <c r="B9706">
        <v>1</v>
      </c>
      <c r="C9706">
        <v>102</v>
      </c>
      <c r="D9706">
        <v>1</v>
      </c>
    </row>
    <row r="9707" spans="2:4">
      <c r="B9707">
        <v>1</v>
      </c>
      <c r="C9707">
        <v>102</v>
      </c>
      <c r="D9707">
        <v>1</v>
      </c>
    </row>
    <row r="9708" spans="2:4">
      <c r="B9708">
        <v>1</v>
      </c>
      <c r="C9708">
        <v>102</v>
      </c>
      <c r="D9708">
        <v>1</v>
      </c>
    </row>
    <row r="9713" spans="2:4">
      <c r="B9713">
        <v>1</v>
      </c>
      <c r="C9713">
        <v>102</v>
      </c>
      <c r="D9713">
        <v>1</v>
      </c>
    </row>
    <row r="9715" spans="2:4">
      <c r="B9715">
        <v>1</v>
      </c>
      <c r="C9715">
        <v>102</v>
      </c>
      <c r="D9715">
        <v>1</v>
      </c>
    </row>
    <row r="9716" spans="2:4">
      <c r="B9716">
        <v>1</v>
      </c>
      <c r="C9716">
        <v>102</v>
      </c>
      <c r="D9716">
        <v>1</v>
      </c>
    </row>
    <row r="9717" spans="2:4">
      <c r="B9717">
        <v>1</v>
      </c>
      <c r="C9717">
        <v>102</v>
      </c>
      <c r="D9717">
        <v>1</v>
      </c>
    </row>
    <row r="9719" spans="2:4">
      <c r="B9719">
        <v>1</v>
      </c>
      <c r="C9719">
        <v>102</v>
      </c>
      <c r="D9719">
        <v>1</v>
      </c>
    </row>
    <row r="9720" spans="2:4">
      <c r="B9720">
        <v>1</v>
      </c>
      <c r="C9720">
        <v>102</v>
      </c>
      <c r="D9720">
        <v>1</v>
      </c>
    </row>
    <row r="9721" spans="2:4">
      <c r="B9721">
        <v>1</v>
      </c>
      <c r="C9721">
        <v>102</v>
      </c>
      <c r="D9721">
        <v>1</v>
      </c>
    </row>
    <row r="9725" spans="2:4">
      <c r="B9725">
        <v>1</v>
      </c>
      <c r="C9725">
        <v>102</v>
      </c>
      <c r="D9725">
        <v>1</v>
      </c>
    </row>
    <row r="9730" spans="2:4">
      <c r="B9730">
        <v>1</v>
      </c>
      <c r="C9730">
        <v>102</v>
      </c>
      <c r="D9730">
        <v>1</v>
      </c>
    </row>
    <row r="9735" spans="2:4">
      <c r="B9735">
        <v>1</v>
      </c>
      <c r="C9735">
        <v>102</v>
      </c>
      <c r="D9735">
        <v>1</v>
      </c>
    </row>
    <row r="9736" spans="2:4">
      <c r="B9736">
        <v>1</v>
      </c>
      <c r="C9736">
        <v>102</v>
      </c>
      <c r="D9736">
        <v>1</v>
      </c>
    </row>
    <row r="9742" spans="2:4">
      <c r="B9742">
        <v>1</v>
      </c>
      <c r="C9742">
        <v>102</v>
      </c>
      <c r="D9742">
        <v>1</v>
      </c>
    </row>
    <row r="9749" spans="2:4">
      <c r="B9749">
        <v>1</v>
      </c>
      <c r="C9749">
        <v>102</v>
      </c>
      <c r="D9749">
        <v>1</v>
      </c>
    </row>
    <row r="9750" spans="2:4">
      <c r="B9750">
        <v>1</v>
      </c>
      <c r="C9750">
        <v>102</v>
      </c>
      <c r="D9750">
        <v>1</v>
      </c>
    </row>
    <row r="9753" spans="2:4">
      <c r="B9753">
        <v>1</v>
      </c>
      <c r="C9753">
        <v>102</v>
      </c>
      <c r="D9753">
        <v>1</v>
      </c>
    </row>
    <row r="9754" spans="2:4">
      <c r="B9754">
        <v>1</v>
      </c>
      <c r="C9754">
        <v>102</v>
      </c>
      <c r="D9754">
        <v>1</v>
      </c>
    </row>
    <row r="9760" spans="2:4">
      <c r="B9760">
        <v>1</v>
      </c>
      <c r="C9760">
        <v>102</v>
      </c>
      <c r="D9760">
        <v>1</v>
      </c>
    </row>
    <row r="9761" spans="2:4">
      <c r="B9761">
        <v>1</v>
      </c>
      <c r="C9761">
        <v>102</v>
      </c>
      <c r="D9761">
        <v>1</v>
      </c>
    </row>
    <row r="9772" spans="2:4">
      <c r="B9772">
        <v>1</v>
      </c>
      <c r="C9772">
        <v>102</v>
      </c>
      <c r="D9772">
        <v>1</v>
      </c>
    </row>
    <row r="9773" spans="2:4">
      <c r="B9773">
        <v>1</v>
      </c>
      <c r="C9773">
        <v>102</v>
      </c>
      <c r="D9773">
        <v>1</v>
      </c>
    </row>
    <row r="9776" spans="2:4">
      <c r="B9776">
        <v>1</v>
      </c>
      <c r="C9776">
        <v>102</v>
      </c>
      <c r="D9776">
        <v>1</v>
      </c>
    </row>
    <row r="9778" spans="2:4">
      <c r="B9778">
        <v>1</v>
      </c>
      <c r="C9778">
        <v>102</v>
      </c>
      <c r="D9778">
        <v>1</v>
      </c>
    </row>
    <row r="9780" spans="2:4">
      <c r="B9780">
        <v>1</v>
      </c>
      <c r="C9780">
        <v>102</v>
      </c>
      <c r="D9780">
        <v>1</v>
      </c>
    </row>
    <row r="9793" spans="2:4">
      <c r="B9793">
        <v>1</v>
      </c>
      <c r="C9793">
        <v>102</v>
      </c>
      <c r="D9793">
        <v>1</v>
      </c>
    </row>
    <row r="9798" spans="2:4">
      <c r="B9798">
        <v>1</v>
      </c>
      <c r="C9798">
        <v>102</v>
      </c>
      <c r="D9798">
        <v>1</v>
      </c>
    </row>
    <row r="9801" spans="2:4">
      <c r="B9801">
        <v>1</v>
      </c>
      <c r="C9801">
        <v>102</v>
      </c>
      <c r="D9801">
        <v>1</v>
      </c>
    </row>
    <row r="9802" spans="2:4">
      <c r="B9802">
        <v>1</v>
      </c>
      <c r="C9802">
        <v>102</v>
      </c>
      <c r="D9802">
        <v>1</v>
      </c>
    </row>
    <row r="9805" spans="2:4">
      <c r="B9805">
        <v>1</v>
      </c>
      <c r="C9805">
        <v>102</v>
      </c>
      <c r="D9805">
        <v>1</v>
      </c>
    </row>
    <row r="9806" spans="2:4">
      <c r="B9806">
        <v>1</v>
      </c>
      <c r="C9806">
        <v>102</v>
      </c>
      <c r="D9806">
        <v>1</v>
      </c>
    </row>
    <row r="9807" spans="2:4">
      <c r="B9807">
        <v>1</v>
      </c>
      <c r="C9807">
        <v>102</v>
      </c>
      <c r="D9807">
        <v>1</v>
      </c>
    </row>
    <row r="9816" spans="2:4">
      <c r="B9816">
        <v>1</v>
      </c>
      <c r="C9816">
        <v>102</v>
      </c>
      <c r="D9816">
        <v>1</v>
      </c>
    </row>
    <row r="9823" spans="2:4">
      <c r="B9823">
        <v>1</v>
      </c>
      <c r="C9823">
        <v>102</v>
      </c>
      <c r="D9823">
        <v>1</v>
      </c>
    </row>
    <row r="9825" spans="2:4">
      <c r="B9825">
        <v>1</v>
      </c>
      <c r="C9825">
        <v>102</v>
      </c>
      <c r="D9825">
        <v>1</v>
      </c>
    </row>
    <row r="9826" spans="2:4">
      <c r="B9826">
        <v>1</v>
      </c>
      <c r="C9826">
        <v>102</v>
      </c>
      <c r="D9826">
        <v>1</v>
      </c>
    </row>
    <row r="9833" spans="2:4">
      <c r="B9833">
        <v>1</v>
      </c>
      <c r="C9833">
        <v>102</v>
      </c>
      <c r="D9833">
        <v>1</v>
      </c>
    </row>
    <row r="9838" spans="2:4">
      <c r="B9838">
        <v>1</v>
      </c>
      <c r="C9838">
        <v>102</v>
      </c>
      <c r="D9838">
        <v>1</v>
      </c>
    </row>
    <row r="9839" spans="2:4">
      <c r="B9839">
        <v>1</v>
      </c>
      <c r="C9839">
        <v>102</v>
      </c>
      <c r="D9839">
        <v>1</v>
      </c>
    </row>
    <row r="9842" spans="2:4">
      <c r="B9842">
        <v>1</v>
      </c>
      <c r="C9842">
        <v>102</v>
      </c>
      <c r="D9842">
        <v>1</v>
      </c>
    </row>
    <row r="9852" spans="2:4">
      <c r="B9852">
        <v>1</v>
      </c>
      <c r="C9852">
        <v>102</v>
      </c>
      <c r="D9852">
        <v>1</v>
      </c>
    </row>
    <row r="9854" spans="2:4">
      <c r="B9854">
        <v>1</v>
      </c>
      <c r="C9854">
        <v>102</v>
      </c>
      <c r="D9854">
        <v>1</v>
      </c>
    </row>
    <row r="9855" spans="2:4">
      <c r="B9855">
        <v>1</v>
      </c>
      <c r="C9855">
        <v>102</v>
      </c>
      <c r="D9855">
        <v>1</v>
      </c>
    </row>
    <row r="9856" spans="2:4">
      <c r="B9856">
        <v>1</v>
      </c>
      <c r="C9856">
        <v>102</v>
      </c>
      <c r="D9856">
        <v>1</v>
      </c>
    </row>
    <row r="9860" spans="2:4">
      <c r="B9860">
        <v>1</v>
      </c>
      <c r="C9860">
        <v>102</v>
      </c>
      <c r="D9860">
        <v>1</v>
      </c>
    </row>
    <row r="9861" spans="2:4">
      <c r="B9861">
        <v>1</v>
      </c>
      <c r="C9861">
        <v>102</v>
      </c>
      <c r="D9861">
        <v>1</v>
      </c>
    </row>
    <row r="9865" spans="2:4">
      <c r="B9865">
        <v>1</v>
      </c>
      <c r="C9865">
        <v>102</v>
      </c>
      <c r="D9865">
        <v>1</v>
      </c>
    </row>
    <row r="9867" spans="2:4">
      <c r="B9867">
        <v>1</v>
      </c>
      <c r="C9867">
        <v>102</v>
      </c>
      <c r="D9867">
        <v>1</v>
      </c>
    </row>
    <row r="9868" spans="2:4">
      <c r="B9868">
        <v>1</v>
      </c>
      <c r="C9868">
        <v>102</v>
      </c>
      <c r="D9868">
        <v>1</v>
      </c>
    </row>
    <row r="9872" spans="2:4">
      <c r="B9872">
        <v>1</v>
      </c>
      <c r="C9872">
        <v>102</v>
      </c>
      <c r="D9872">
        <v>1</v>
      </c>
    </row>
    <row r="9876" spans="2:4">
      <c r="B9876">
        <v>1</v>
      </c>
      <c r="C9876">
        <v>102</v>
      </c>
      <c r="D9876">
        <v>1</v>
      </c>
    </row>
    <row r="9880" spans="2:4">
      <c r="B9880">
        <v>1</v>
      </c>
      <c r="C9880">
        <v>102</v>
      </c>
      <c r="D9880">
        <v>1</v>
      </c>
    </row>
    <row r="9885" spans="2:4">
      <c r="B9885">
        <v>1</v>
      </c>
      <c r="C9885">
        <v>102</v>
      </c>
      <c r="D9885">
        <v>1</v>
      </c>
    </row>
    <row r="9887" spans="2:4">
      <c r="B9887">
        <v>1</v>
      </c>
      <c r="C9887">
        <v>102</v>
      </c>
      <c r="D9887">
        <v>1</v>
      </c>
    </row>
    <row r="9890" spans="2:4">
      <c r="B9890">
        <v>1</v>
      </c>
      <c r="C9890">
        <v>102</v>
      </c>
      <c r="D9890">
        <v>1</v>
      </c>
    </row>
    <row r="9891" spans="2:4">
      <c r="B9891">
        <v>1</v>
      </c>
      <c r="C9891">
        <v>102</v>
      </c>
      <c r="D9891">
        <v>1</v>
      </c>
    </row>
    <row r="9893" spans="2:4">
      <c r="B9893">
        <v>1</v>
      </c>
      <c r="C9893">
        <v>102</v>
      </c>
      <c r="D9893">
        <v>1</v>
      </c>
    </row>
    <row r="9894" spans="2:4">
      <c r="B9894">
        <v>1</v>
      </c>
      <c r="C9894">
        <v>102</v>
      </c>
      <c r="D9894">
        <v>1</v>
      </c>
    </row>
    <row r="9896" spans="2:4">
      <c r="B9896">
        <v>1</v>
      </c>
      <c r="C9896">
        <v>102</v>
      </c>
      <c r="D9896">
        <v>1</v>
      </c>
    </row>
    <row r="9898" spans="2:4">
      <c r="B9898">
        <v>1</v>
      </c>
      <c r="C9898">
        <v>102</v>
      </c>
      <c r="D9898">
        <v>1</v>
      </c>
    </row>
    <row r="9899" spans="2:4">
      <c r="B9899">
        <v>1</v>
      </c>
      <c r="C9899">
        <v>102</v>
      </c>
      <c r="D9899">
        <v>1</v>
      </c>
    </row>
    <row r="9902" spans="2:4">
      <c r="B9902">
        <v>1</v>
      </c>
      <c r="C9902">
        <v>102</v>
      </c>
      <c r="D9902">
        <v>1</v>
      </c>
    </row>
    <row r="9905" spans="2:4">
      <c r="B9905">
        <v>1</v>
      </c>
      <c r="C9905">
        <v>102</v>
      </c>
      <c r="D9905">
        <v>1</v>
      </c>
    </row>
    <row r="9910" spans="2:4">
      <c r="B9910">
        <v>1</v>
      </c>
      <c r="C9910">
        <v>102</v>
      </c>
      <c r="D9910">
        <v>1</v>
      </c>
    </row>
    <row r="9911" spans="2:4">
      <c r="B9911">
        <v>1</v>
      </c>
      <c r="C9911">
        <v>102</v>
      </c>
      <c r="D9911">
        <v>1</v>
      </c>
    </row>
    <row r="9912" spans="2:4">
      <c r="B9912">
        <v>1</v>
      </c>
      <c r="C9912">
        <v>102</v>
      </c>
      <c r="D9912">
        <v>1</v>
      </c>
    </row>
    <row r="9914" spans="2:4">
      <c r="B9914">
        <v>1</v>
      </c>
      <c r="C9914">
        <v>102</v>
      </c>
      <c r="D9914">
        <v>1</v>
      </c>
    </row>
    <row r="9915" spans="2:4">
      <c r="B9915">
        <v>1</v>
      </c>
      <c r="C9915">
        <v>102</v>
      </c>
      <c r="D9915">
        <v>1</v>
      </c>
    </row>
    <row r="9917" spans="2:4">
      <c r="B9917">
        <v>1</v>
      </c>
      <c r="C9917">
        <v>102</v>
      </c>
      <c r="D9917">
        <v>1</v>
      </c>
    </row>
    <row r="9923" spans="2:4">
      <c r="B9923">
        <v>1</v>
      </c>
      <c r="C9923">
        <v>102</v>
      </c>
      <c r="D9923">
        <v>1</v>
      </c>
    </row>
    <row r="9931" spans="2:4">
      <c r="B9931">
        <v>1</v>
      </c>
      <c r="C9931">
        <v>102</v>
      </c>
      <c r="D9931">
        <v>1</v>
      </c>
    </row>
    <row r="9936" spans="2:4">
      <c r="B9936">
        <v>1</v>
      </c>
      <c r="C9936">
        <v>102</v>
      </c>
      <c r="D9936">
        <v>1</v>
      </c>
    </row>
    <row r="9937" spans="2:4">
      <c r="B9937">
        <v>1</v>
      </c>
      <c r="C9937">
        <v>102</v>
      </c>
      <c r="D9937">
        <v>1</v>
      </c>
    </row>
    <row r="9938" spans="2:4">
      <c r="B9938">
        <v>1</v>
      </c>
      <c r="C9938">
        <v>102</v>
      </c>
      <c r="D9938">
        <v>1</v>
      </c>
    </row>
    <row r="9939" spans="2:4">
      <c r="B9939">
        <v>1</v>
      </c>
      <c r="C9939">
        <v>102</v>
      </c>
      <c r="D9939">
        <v>1</v>
      </c>
    </row>
    <row r="9940" spans="2:4">
      <c r="B9940">
        <v>1</v>
      </c>
      <c r="C9940">
        <v>102</v>
      </c>
      <c r="D9940">
        <v>1</v>
      </c>
    </row>
    <row r="9941" spans="2:4">
      <c r="B9941">
        <v>1</v>
      </c>
      <c r="C9941">
        <v>102</v>
      </c>
      <c r="D9941">
        <v>1</v>
      </c>
    </row>
    <row r="9943" spans="2:4">
      <c r="B9943">
        <v>1</v>
      </c>
      <c r="C9943">
        <v>102</v>
      </c>
      <c r="D9943">
        <v>1</v>
      </c>
    </row>
    <row r="9947" spans="2:4">
      <c r="B9947">
        <v>1</v>
      </c>
      <c r="C9947">
        <v>102</v>
      </c>
      <c r="D9947">
        <v>1</v>
      </c>
    </row>
    <row r="9948" spans="2:4">
      <c r="B9948">
        <v>1</v>
      </c>
      <c r="C9948">
        <v>102</v>
      </c>
      <c r="D9948">
        <v>1</v>
      </c>
    </row>
    <row r="9949" spans="2:4">
      <c r="B9949">
        <v>1</v>
      </c>
      <c r="C9949">
        <v>102</v>
      </c>
      <c r="D9949">
        <v>1</v>
      </c>
    </row>
    <row r="9950" spans="2:4">
      <c r="B9950">
        <v>1</v>
      </c>
      <c r="C9950">
        <v>102</v>
      </c>
      <c r="D9950">
        <v>1</v>
      </c>
    </row>
    <row r="9955" spans="2:4">
      <c r="B9955">
        <v>1</v>
      </c>
      <c r="C9955">
        <v>102</v>
      </c>
      <c r="D9955">
        <v>1</v>
      </c>
    </row>
    <row r="9956" spans="2:4">
      <c r="B9956">
        <v>1</v>
      </c>
      <c r="C9956">
        <v>102</v>
      </c>
      <c r="D9956">
        <v>1</v>
      </c>
    </row>
    <row r="9958" spans="2:4">
      <c r="B9958">
        <v>1</v>
      </c>
      <c r="C9958">
        <v>102</v>
      </c>
      <c r="D9958">
        <v>1</v>
      </c>
    </row>
    <row r="9959" spans="2:4">
      <c r="B9959">
        <v>1</v>
      </c>
      <c r="C9959">
        <v>102</v>
      </c>
      <c r="D9959">
        <v>1</v>
      </c>
    </row>
    <row r="9962" spans="2:4">
      <c r="B9962">
        <v>1</v>
      </c>
      <c r="C9962">
        <v>102</v>
      </c>
      <c r="D9962">
        <v>1</v>
      </c>
    </row>
    <row r="9963" spans="2:4">
      <c r="B9963">
        <v>1</v>
      </c>
      <c r="C9963">
        <v>102</v>
      </c>
      <c r="D9963">
        <v>1</v>
      </c>
    </row>
    <row r="9964" spans="2:4">
      <c r="B9964">
        <v>1</v>
      </c>
      <c r="C9964">
        <v>102</v>
      </c>
      <c r="D9964">
        <v>1</v>
      </c>
    </row>
    <row r="9969" spans="2:4">
      <c r="B9969">
        <v>1</v>
      </c>
      <c r="C9969">
        <v>102</v>
      </c>
      <c r="D9969">
        <v>1</v>
      </c>
    </row>
    <row r="9971" spans="2:4">
      <c r="B9971">
        <v>1</v>
      </c>
      <c r="C9971">
        <v>102</v>
      </c>
      <c r="D9971">
        <v>1</v>
      </c>
    </row>
    <row r="9972" spans="2:4">
      <c r="B9972">
        <v>1</v>
      </c>
      <c r="C9972">
        <v>102</v>
      </c>
      <c r="D9972">
        <v>1</v>
      </c>
    </row>
    <row r="9973" spans="2:4">
      <c r="B9973">
        <v>1</v>
      </c>
      <c r="C9973">
        <v>102</v>
      </c>
      <c r="D9973">
        <v>1</v>
      </c>
    </row>
    <row r="9975" spans="2:4">
      <c r="B9975">
        <v>1</v>
      </c>
      <c r="C9975">
        <v>102</v>
      </c>
      <c r="D9975">
        <v>1</v>
      </c>
    </row>
    <row r="9976" spans="2:4">
      <c r="B9976">
        <v>1</v>
      </c>
      <c r="C9976">
        <v>102</v>
      </c>
      <c r="D9976">
        <v>1</v>
      </c>
    </row>
    <row r="9977" spans="2:4">
      <c r="B9977">
        <v>1</v>
      </c>
      <c r="C9977">
        <v>102</v>
      </c>
      <c r="D9977">
        <v>1</v>
      </c>
    </row>
    <row r="9981" spans="2:4">
      <c r="B9981">
        <v>1</v>
      </c>
      <c r="C9981">
        <v>102</v>
      </c>
      <c r="D9981">
        <v>1</v>
      </c>
    </row>
    <row r="9986" spans="2:4">
      <c r="B9986">
        <v>1</v>
      </c>
      <c r="C9986">
        <v>102</v>
      </c>
      <c r="D9986">
        <v>1</v>
      </c>
    </row>
    <row r="9991" spans="2:4">
      <c r="B9991">
        <v>1</v>
      </c>
      <c r="C9991">
        <v>102</v>
      </c>
      <c r="D9991">
        <v>1</v>
      </c>
    </row>
    <row r="9992" spans="2:4">
      <c r="B9992">
        <v>1</v>
      </c>
      <c r="C9992">
        <v>102</v>
      </c>
      <c r="D9992">
        <v>1</v>
      </c>
    </row>
    <row r="9998" spans="2:4">
      <c r="B9998">
        <v>1</v>
      </c>
      <c r="C9998">
        <v>102</v>
      </c>
      <c r="D9998">
        <v>1</v>
      </c>
    </row>
    <row r="10005" spans="2:4">
      <c r="B10005">
        <v>1</v>
      </c>
      <c r="C10005">
        <v>102</v>
      </c>
      <c r="D10005">
        <v>1</v>
      </c>
    </row>
    <row r="10006" spans="2:4">
      <c r="B10006">
        <v>1</v>
      </c>
      <c r="C10006">
        <v>102</v>
      </c>
      <c r="D10006">
        <v>1</v>
      </c>
    </row>
    <row r="10009" spans="2:4">
      <c r="B10009">
        <v>1</v>
      </c>
      <c r="C10009">
        <v>102</v>
      </c>
      <c r="D10009">
        <v>1</v>
      </c>
    </row>
    <row r="10010" spans="2:4">
      <c r="B10010">
        <v>1</v>
      </c>
      <c r="C10010">
        <v>102</v>
      </c>
      <c r="D10010">
        <v>1</v>
      </c>
    </row>
    <row r="10016" spans="2:4">
      <c r="B10016">
        <v>1</v>
      </c>
      <c r="C10016">
        <v>102</v>
      </c>
      <c r="D10016">
        <v>1</v>
      </c>
    </row>
    <row r="10017" spans="2:4">
      <c r="B10017">
        <v>1</v>
      </c>
      <c r="C10017">
        <v>102</v>
      </c>
      <c r="D10017">
        <v>1</v>
      </c>
    </row>
    <row r="10028" spans="2:4">
      <c r="B10028">
        <v>1</v>
      </c>
      <c r="C10028">
        <v>102</v>
      </c>
      <c r="D10028">
        <v>1</v>
      </c>
    </row>
    <row r="10029" spans="2:4">
      <c r="B10029">
        <v>1</v>
      </c>
      <c r="C10029">
        <v>102</v>
      </c>
      <c r="D10029">
        <v>1</v>
      </c>
    </row>
    <row r="10032" spans="2:4">
      <c r="B10032">
        <v>1</v>
      </c>
      <c r="C10032">
        <v>102</v>
      </c>
      <c r="D10032">
        <v>1</v>
      </c>
    </row>
    <row r="10034" spans="2:4">
      <c r="B10034">
        <v>1</v>
      </c>
      <c r="C10034">
        <v>102</v>
      </c>
      <c r="D10034">
        <v>1</v>
      </c>
    </row>
    <row r="10036" spans="2:4">
      <c r="B10036">
        <v>1</v>
      </c>
      <c r="C10036">
        <v>102</v>
      </c>
      <c r="D10036">
        <v>1</v>
      </c>
    </row>
    <row r="10049" spans="2:4">
      <c r="B10049">
        <v>1</v>
      </c>
      <c r="C10049">
        <v>102</v>
      </c>
      <c r="D10049">
        <v>1</v>
      </c>
    </row>
    <row r="10054" spans="2:4">
      <c r="B10054">
        <v>1</v>
      </c>
      <c r="C10054">
        <v>102</v>
      </c>
      <c r="D10054">
        <v>1</v>
      </c>
    </row>
    <row r="10057" spans="2:4">
      <c r="B10057">
        <v>1</v>
      </c>
      <c r="C10057">
        <v>102</v>
      </c>
      <c r="D10057">
        <v>1</v>
      </c>
    </row>
    <row r="10058" spans="2:4">
      <c r="B10058">
        <v>1</v>
      </c>
      <c r="C10058">
        <v>102</v>
      </c>
      <c r="D10058">
        <v>1</v>
      </c>
    </row>
    <row r="10061" spans="2:4">
      <c r="B10061">
        <v>1</v>
      </c>
      <c r="C10061">
        <v>102</v>
      </c>
      <c r="D10061">
        <v>1</v>
      </c>
    </row>
    <row r="10062" spans="2:4">
      <c r="B10062">
        <v>1</v>
      </c>
      <c r="C10062">
        <v>102</v>
      </c>
      <c r="D10062">
        <v>1</v>
      </c>
    </row>
    <row r="10063" spans="2:4">
      <c r="B10063">
        <v>1</v>
      </c>
      <c r="C10063">
        <v>102</v>
      </c>
      <c r="D10063">
        <v>1</v>
      </c>
    </row>
    <row r="10072" spans="2:4">
      <c r="B10072">
        <v>1</v>
      </c>
      <c r="C10072">
        <v>102</v>
      </c>
      <c r="D10072">
        <v>1</v>
      </c>
    </row>
    <row r="10079" spans="2:4">
      <c r="B10079">
        <v>1</v>
      </c>
      <c r="C10079">
        <v>102</v>
      </c>
      <c r="D10079">
        <v>1</v>
      </c>
    </row>
    <row r="10081" spans="2:4">
      <c r="B10081">
        <v>1</v>
      </c>
      <c r="C10081">
        <v>102</v>
      </c>
      <c r="D10081">
        <v>1</v>
      </c>
    </row>
    <row r="10082" spans="2:4">
      <c r="B10082">
        <v>1</v>
      </c>
      <c r="C10082">
        <v>102</v>
      </c>
      <c r="D10082">
        <v>1</v>
      </c>
    </row>
    <row r="10089" spans="2:4">
      <c r="B10089">
        <v>1</v>
      </c>
      <c r="C10089">
        <v>102</v>
      </c>
      <c r="D10089">
        <v>1</v>
      </c>
    </row>
    <row r="10094" spans="2:4">
      <c r="B10094">
        <v>1</v>
      </c>
      <c r="C10094">
        <v>102</v>
      </c>
      <c r="D10094">
        <v>1</v>
      </c>
    </row>
    <row r="10095" spans="2:4">
      <c r="B10095">
        <v>1</v>
      </c>
      <c r="C10095">
        <v>102</v>
      </c>
      <c r="D10095">
        <v>1</v>
      </c>
    </row>
    <row r="10098" spans="2:4">
      <c r="B10098">
        <v>1</v>
      </c>
      <c r="C10098">
        <v>102</v>
      </c>
      <c r="D10098">
        <v>1</v>
      </c>
    </row>
    <row r="10108" spans="2:4">
      <c r="B10108">
        <v>1</v>
      </c>
      <c r="C10108">
        <v>102</v>
      </c>
      <c r="D10108">
        <v>1</v>
      </c>
    </row>
    <row r="10110" spans="2:4">
      <c r="B10110">
        <v>1</v>
      </c>
      <c r="C10110">
        <v>102</v>
      </c>
      <c r="D10110">
        <v>1</v>
      </c>
    </row>
    <row r="10111" spans="2:4">
      <c r="B10111">
        <v>1</v>
      </c>
      <c r="C10111">
        <v>102</v>
      </c>
      <c r="D10111">
        <v>1</v>
      </c>
    </row>
    <row r="10112" spans="2:4">
      <c r="B10112">
        <v>1</v>
      </c>
      <c r="C10112">
        <v>102</v>
      </c>
      <c r="D10112">
        <v>1</v>
      </c>
    </row>
    <row r="10116" spans="2:4">
      <c r="B10116">
        <v>1</v>
      </c>
      <c r="C10116">
        <v>102</v>
      </c>
      <c r="D10116">
        <v>1</v>
      </c>
    </row>
    <row r="10117" spans="2:4">
      <c r="B10117">
        <v>1</v>
      </c>
      <c r="C10117">
        <v>102</v>
      </c>
      <c r="D10117">
        <v>1</v>
      </c>
    </row>
    <row r="10121" spans="2:4">
      <c r="B10121">
        <v>1</v>
      </c>
      <c r="C10121">
        <v>102</v>
      </c>
      <c r="D10121">
        <v>1</v>
      </c>
    </row>
    <row r="10123" spans="2:4">
      <c r="B10123">
        <v>1</v>
      </c>
      <c r="C10123">
        <v>102</v>
      </c>
      <c r="D10123">
        <v>1</v>
      </c>
    </row>
    <row r="10124" spans="2:4">
      <c r="B10124">
        <v>1</v>
      </c>
      <c r="C10124">
        <v>102</v>
      </c>
      <c r="D10124">
        <v>1</v>
      </c>
    </row>
    <row r="10128" spans="2:4">
      <c r="B10128">
        <v>1</v>
      </c>
      <c r="C10128">
        <v>102</v>
      </c>
      <c r="D10128">
        <v>1</v>
      </c>
    </row>
    <row r="10132" spans="2:4">
      <c r="B10132">
        <v>1</v>
      </c>
      <c r="C10132">
        <v>102</v>
      </c>
      <c r="D10132">
        <v>1</v>
      </c>
    </row>
    <row r="10136" spans="2:4">
      <c r="B10136">
        <v>1</v>
      </c>
      <c r="C10136">
        <v>102</v>
      </c>
      <c r="D10136">
        <v>1</v>
      </c>
    </row>
    <row r="10141" spans="2:4">
      <c r="B10141">
        <v>1</v>
      </c>
      <c r="C10141">
        <v>102</v>
      </c>
      <c r="D10141">
        <v>1</v>
      </c>
    </row>
    <row r="10143" spans="2:4">
      <c r="B10143">
        <v>1</v>
      </c>
      <c r="C10143">
        <v>102</v>
      </c>
      <c r="D10143">
        <v>1</v>
      </c>
    </row>
    <row r="10146" spans="2:4">
      <c r="B10146">
        <v>1</v>
      </c>
      <c r="C10146">
        <v>102</v>
      </c>
      <c r="D10146">
        <v>1</v>
      </c>
    </row>
    <row r="10147" spans="2:4">
      <c r="B10147">
        <v>1</v>
      </c>
      <c r="C10147">
        <v>102</v>
      </c>
      <c r="D10147">
        <v>1</v>
      </c>
    </row>
    <row r="10149" spans="2:4">
      <c r="B10149">
        <v>1</v>
      </c>
      <c r="C10149">
        <v>102</v>
      </c>
      <c r="D10149">
        <v>1</v>
      </c>
    </row>
    <row r="10150" spans="2:4">
      <c r="B10150">
        <v>1</v>
      </c>
      <c r="C10150">
        <v>102</v>
      </c>
      <c r="D10150">
        <v>1</v>
      </c>
    </row>
    <row r="10152" spans="2:4">
      <c r="B10152">
        <v>1</v>
      </c>
      <c r="C10152">
        <v>102</v>
      </c>
      <c r="D10152">
        <v>1</v>
      </c>
    </row>
    <row r="10154" spans="2:4">
      <c r="B10154">
        <v>1</v>
      </c>
      <c r="C10154">
        <v>102</v>
      </c>
      <c r="D10154">
        <v>1</v>
      </c>
    </row>
    <row r="10155" spans="2:4">
      <c r="B10155">
        <v>1</v>
      </c>
      <c r="C10155">
        <v>102</v>
      </c>
      <c r="D10155">
        <v>1</v>
      </c>
    </row>
    <row r="10158" spans="2:4">
      <c r="B10158">
        <v>1</v>
      </c>
      <c r="C10158">
        <v>102</v>
      </c>
      <c r="D10158">
        <v>1</v>
      </c>
    </row>
    <row r="10161" spans="2:4">
      <c r="B10161">
        <v>1</v>
      </c>
      <c r="C10161">
        <v>102</v>
      </c>
      <c r="D10161">
        <v>1</v>
      </c>
    </row>
    <row r="10166" spans="2:4">
      <c r="B10166">
        <v>1</v>
      </c>
      <c r="C10166">
        <v>102</v>
      </c>
      <c r="D10166">
        <v>1</v>
      </c>
    </row>
    <row r="10167" spans="2:4">
      <c r="B10167">
        <v>1</v>
      </c>
      <c r="C10167">
        <v>102</v>
      </c>
      <c r="D10167">
        <v>1</v>
      </c>
    </row>
    <row r="10168" spans="2:4">
      <c r="B10168">
        <v>1</v>
      </c>
      <c r="C10168">
        <v>102</v>
      </c>
      <c r="D10168">
        <v>1</v>
      </c>
    </row>
    <row r="10170" spans="2:4">
      <c r="B10170">
        <v>1</v>
      </c>
      <c r="C10170">
        <v>102</v>
      </c>
      <c r="D10170">
        <v>1</v>
      </c>
    </row>
    <row r="10171" spans="2:4">
      <c r="B10171">
        <v>1</v>
      </c>
      <c r="C10171">
        <v>102</v>
      </c>
      <c r="D10171">
        <v>1</v>
      </c>
    </row>
    <row r="10173" spans="2:4">
      <c r="B10173">
        <v>1</v>
      </c>
      <c r="C10173">
        <v>102</v>
      </c>
      <c r="D10173">
        <v>1</v>
      </c>
    </row>
    <row r="10179" spans="2:4">
      <c r="B10179">
        <v>1</v>
      </c>
      <c r="C10179">
        <v>102</v>
      </c>
      <c r="D10179">
        <v>1</v>
      </c>
    </row>
    <row r="10187" spans="2:4">
      <c r="B10187">
        <v>1</v>
      </c>
      <c r="C10187">
        <v>102</v>
      </c>
      <c r="D10187">
        <v>1</v>
      </c>
    </row>
    <row r="10192" spans="2:4">
      <c r="B10192">
        <v>1</v>
      </c>
      <c r="C10192">
        <v>102</v>
      </c>
      <c r="D10192">
        <v>1</v>
      </c>
    </row>
    <row r="10193" spans="2:4">
      <c r="B10193">
        <v>1</v>
      </c>
      <c r="C10193">
        <v>102</v>
      </c>
      <c r="D10193">
        <v>1</v>
      </c>
    </row>
    <row r="10194" spans="2:4">
      <c r="B10194">
        <v>1</v>
      </c>
      <c r="C10194">
        <v>102</v>
      </c>
      <c r="D10194">
        <v>1</v>
      </c>
    </row>
    <row r="10195" spans="2:4">
      <c r="B10195">
        <v>1</v>
      </c>
      <c r="C10195">
        <v>102</v>
      </c>
      <c r="D10195">
        <v>1</v>
      </c>
    </row>
    <row r="10196" spans="2:4">
      <c r="B10196">
        <v>1</v>
      </c>
      <c r="C10196">
        <v>102</v>
      </c>
      <c r="D10196">
        <v>1</v>
      </c>
    </row>
    <row r="10197" spans="2:4">
      <c r="B10197">
        <v>1</v>
      </c>
      <c r="C10197">
        <v>102</v>
      </c>
      <c r="D10197">
        <v>1</v>
      </c>
    </row>
    <row r="10199" spans="2:4">
      <c r="B10199">
        <v>1</v>
      </c>
      <c r="C10199">
        <v>102</v>
      </c>
      <c r="D10199">
        <v>1</v>
      </c>
    </row>
    <row r="10203" spans="2:4">
      <c r="B10203">
        <v>1</v>
      </c>
      <c r="C10203">
        <v>102</v>
      </c>
      <c r="D10203">
        <v>1</v>
      </c>
    </row>
    <row r="10204" spans="2:4">
      <c r="B10204">
        <v>1</v>
      </c>
      <c r="C10204">
        <v>102</v>
      </c>
      <c r="D10204">
        <v>1</v>
      </c>
    </row>
    <row r="10205" spans="2:4">
      <c r="B10205">
        <v>1</v>
      </c>
      <c r="C10205">
        <v>102</v>
      </c>
      <c r="D10205">
        <v>1</v>
      </c>
    </row>
    <row r="10206" spans="2:4">
      <c r="B10206">
        <v>1</v>
      </c>
      <c r="C10206">
        <v>102</v>
      </c>
      <c r="D10206">
        <v>1</v>
      </c>
    </row>
    <row r="10211" spans="2:4">
      <c r="B10211">
        <v>1</v>
      </c>
      <c r="C10211">
        <v>102</v>
      </c>
      <c r="D10211">
        <v>1</v>
      </c>
    </row>
    <row r="10212" spans="2:4">
      <c r="B10212">
        <v>1</v>
      </c>
      <c r="C10212">
        <v>102</v>
      </c>
      <c r="D10212">
        <v>1</v>
      </c>
    </row>
    <row r="10214" spans="2:4">
      <c r="B10214">
        <v>1</v>
      </c>
      <c r="C10214">
        <v>102</v>
      </c>
      <c r="D10214">
        <v>1</v>
      </c>
    </row>
    <row r="10215" spans="2:4">
      <c r="B10215">
        <v>1</v>
      </c>
      <c r="C10215">
        <v>102</v>
      </c>
      <c r="D10215">
        <v>1</v>
      </c>
    </row>
    <row r="10218" spans="2:4">
      <c r="B10218">
        <v>1</v>
      </c>
      <c r="C10218">
        <v>102</v>
      </c>
      <c r="D10218">
        <v>1</v>
      </c>
    </row>
    <row r="10219" spans="2:4">
      <c r="B10219">
        <v>1</v>
      </c>
      <c r="C10219">
        <v>102</v>
      </c>
      <c r="D10219">
        <v>1</v>
      </c>
    </row>
    <row r="10220" spans="2:4">
      <c r="B10220">
        <v>1</v>
      </c>
      <c r="C10220">
        <v>102</v>
      </c>
      <c r="D10220">
        <v>1</v>
      </c>
    </row>
    <row r="10225" spans="2:4">
      <c r="B10225">
        <v>1</v>
      </c>
      <c r="C10225">
        <v>102</v>
      </c>
      <c r="D10225">
        <v>1</v>
      </c>
    </row>
    <row r="10227" spans="2:4">
      <c r="B10227">
        <v>1</v>
      </c>
      <c r="C10227">
        <v>102</v>
      </c>
      <c r="D10227">
        <v>1</v>
      </c>
    </row>
    <row r="10228" spans="2:4">
      <c r="B10228">
        <v>1</v>
      </c>
      <c r="C10228">
        <v>102</v>
      </c>
      <c r="D10228">
        <v>1</v>
      </c>
    </row>
    <row r="10229" spans="2:4">
      <c r="B10229">
        <v>1</v>
      </c>
      <c r="C10229">
        <v>102</v>
      </c>
      <c r="D10229">
        <v>1</v>
      </c>
    </row>
    <row r="10231" spans="2:4">
      <c r="B10231">
        <v>1</v>
      </c>
      <c r="C10231">
        <v>102</v>
      </c>
      <c r="D10231">
        <v>1</v>
      </c>
    </row>
    <row r="10232" spans="2:4">
      <c r="B10232">
        <v>1</v>
      </c>
      <c r="C10232">
        <v>102</v>
      </c>
      <c r="D10232">
        <v>1</v>
      </c>
    </row>
    <row r="10233" spans="2:4">
      <c r="B10233">
        <v>1</v>
      </c>
      <c r="C10233">
        <v>102</v>
      </c>
      <c r="D10233">
        <v>1</v>
      </c>
    </row>
    <row r="10237" spans="2:4">
      <c r="B10237">
        <v>1</v>
      </c>
      <c r="C10237">
        <v>102</v>
      </c>
      <c r="D10237">
        <v>1</v>
      </c>
    </row>
    <row r="10242" spans="2:4">
      <c r="B10242">
        <v>1</v>
      </c>
      <c r="C10242">
        <v>102</v>
      </c>
      <c r="D10242">
        <v>1</v>
      </c>
    </row>
    <row r="10247" spans="2:4">
      <c r="B10247">
        <v>1</v>
      </c>
      <c r="C10247">
        <v>102</v>
      </c>
      <c r="D10247">
        <v>1</v>
      </c>
    </row>
    <row r="10248" spans="2:4">
      <c r="B10248">
        <v>1</v>
      </c>
      <c r="C10248">
        <v>102</v>
      </c>
      <c r="D10248">
        <v>1</v>
      </c>
    </row>
    <row r="10254" spans="2:4">
      <c r="B10254">
        <v>1</v>
      </c>
      <c r="C10254">
        <v>102</v>
      </c>
      <c r="D10254">
        <v>1</v>
      </c>
    </row>
    <row r="10261" spans="2:4">
      <c r="B10261">
        <v>1</v>
      </c>
      <c r="C10261">
        <v>102</v>
      </c>
      <c r="D10261">
        <v>1</v>
      </c>
    </row>
    <row r="10262" spans="2:4">
      <c r="B10262">
        <v>1</v>
      </c>
      <c r="C10262">
        <v>102</v>
      </c>
      <c r="D10262">
        <v>1</v>
      </c>
    </row>
    <row r="10265" spans="2:4">
      <c r="B10265">
        <v>1</v>
      </c>
      <c r="C10265">
        <v>102</v>
      </c>
      <c r="D10265">
        <v>1</v>
      </c>
    </row>
    <row r="10266" spans="2:4">
      <c r="B10266">
        <v>1</v>
      </c>
      <c r="C10266">
        <v>102</v>
      </c>
      <c r="D10266">
        <v>1</v>
      </c>
    </row>
    <row r="10272" spans="2:4">
      <c r="B10272">
        <v>1</v>
      </c>
      <c r="C10272">
        <v>102</v>
      </c>
      <c r="D10272">
        <v>1</v>
      </c>
    </row>
    <row r="10273" spans="2:4">
      <c r="B10273">
        <v>1</v>
      </c>
      <c r="C10273">
        <v>102</v>
      </c>
      <c r="D10273">
        <v>1</v>
      </c>
    </row>
    <row r="10284" spans="2:4">
      <c r="B10284">
        <v>1</v>
      </c>
      <c r="C10284">
        <v>102</v>
      </c>
      <c r="D10284">
        <v>1</v>
      </c>
    </row>
    <row r="10285" spans="2:4">
      <c r="B10285">
        <v>1</v>
      </c>
      <c r="C10285">
        <v>102</v>
      </c>
      <c r="D10285">
        <v>1</v>
      </c>
    </row>
    <row r="10288" spans="2:4">
      <c r="B10288">
        <v>1</v>
      </c>
      <c r="C10288">
        <v>102</v>
      </c>
      <c r="D10288">
        <v>1</v>
      </c>
    </row>
    <row r="10290" spans="2:4">
      <c r="B10290">
        <v>1</v>
      </c>
      <c r="C10290">
        <v>102</v>
      </c>
      <c r="D10290">
        <v>1</v>
      </c>
    </row>
    <row r="10292" spans="2:4">
      <c r="B10292">
        <v>1</v>
      </c>
      <c r="C10292">
        <v>102</v>
      </c>
      <c r="D10292">
        <v>1</v>
      </c>
    </row>
    <row r="10305" spans="2:4">
      <c r="B10305">
        <v>1</v>
      </c>
      <c r="C10305">
        <v>102</v>
      </c>
      <c r="D10305">
        <v>1</v>
      </c>
    </row>
    <row r="10310" spans="2:4">
      <c r="B10310">
        <v>1</v>
      </c>
      <c r="C10310">
        <v>102</v>
      </c>
      <c r="D10310">
        <v>1</v>
      </c>
    </row>
    <row r="10313" spans="2:4">
      <c r="B10313">
        <v>1</v>
      </c>
      <c r="C10313">
        <v>102</v>
      </c>
      <c r="D10313">
        <v>1</v>
      </c>
    </row>
    <row r="10314" spans="2:4">
      <c r="B10314">
        <v>1</v>
      </c>
      <c r="C10314">
        <v>102</v>
      </c>
      <c r="D10314">
        <v>1</v>
      </c>
    </row>
    <row r="10317" spans="2:4">
      <c r="B10317">
        <v>1</v>
      </c>
      <c r="C10317">
        <v>102</v>
      </c>
      <c r="D10317">
        <v>1</v>
      </c>
    </row>
    <row r="10318" spans="2:4">
      <c r="B10318">
        <v>1</v>
      </c>
      <c r="C10318">
        <v>102</v>
      </c>
      <c r="D10318">
        <v>1</v>
      </c>
    </row>
    <row r="10319" spans="2:4">
      <c r="B10319">
        <v>1</v>
      </c>
      <c r="C10319">
        <v>102</v>
      </c>
      <c r="D10319">
        <v>1</v>
      </c>
    </row>
    <row r="10328" spans="2:4">
      <c r="B10328">
        <v>1</v>
      </c>
      <c r="C10328">
        <v>102</v>
      </c>
      <c r="D10328">
        <v>1</v>
      </c>
    </row>
    <row r="10335" spans="2:4">
      <c r="B10335">
        <v>1</v>
      </c>
      <c r="C10335">
        <v>102</v>
      </c>
      <c r="D10335">
        <v>1</v>
      </c>
    </row>
    <row r="10337" spans="2:4">
      <c r="B10337">
        <v>1</v>
      </c>
      <c r="C10337">
        <v>102</v>
      </c>
      <c r="D10337">
        <v>1</v>
      </c>
    </row>
    <row r="10338" spans="2:4">
      <c r="B10338">
        <v>1</v>
      </c>
      <c r="C10338">
        <v>102</v>
      </c>
      <c r="D10338">
        <v>1</v>
      </c>
    </row>
    <row r="10345" spans="2:4">
      <c r="B10345">
        <v>1</v>
      </c>
      <c r="C10345">
        <v>102</v>
      </c>
      <c r="D10345">
        <v>1</v>
      </c>
    </row>
    <row r="10350" spans="2:4">
      <c r="B10350">
        <v>1</v>
      </c>
      <c r="C10350">
        <v>102</v>
      </c>
      <c r="D10350">
        <v>1</v>
      </c>
    </row>
    <row r="10351" spans="2:4">
      <c r="B10351">
        <v>1</v>
      </c>
      <c r="C10351">
        <v>102</v>
      </c>
      <c r="D10351">
        <v>1</v>
      </c>
    </row>
    <row r="10354" spans="2:4">
      <c r="B10354">
        <v>1</v>
      </c>
      <c r="C10354">
        <v>102</v>
      </c>
      <c r="D10354">
        <v>1</v>
      </c>
    </row>
    <row r="10364" spans="2:4">
      <c r="B10364">
        <v>1</v>
      </c>
      <c r="C10364">
        <v>102</v>
      </c>
      <c r="D10364">
        <v>1</v>
      </c>
    </row>
    <row r="10366" spans="2:4">
      <c r="B10366">
        <v>1</v>
      </c>
      <c r="C10366">
        <v>102</v>
      </c>
      <c r="D10366">
        <v>1</v>
      </c>
    </row>
    <row r="10367" spans="2:4">
      <c r="B10367">
        <v>1</v>
      </c>
      <c r="C10367">
        <v>102</v>
      </c>
      <c r="D10367">
        <v>1</v>
      </c>
    </row>
    <row r="10368" spans="2:4">
      <c r="B10368">
        <v>1</v>
      </c>
      <c r="C10368">
        <v>102</v>
      </c>
      <c r="D10368">
        <v>1</v>
      </c>
    </row>
    <row r="10372" spans="2:4">
      <c r="B10372">
        <v>1</v>
      </c>
      <c r="C10372">
        <v>102</v>
      </c>
      <c r="D10372">
        <v>1</v>
      </c>
    </row>
    <row r="10373" spans="2:4">
      <c r="B10373">
        <v>1</v>
      </c>
      <c r="C10373">
        <v>102</v>
      </c>
      <c r="D10373">
        <v>1</v>
      </c>
    </row>
    <row r="10377" spans="2:4">
      <c r="B10377">
        <v>1</v>
      </c>
      <c r="C10377">
        <v>102</v>
      </c>
      <c r="D10377">
        <v>1</v>
      </c>
    </row>
    <row r="10379" spans="2:4">
      <c r="B10379">
        <v>1</v>
      </c>
      <c r="C10379">
        <v>102</v>
      </c>
      <c r="D10379">
        <v>1</v>
      </c>
    </row>
    <row r="10380" spans="2:4">
      <c r="B10380">
        <v>1</v>
      </c>
      <c r="C10380">
        <v>102</v>
      </c>
      <c r="D10380">
        <v>1</v>
      </c>
    </row>
    <row r="10384" spans="2:4">
      <c r="B10384">
        <v>1</v>
      </c>
      <c r="C10384">
        <v>102</v>
      </c>
      <c r="D10384">
        <v>1</v>
      </c>
    </row>
    <row r="10388" spans="2:4">
      <c r="B10388">
        <v>1</v>
      </c>
      <c r="C10388">
        <v>102</v>
      </c>
      <c r="D10388">
        <v>1</v>
      </c>
    </row>
    <row r="10392" spans="2:4">
      <c r="B10392">
        <v>1</v>
      </c>
      <c r="C10392">
        <v>102</v>
      </c>
      <c r="D10392">
        <v>1</v>
      </c>
    </row>
    <row r="10397" spans="2:4">
      <c r="B10397">
        <v>1</v>
      </c>
      <c r="C10397">
        <v>102</v>
      </c>
      <c r="D10397">
        <v>1</v>
      </c>
    </row>
    <row r="10399" spans="2:4">
      <c r="B10399">
        <v>1</v>
      </c>
      <c r="C10399">
        <v>102</v>
      </c>
      <c r="D10399">
        <v>1</v>
      </c>
    </row>
    <row r="10402" spans="2:4">
      <c r="B10402">
        <v>1</v>
      </c>
      <c r="C10402">
        <v>102</v>
      </c>
      <c r="D10402">
        <v>1</v>
      </c>
    </row>
    <row r="10403" spans="2:4">
      <c r="B10403">
        <v>1</v>
      </c>
      <c r="C10403">
        <v>102</v>
      </c>
      <c r="D10403">
        <v>1</v>
      </c>
    </row>
    <row r="10405" spans="2:4">
      <c r="B10405">
        <v>1</v>
      </c>
      <c r="C10405">
        <v>102</v>
      </c>
      <c r="D10405">
        <v>1</v>
      </c>
    </row>
    <row r="10406" spans="2:4">
      <c r="B10406">
        <v>1</v>
      </c>
      <c r="C10406">
        <v>102</v>
      </c>
      <c r="D10406">
        <v>1</v>
      </c>
    </row>
    <row r="10408" spans="2:4">
      <c r="B10408">
        <v>1</v>
      </c>
      <c r="C10408">
        <v>102</v>
      </c>
      <c r="D10408">
        <v>1</v>
      </c>
    </row>
    <row r="10410" spans="2:4">
      <c r="B10410">
        <v>1</v>
      </c>
      <c r="C10410">
        <v>102</v>
      </c>
      <c r="D10410">
        <v>1</v>
      </c>
    </row>
    <row r="10411" spans="2:4">
      <c r="B10411">
        <v>1</v>
      </c>
      <c r="C10411">
        <v>102</v>
      </c>
      <c r="D10411">
        <v>1</v>
      </c>
    </row>
    <row r="10414" spans="2:4">
      <c r="B10414">
        <v>1</v>
      </c>
      <c r="C10414">
        <v>102</v>
      </c>
      <c r="D10414">
        <v>1</v>
      </c>
    </row>
    <row r="10417" spans="2:4">
      <c r="B10417">
        <v>1</v>
      </c>
      <c r="C10417">
        <v>102</v>
      </c>
      <c r="D10417">
        <v>1</v>
      </c>
    </row>
    <row r="10422" spans="2:4">
      <c r="B10422">
        <v>1</v>
      </c>
      <c r="C10422">
        <v>102</v>
      </c>
      <c r="D10422">
        <v>1</v>
      </c>
    </row>
    <row r="10423" spans="2:4">
      <c r="B10423">
        <v>1</v>
      </c>
      <c r="C10423">
        <v>102</v>
      </c>
      <c r="D10423">
        <v>1</v>
      </c>
    </row>
    <row r="10424" spans="2:4">
      <c r="B10424">
        <v>1</v>
      </c>
      <c r="C10424">
        <v>102</v>
      </c>
      <c r="D10424">
        <v>1</v>
      </c>
    </row>
    <row r="10426" spans="2:4">
      <c r="B10426">
        <v>1</v>
      </c>
      <c r="C10426">
        <v>102</v>
      </c>
      <c r="D10426">
        <v>1</v>
      </c>
    </row>
    <row r="10427" spans="2:4">
      <c r="B10427">
        <v>1</v>
      </c>
      <c r="C10427">
        <v>102</v>
      </c>
      <c r="D10427">
        <v>1</v>
      </c>
    </row>
    <row r="10429" spans="2:4">
      <c r="B10429">
        <v>1</v>
      </c>
      <c r="C10429">
        <v>102</v>
      </c>
      <c r="D10429">
        <v>1</v>
      </c>
    </row>
    <row r="10435" spans="2:4">
      <c r="B10435">
        <v>1</v>
      </c>
      <c r="C10435">
        <v>102</v>
      </c>
      <c r="D10435">
        <v>1</v>
      </c>
    </row>
    <row r="10443" spans="2:4">
      <c r="B10443">
        <v>1</v>
      </c>
      <c r="C10443">
        <v>102</v>
      </c>
      <c r="D10443">
        <v>1</v>
      </c>
    </row>
    <row r="10448" spans="2:4">
      <c r="B10448">
        <v>1</v>
      </c>
      <c r="C10448">
        <v>102</v>
      </c>
      <c r="D10448">
        <v>1</v>
      </c>
    </row>
    <row r="10449" spans="2:4">
      <c r="B10449">
        <v>1</v>
      </c>
      <c r="C10449">
        <v>102</v>
      </c>
      <c r="D10449">
        <v>1</v>
      </c>
    </row>
    <row r="10450" spans="2:4">
      <c r="B10450">
        <v>1</v>
      </c>
      <c r="C10450">
        <v>102</v>
      </c>
      <c r="D10450">
        <v>1</v>
      </c>
    </row>
    <row r="10451" spans="2:4">
      <c r="B10451">
        <v>1</v>
      </c>
      <c r="C10451">
        <v>102</v>
      </c>
      <c r="D10451">
        <v>1</v>
      </c>
    </row>
    <row r="10452" spans="2:4">
      <c r="B10452">
        <v>1</v>
      </c>
      <c r="C10452">
        <v>102</v>
      </c>
      <c r="D10452">
        <v>1</v>
      </c>
    </row>
    <row r="10453" spans="2:4">
      <c r="B10453">
        <v>1</v>
      </c>
      <c r="C10453">
        <v>102</v>
      </c>
      <c r="D10453">
        <v>1</v>
      </c>
    </row>
    <row r="10455" spans="2:4">
      <c r="B10455">
        <v>1</v>
      </c>
      <c r="C10455">
        <v>102</v>
      </c>
      <c r="D10455">
        <v>1</v>
      </c>
    </row>
    <row r="10459" spans="2:4">
      <c r="B10459">
        <v>1</v>
      </c>
      <c r="C10459">
        <v>102</v>
      </c>
      <c r="D10459">
        <v>1</v>
      </c>
    </row>
    <row r="10460" spans="2:4">
      <c r="B10460">
        <v>1</v>
      </c>
      <c r="C10460">
        <v>102</v>
      </c>
      <c r="D10460">
        <v>1</v>
      </c>
    </row>
    <row r="10461" spans="2:4">
      <c r="B10461">
        <v>1</v>
      </c>
      <c r="C10461">
        <v>102</v>
      </c>
      <c r="D10461">
        <v>1</v>
      </c>
    </row>
    <row r="10462" spans="2:4">
      <c r="B10462">
        <v>1</v>
      </c>
      <c r="C10462">
        <v>102</v>
      </c>
      <c r="D10462">
        <v>1</v>
      </c>
    </row>
    <row r="10467" spans="2:4">
      <c r="B10467">
        <v>1</v>
      </c>
      <c r="C10467">
        <v>102</v>
      </c>
      <c r="D10467">
        <v>1</v>
      </c>
    </row>
    <row r="10468" spans="2:4">
      <c r="B10468">
        <v>1</v>
      </c>
      <c r="C10468">
        <v>102</v>
      </c>
      <c r="D10468">
        <v>1</v>
      </c>
    </row>
    <row r="10470" spans="2:4">
      <c r="B10470">
        <v>1</v>
      </c>
      <c r="C10470">
        <v>102</v>
      </c>
      <c r="D10470">
        <v>1</v>
      </c>
    </row>
    <row r="10471" spans="2:4">
      <c r="B10471">
        <v>1</v>
      </c>
      <c r="C10471">
        <v>102</v>
      </c>
      <c r="D10471">
        <v>1</v>
      </c>
    </row>
    <row r="10474" spans="2:4">
      <c r="B10474">
        <v>1</v>
      </c>
      <c r="C10474">
        <v>102</v>
      </c>
      <c r="D10474">
        <v>1</v>
      </c>
    </row>
    <row r="10475" spans="2:4">
      <c r="B10475">
        <v>1</v>
      </c>
      <c r="C10475">
        <v>102</v>
      </c>
      <c r="D10475">
        <v>1</v>
      </c>
    </row>
    <row r="10476" spans="2:4">
      <c r="B10476">
        <v>1</v>
      </c>
      <c r="C10476">
        <v>102</v>
      </c>
      <c r="D10476">
        <v>1</v>
      </c>
    </row>
    <row r="10481" spans="2:4">
      <c r="B10481">
        <v>1</v>
      </c>
      <c r="C10481">
        <v>102</v>
      </c>
      <c r="D10481">
        <v>1</v>
      </c>
    </row>
    <row r="10483" spans="2:4">
      <c r="B10483">
        <v>1</v>
      </c>
      <c r="C10483">
        <v>102</v>
      </c>
      <c r="D10483">
        <v>1</v>
      </c>
    </row>
    <row r="10484" spans="2:4">
      <c r="B10484">
        <v>1</v>
      </c>
      <c r="C10484">
        <v>102</v>
      </c>
      <c r="D10484">
        <v>1</v>
      </c>
    </row>
    <row r="10485" spans="2:4">
      <c r="B10485">
        <v>1</v>
      </c>
      <c r="C10485">
        <v>102</v>
      </c>
      <c r="D10485">
        <v>1</v>
      </c>
    </row>
    <row r="10487" spans="2:4">
      <c r="B10487">
        <v>1</v>
      </c>
      <c r="C10487">
        <v>102</v>
      </c>
      <c r="D10487">
        <v>1</v>
      </c>
    </row>
    <row r="10488" spans="2:4">
      <c r="B10488">
        <v>1</v>
      </c>
      <c r="C10488">
        <v>102</v>
      </c>
      <c r="D10488">
        <v>1</v>
      </c>
    </row>
    <row r="10489" spans="2:4">
      <c r="B10489">
        <v>1</v>
      </c>
      <c r="C10489">
        <v>102</v>
      </c>
      <c r="D10489">
        <v>1</v>
      </c>
    </row>
    <row r="10493" spans="2:4">
      <c r="B10493">
        <v>1</v>
      </c>
      <c r="C10493">
        <v>102</v>
      </c>
      <c r="D10493">
        <v>1</v>
      </c>
    </row>
    <row r="10498" spans="2:4">
      <c r="B10498">
        <v>1</v>
      </c>
      <c r="C10498">
        <v>102</v>
      </c>
      <c r="D10498">
        <v>1</v>
      </c>
    </row>
    <row r="10503" spans="2:4">
      <c r="B10503">
        <v>1</v>
      </c>
      <c r="C10503">
        <v>102</v>
      </c>
      <c r="D10503">
        <v>1</v>
      </c>
    </row>
    <row r="10504" spans="2:4">
      <c r="B10504">
        <v>1</v>
      </c>
      <c r="C10504">
        <v>102</v>
      </c>
      <c r="D10504">
        <v>1</v>
      </c>
    </row>
    <row r="10510" spans="2:4">
      <c r="B10510">
        <v>1</v>
      </c>
      <c r="C10510">
        <v>102</v>
      </c>
      <c r="D10510">
        <v>1</v>
      </c>
    </row>
    <row r="10517" spans="2:4">
      <c r="B10517">
        <v>1</v>
      </c>
      <c r="C10517">
        <v>102</v>
      </c>
      <c r="D10517">
        <v>1</v>
      </c>
    </row>
    <row r="10518" spans="2:4">
      <c r="B10518">
        <v>1</v>
      </c>
      <c r="C10518">
        <v>102</v>
      </c>
      <c r="D10518">
        <v>1</v>
      </c>
    </row>
    <row r="10521" spans="2:4">
      <c r="B10521">
        <v>1</v>
      </c>
      <c r="C10521">
        <v>102</v>
      </c>
      <c r="D10521">
        <v>1</v>
      </c>
    </row>
    <row r="10522" spans="2:4">
      <c r="B10522">
        <v>1</v>
      </c>
      <c r="C10522">
        <v>102</v>
      </c>
      <c r="D10522">
        <v>1</v>
      </c>
    </row>
    <row r="10528" spans="2:4">
      <c r="B10528">
        <v>1</v>
      </c>
      <c r="C10528">
        <v>102</v>
      </c>
      <c r="D10528">
        <v>1</v>
      </c>
    </row>
    <row r="10529" spans="2:4">
      <c r="B10529">
        <v>1</v>
      </c>
      <c r="C10529">
        <v>102</v>
      </c>
      <c r="D10529">
        <v>1</v>
      </c>
    </row>
    <row r="10540" spans="2:4">
      <c r="B10540">
        <v>1</v>
      </c>
      <c r="C10540">
        <v>102</v>
      </c>
      <c r="D10540">
        <v>1</v>
      </c>
    </row>
    <row r="10541" spans="2:4">
      <c r="B10541">
        <v>1</v>
      </c>
      <c r="C10541">
        <v>102</v>
      </c>
      <c r="D10541">
        <v>1</v>
      </c>
    </row>
    <row r="10544" spans="2:4">
      <c r="B10544">
        <v>1</v>
      </c>
      <c r="C10544">
        <v>102</v>
      </c>
      <c r="D10544">
        <v>1</v>
      </c>
    </row>
    <row r="10546" spans="2:4">
      <c r="B10546">
        <v>1</v>
      </c>
      <c r="C10546">
        <v>102</v>
      </c>
      <c r="D10546">
        <v>1</v>
      </c>
    </row>
    <row r="10548" spans="2:4">
      <c r="B10548">
        <v>1</v>
      </c>
      <c r="C10548">
        <v>102</v>
      </c>
      <c r="D10548">
        <v>1</v>
      </c>
    </row>
    <row r="10561" spans="2:4">
      <c r="B10561">
        <v>1</v>
      </c>
      <c r="C10561">
        <v>102</v>
      </c>
      <c r="D10561">
        <v>1</v>
      </c>
    </row>
    <row r="10566" spans="2:4">
      <c r="B10566">
        <v>1</v>
      </c>
      <c r="C10566">
        <v>102</v>
      </c>
      <c r="D10566">
        <v>1</v>
      </c>
    </row>
    <row r="10569" spans="2:4">
      <c r="B10569">
        <v>1</v>
      </c>
      <c r="C10569">
        <v>102</v>
      </c>
      <c r="D10569">
        <v>1</v>
      </c>
    </row>
    <row r="10570" spans="2:4">
      <c r="B10570">
        <v>1</v>
      </c>
      <c r="C10570">
        <v>102</v>
      </c>
      <c r="D10570">
        <v>1</v>
      </c>
    </row>
    <row r="10573" spans="2:4">
      <c r="B10573">
        <v>1</v>
      </c>
      <c r="C10573">
        <v>102</v>
      </c>
      <c r="D10573">
        <v>1</v>
      </c>
    </row>
    <row r="10574" spans="2:4">
      <c r="B10574">
        <v>1</v>
      </c>
      <c r="C10574">
        <v>102</v>
      </c>
      <c r="D10574">
        <v>1</v>
      </c>
    </row>
    <row r="10575" spans="2:4">
      <c r="B10575">
        <v>1</v>
      </c>
      <c r="C10575">
        <v>102</v>
      </c>
      <c r="D10575">
        <v>1</v>
      </c>
    </row>
    <row r="10584" spans="2:4">
      <c r="B10584">
        <v>1</v>
      </c>
      <c r="C10584">
        <v>102</v>
      </c>
      <c r="D10584">
        <v>1</v>
      </c>
    </row>
    <row r="10591" spans="2:4">
      <c r="B10591">
        <v>1</v>
      </c>
      <c r="C10591">
        <v>102</v>
      </c>
      <c r="D10591">
        <v>1</v>
      </c>
    </row>
    <row r="10593" spans="2:4">
      <c r="B10593">
        <v>1</v>
      </c>
      <c r="C10593">
        <v>102</v>
      </c>
      <c r="D10593">
        <v>1</v>
      </c>
    </row>
    <row r="10594" spans="2:4">
      <c r="B10594">
        <v>1</v>
      </c>
      <c r="C10594">
        <v>102</v>
      </c>
      <c r="D10594">
        <v>1</v>
      </c>
    </row>
    <row r="10601" spans="2:4">
      <c r="B10601">
        <v>1</v>
      </c>
      <c r="C10601">
        <v>102</v>
      </c>
      <c r="D10601">
        <v>1</v>
      </c>
    </row>
    <row r="10606" spans="2:4">
      <c r="B10606">
        <v>1</v>
      </c>
      <c r="C10606">
        <v>102</v>
      </c>
      <c r="D10606">
        <v>1</v>
      </c>
    </row>
    <row r="10607" spans="2:4">
      <c r="B10607">
        <v>1</v>
      </c>
      <c r="C10607">
        <v>102</v>
      </c>
      <c r="D10607">
        <v>1</v>
      </c>
    </row>
    <row r="10610" spans="2:4">
      <c r="B10610">
        <v>1</v>
      </c>
      <c r="C10610">
        <v>102</v>
      </c>
      <c r="D10610">
        <v>1</v>
      </c>
    </row>
    <row r="10620" spans="2:4">
      <c r="B10620">
        <v>1</v>
      </c>
      <c r="C10620">
        <v>102</v>
      </c>
      <c r="D10620">
        <v>1</v>
      </c>
    </row>
    <row r="10622" spans="2:4">
      <c r="B10622">
        <v>1</v>
      </c>
      <c r="C10622">
        <v>102</v>
      </c>
      <c r="D10622">
        <v>1</v>
      </c>
    </row>
    <row r="10623" spans="2:4">
      <c r="B10623">
        <v>1</v>
      </c>
      <c r="C10623">
        <v>102</v>
      </c>
      <c r="D10623">
        <v>1</v>
      </c>
    </row>
    <row r="10624" spans="2:4">
      <c r="B10624">
        <v>1</v>
      </c>
      <c r="C10624">
        <v>102</v>
      </c>
      <c r="D10624">
        <v>1</v>
      </c>
    </row>
    <row r="10628" spans="2:4">
      <c r="B10628">
        <v>1</v>
      </c>
      <c r="C10628">
        <v>102</v>
      </c>
      <c r="D10628">
        <v>1</v>
      </c>
    </row>
    <row r="10629" spans="2:4">
      <c r="B10629">
        <v>1</v>
      </c>
      <c r="C10629">
        <v>102</v>
      </c>
      <c r="D10629">
        <v>1</v>
      </c>
    </row>
    <row r="10633" spans="2:4">
      <c r="B10633">
        <v>1</v>
      </c>
      <c r="C10633">
        <v>102</v>
      </c>
      <c r="D10633">
        <v>1</v>
      </c>
    </row>
    <row r="10635" spans="2:4">
      <c r="B10635">
        <v>1</v>
      </c>
      <c r="C10635">
        <v>102</v>
      </c>
      <c r="D10635">
        <v>1</v>
      </c>
    </row>
    <row r="10636" spans="2:4">
      <c r="B10636">
        <v>1</v>
      </c>
      <c r="C10636">
        <v>102</v>
      </c>
      <c r="D10636">
        <v>1</v>
      </c>
    </row>
    <row r="10640" spans="2:4">
      <c r="B10640">
        <v>1</v>
      </c>
      <c r="C10640">
        <v>102</v>
      </c>
      <c r="D10640">
        <v>1</v>
      </c>
    </row>
    <row r="10644" spans="2:4">
      <c r="B10644">
        <v>1</v>
      </c>
      <c r="C10644">
        <v>102</v>
      </c>
      <c r="D10644">
        <v>1</v>
      </c>
    </row>
    <row r="10648" spans="2:4">
      <c r="B10648">
        <v>1</v>
      </c>
      <c r="C10648">
        <v>102</v>
      </c>
      <c r="D10648">
        <v>1</v>
      </c>
    </row>
    <row r="10653" spans="2:4">
      <c r="B10653">
        <v>1</v>
      </c>
      <c r="C10653">
        <v>102</v>
      </c>
      <c r="D10653">
        <v>1</v>
      </c>
    </row>
    <row r="10655" spans="2:4">
      <c r="B10655">
        <v>1</v>
      </c>
      <c r="C10655">
        <v>102</v>
      </c>
      <c r="D10655">
        <v>1</v>
      </c>
    </row>
    <row r="10658" spans="2:4">
      <c r="B10658">
        <v>1</v>
      </c>
      <c r="C10658">
        <v>102</v>
      </c>
      <c r="D10658">
        <v>1</v>
      </c>
    </row>
    <row r="10659" spans="2:4">
      <c r="B10659">
        <v>1</v>
      </c>
      <c r="C10659">
        <v>102</v>
      </c>
      <c r="D10659">
        <v>1</v>
      </c>
    </row>
    <row r="10661" spans="2:4">
      <c r="B10661">
        <v>1</v>
      </c>
      <c r="C10661">
        <v>102</v>
      </c>
      <c r="D10661">
        <v>1</v>
      </c>
    </row>
    <row r="10662" spans="2:4">
      <c r="B10662">
        <v>1</v>
      </c>
      <c r="C10662">
        <v>102</v>
      </c>
      <c r="D10662">
        <v>1</v>
      </c>
    </row>
    <row r="10664" spans="2:4">
      <c r="B10664">
        <v>1</v>
      </c>
      <c r="C10664">
        <v>102</v>
      </c>
      <c r="D10664">
        <v>1</v>
      </c>
    </row>
    <row r="10666" spans="2:4">
      <c r="B10666">
        <v>1</v>
      </c>
      <c r="C10666">
        <v>102</v>
      </c>
      <c r="D10666">
        <v>1</v>
      </c>
    </row>
    <row r="10667" spans="2:4">
      <c r="B10667">
        <v>1</v>
      </c>
      <c r="C10667">
        <v>102</v>
      </c>
      <c r="D10667">
        <v>1</v>
      </c>
    </row>
    <row r="10670" spans="2:4">
      <c r="B10670">
        <v>1</v>
      </c>
      <c r="C10670">
        <v>102</v>
      </c>
      <c r="D10670">
        <v>1</v>
      </c>
    </row>
    <row r="10673" spans="2:4">
      <c r="B10673">
        <v>1</v>
      </c>
      <c r="C10673">
        <v>102</v>
      </c>
      <c r="D10673">
        <v>1</v>
      </c>
    </row>
    <row r="10678" spans="2:4">
      <c r="B10678">
        <v>1</v>
      </c>
      <c r="C10678">
        <v>102</v>
      </c>
      <c r="D10678">
        <v>1</v>
      </c>
    </row>
    <row r="10679" spans="2:4">
      <c r="B10679">
        <v>1</v>
      </c>
      <c r="C10679">
        <v>102</v>
      </c>
      <c r="D10679">
        <v>1</v>
      </c>
    </row>
    <row r="10680" spans="2:4">
      <c r="B10680">
        <v>1</v>
      </c>
      <c r="C10680">
        <v>102</v>
      </c>
      <c r="D10680">
        <v>1</v>
      </c>
    </row>
    <row r="10682" spans="2:4">
      <c r="B10682">
        <v>1</v>
      </c>
      <c r="C10682">
        <v>102</v>
      </c>
      <c r="D10682">
        <v>1</v>
      </c>
    </row>
    <row r="10683" spans="2:4">
      <c r="B10683">
        <v>1</v>
      </c>
      <c r="C10683">
        <v>102</v>
      </c>
      <c r="D10683">
        <v>1</v>
      </c>
    </row>
    <row r="10685" spans="2:4">
      <c r="B10685">
        <v>1</v>
      </c>
      <c r="C10685">
        <v>102</v>
      </c>
      <c r="D10685">
        <v>1</v>
      </c>
    </row>
    <row r="10691" spans="2:4">
      <c r="B10691">
        <v>1</v>
      </c>
      <c r="C10691">
        <v>102</v>
      </c>
      <c r="D10691">
        <v>1</v>
      </c>
    </row>
    <row r="10699" spans="2:4">
      <c r="B10699">
        <v>1</v>
      </c>
      <c r="C10699">
        <v>102</v>
      </c>
      <c r="D10699">
        <v>1</v>
      </c>
    </row>
    <row r="10704" spans="2:4">
      <c r="B10704">
        <v>1</v>
      </c>
      <c r="C10704">
        <v>102</v>
      </c>
      <c r="D10704">
        <v>1</v>
      </c>
    </row>
    <row r="10705" spans="2:4">
      <c r="B10705">
        <v>1</v>
      </c>
      <c r="C10705">
        <v>102</v>
      </c>
      <c r="D10705">
        <v>1</v>
      </c>
    </row>
    <row r="10706" spans="2:4">
      <c r="B10706">
        <v>1</v>
      </c>
      <c r="C10706">
        <v>102</v>
      </c>
      <c r="D10706">
        <v>1</v>
      </c>
    </row>
    <row r="10707" spans="2:4">
      <c r="B10707">
        <v>1</v>
      </c>
      <c r="C10707">
        <v>102</v>
      </c>
      <c r="D10707">
        <v>1</v>
      </c>
    </row>
    <row r="10708" spans="2:4">
      <c r="B10708">
        <v>1</v>
      </c>
      <c r="C10708">
        <v>102</v>
      </c>
      <c r="D10708">
        <v>1</v>
      </c>
    </row>
    <row r="10709" spans="2:4">
      <c r="B10709">
        <v>1</v>
      </c>
      <c r="C10709">
        <v>102</v>
      </c>
      <c r="D10709">
        <v>1</v>
      </c>
    </row>
    <row r="10711" spans="2:4">
      <c r="B10711">
        <v>1</v>
      </c>
      <c r="C10711">
        <v>102</v>
      </c>
      <c r="D10711">
        <v>1</v>
      </c>
    </row>
    <row r="10715" spans="2:4">
      <c r="B10715">
        <v>1</v>
      </c>
      <c r="C10715">
        <v>102</v>
      </c>
      <c r="D10715">
        <v>1</v>
      </c>
    </row>
    <row r="10716" spans="2:4">
      <c r="B10716">
        <v>1</v>
      </c>
      <c r="C10716">
        <v>102</v>
      </c>
      <c r="D10716">
        <v>1</v>
      </c>
    </row>
    <row r="10717" spans="2:4">
      <c r="B10717">
        <v>1</v>
      </c>
      <c r="C10717">
        <v>102</v>
      </c>
      <c r="D10717">
        <v>1</v>
      </c>
    </row>
    <row r="10718" spans="2:4">
      <c r="B10718">
        <v>1</v>
      </c>
      <c r="C10718">
        <v>102</v>
      </c>
      <c r="D10718">
        <v>1</v>
      </c>
    </row>
    <row r="10723" spans="2:4">
      <c r="B10723">
        <v>1</v>
      </c>
      <c r="C10723">
        <v>102</v>
      </c>
      <c r="D10723">
        <v>1</v>
      </c>
    </row>
    <row r="10724" spans="2:4">
      <c r="B10724">
        <v>1</v>
      </c>
      <c r="C10724">
        <v>102</v>
      </c>
      <c r="D10724">
        <v>1</v>
      </c>
    </row>
    <row r="10726" spans="2:4">
      <c r="B10726">
        <v>1</v>
      </c>
      <c r="C10726">
        <v>102</v>
      </c>
      <c r="D10726">
        <v>1</v>
      </c>
    </row>
    <row r="10727" spans="2:4">
      <c r="B10727">
        <v>1</v>
      </c>
      <c r="C10727">
        <v>102</v>
      </c>
      <c r="D10727">
        <v>1</v>
      </c>
    </row>
    <row r="10730" spans="2:4">
      <c r="B10730">
        <v>1</v>
      </c>
      <c r="C10730">
        <v>102</v>
      </c>
      <c r="D10730">
        <v>1</v>
      </c>
    </row>
    <row r="10731" spans="2:4">
      <c r="B10731">
        <v>1</v>
      </c>
      <c r="C10731">
        <v>102</v>
      </c>
      <c r="D10731">
        <v>1</v>
      </c>
    </row>
    <row r="10732" spans="2:4">
      <c r="B10732">
        <v>1</v>
      </c>
      <c r="C10732">
        <v>102</v>
      </c>
      <c r="D10732">
        <v>1</v>
      </c>
    </row>
    <row r="10737" spans="2:4">
      <c r="B10737">
        <v>1</v>
      </c>
      <c r="C10737">
        <v>102</v>
      </c>
      <c r="D10737">
        <v>1</v>
      </c>
    </row>
    <row r="10739" spans="2:4">
      <c r="B10739">
        <v>1</v>
      </c>
      <c r="C10739">
        <v>102</v>
      </c>
      <c r="D10739">
        <v>1</v>
      </c>
    </row>
    <row r="10740" spans="2:4">
      <c r="B10740">
        <v>1</v>
      </c>
      <c r="C10740">
        <v>102</v>
      </c>
      <c r="D10740">
        <v>1</v>
      </c>
    </row>
    <row r="10741" spans="2:4">
      <c r="B10741">
        <v>1</v>
      </c>
      <c r="C10741">
        <v>102</v>
      </c>
      <c r="D10741">
        <v>1</v>
      </c>
    </row>
    <row r="10743" spans="2:4">
      <c r="B10743">
        <v>1</v>
      </c>
      <c r="C10743">
        <v>102</v>
      </c>
      <c r="D10743">
        <v>1</v>
      </c>
    </row>
    <row r="10744" spans="2:4">
      <c r="B10744">
        <v>1</v>
      </c>
      <c r="C10744">
        <v>102</v>
      </c>
      <c r="D10744">
        <v>1</v>
      </c>
    </row>
    <row r="10745" spans="2:4">
      <c r="B10745">
        <v>1</v>
      </c>
      <c r="C10745">
        <v>102</v>
      </c>
      <c r="D10745">
        <v>1</v>
      </c>
    </row>
    <row r="10749" spans="2:4">
      <c r="B10749">
        <v>1</v>
      </c>
      <c r="C10749">
        <v>102</v>
      </c>
      <c r="D10749">
        <v>1</v>
      </c>
    </row>
    <row r="10754" spans="2:4">
      <c r="B10754">
        <v>1</v>
      </c>
      <c r="C10754">
        <v>102</v>
      </c>
      <c r="D10754">
        <v>1</v>
      </c>
    </row>
    <row r="10759" spans="2:4">
      <c r="B10759">
        <v>1</v>
      </c>
      <c r="C10759">
        <v>102</v>
      </c>
      <c r="D10759">
        <v>1</v>
      </c>
    </row>
    <row r="10760" spans="2:4">
      <c r="B10760">
        <v>1</v>
      </c>
      <c r="C10760">
        <v>102</v>
      </c>
      <c r="D10760">
        <v>1</v>
      </c>
    </row>
    <row r="10766" spans="2:4">
      <c r="B10766">
        <v>1</v>
      </c>
      <c r="C10766">
        <v>102</v>
      </c>
      <c r="D10766">
        <v>1</v>
      </c>
    </row>
    <row r="10773" spans="2:4">
      <c r="B10773">
        <v>1</v>
      </c>
      <c r="C10773">
        <v>102</v>
      </c>
      <c r="D10773">
        <v>1</v>
      </c>
    </row>
    <row r="10774" spans="2:4">
      <c r="B10774">
        <v>1</v>
      </c>
      <c r="C10774">
        <v>102</v>
      </c>
      <c r="D10774">
        <v>1</v>
      </c>
    </row>
    <row r="10777" spans="2:4">
      <c r="B10777">
        <v>1</v>
      </c>
      <c r="C10777">
        <v>102</v>
      </c>
      <c r="D10777">
        <v>1</v>
      </c>
    </row>
    <row r="10778" spans="2:4">
      <c r="B10778">
        <v>1</v>
      </c>
      <c r="C10778">
        <v>102</v>
      </c>
      <c r="D10778">
        <v>1</v>
      </c>
    </row>
    <row r="10784" spans="2:4">
      <c r="B10784">
        <v>1</v>
      </c>
      <c r="C10784">
        <v>102</v>
      </c>
      <c r="D10784">
        <v>1</v>
      </c>
    </row>
    <row r="10785" spans="2:4">
      <c r="B10785">
        <v>1</v>
      </c>
      <c r="C10785">
        <v>102</v>
      </c>
      <c r="D10785">
        <v>1</v>
      </c>
    </row>
    <row r="10796" spans="2:4">
      <c r="B10796">
        <v>1</v>
      </c>
      <c r="C10796">
        <v>102</v>
      </c>
      <c r="D10796">
        <v>1</v>
      </c>
    </row>
    <row r="10797" spans="2:4">
      <c r="B10797">
        <v>1</v>
      </c>
      <c r="C10797">
        <v>102</v>
      </c>
      <c r="D10797">
        <v>1</v>
      </c>
    </row>
    <row r="10800" spans="2:4">
      <c r="B10800">
        <v>1</v>
      </c>
      <c r="C10800">
        <v>102</v>
      </c>
      <c r="D10800">
        <v>1</v>
      </c>
    </row>
    <row r="10802" spans="2:4">
      <c r="B10802">
        <v>1</v>
      </c>
      <c r="C10802">
        <v>102</v>
      </c>
      <c r="D10802">
        <v>1</v>
      </c>
    </row>
    <row r="10804" spans="2:4">
      <c r="B10804">
        <v>1</v>
      </c>
      <c r="C10804">
        <v>102</v>
      </c>
      <c r="D10804">
        <v>1</v>
      </c>
    </row>
    <row r="10817" spans="2:4">
      <c r="B10817">
        <v>1</v>
      </c>
      <c r="C10817">
        <v>102</v>
      </c>
      <c r="D10817">
        <v>1</v>
      </c>
    </row>
    <row r="10822" spans="2:4">
      <c r="B10822">
        <v>1</v>
      </c>
      <c r="C10822">
        <v>102</v>
      </c>
      <c r="D10822">
        <v>1</v>
      </c>
    </row>
    <row r="10825" spans="2:4">
      <c r="B10825">
        <v>1</v>
      </c>
      <c r="C10825">
        <v>102</v>
      </c>
      <c r="D10825">
        <v>1</v>
      </c>
    </row>
    <row r="10826" spans="2:4">
      <c r="B10826">
        <v>1</v>
      </c>
      <c r="C10826">
        <v>102</v>
      </c>
      <c r="D10826">
        <v>1</v>
      </c>
    </row>
    <row r="10829" spans="2:4">
      <c r="B10829">
        <v>1</v>
      </c>
      <c r="C10829">
        <v>102</v>
      </c>
      <c r="D10829">
        <v>1</v>
      </c>
    </row>
    <row r="10830" spans="2:4">
      <c r="B10830">
        <v>1</v>
      </c>
      <c r="C10830">
        <v>102</v>
      </c>
      <c r="D10830">
        <v>1</v>
      </c>
    </row>
    <row r="10831" spans="2:4">
      <c r="B10831">
        <v>1</v>
      </c>
      <c r="C10831">
        <v>102</v>
      </c>
      <c r="D10831">
        <v>1</v>
      </c>
    </row>
    <row r="10840" spans="2:4">
      <c r="B10840">
        <v>1</v>
      </c>
      <c r="C10840">
        <v>102</v>
      </c>
      <c r="D10840">
        <v>1</v>
      </c>
    </row>
    <row r="10847" spans="2:4">
      <c r="B10847">
        <v>1</v>
      </c>
      <c r="C10847">
        <v>102</v>
      </c>
      <c r="D10847">
        <v>1</v>
      </c>
    </row>
    <row r="10849" spans="2:4">
      <c r="B10849">
        <v>1</v>
      </c>
      <c r="C10849">
        <v>102</v>
      </c>
      <c r="D10849">
        <v>1</v>
      </c>
    </row>
    <row r="10850" spans="2:4">
      <c r="B10850">
        <v>1</v>
      </c>
      <c r="C10850">
        <v>102</v>
      </c>
      <c r="D10850">
        <v>1</v>
      </c>
    </row>
    <row r="10857" spans="2:4">
      <c r="B10857">
        <v>1</v>
      </c>
      <c r="C10857">
        <v>102</v>
      </c>
      <c r="D10857">
        <v>1</v>
      </c>
    </row>
    <row r="10862" spans="2:4">
      <c r="B10862">
        <v>1</v>
      </c>
      <c r="C10862">
        <v>102</v>
      </c>
      <c r="D10862">
        <v>1</v>
      </c>
    </row>
    <row r="10863" spans="2:4">
      <c r="B10863">
        <v>1</v>
      </c>
      <c r="C10863">
        <v>102</v>
      </c>
      <c r="D10863">
        <v>1</v>
      </c>
    </row>
    <row r="10866" spans="2:4">
      <c r="B10866">
        <v>1</v>
      </c>
      <c r="C10866">
        <v>102</v>
      </c>
      <c r="D10866">
        <v>1</v>
      </c>
    </row>
    <row r="10876" spans="2:4">
      <c r="B10876">
        <v>1</v>
      </c>
      <c r="C10876">
        <v>102</v>
      </c>
      <c r="D10876">
        <v>1</v>
      </c>
    </row>
    <row r="10878" spans="2:4">
      <c r="B10878">
        <v>1</v>
      </c>
      <c r="C10878">
        <v>102</v>
      </c>
      <c r="D10878">
        <v>1</v>
      </c>
    </row>
    <row r="10879" spans="2:4">
      <c r="B10879">
        <v>1</v>
      </c>
      <c r="C10879">
        <v>102</v>
      </c>
      <c r="D10879">
        <v>1</v>
      </c>
    </row>
    <row r="10880" spans="2:4">
      <c r="B10880">
        <v>1</v>
      </c>
      <c r="C10880">
        <v>102</v>
      </c>
      <c r="D10880">
        <v>1</v>
      </c>
    </row>
    <row r="10884" spans="2:4">
      <c r="B10884">
        <v>1</v>
      </c>
      <c r="C10884">
        <v>102</v>
      </c>
      <c r="D10884">
        <v>1</v>
      </c>
    </row>
    <row r="10885" spans="2:4">
      <c r="B10885">
        <v>1</v>
      </c>
      <c r="C10885">
        <v>102</v>
      </c>
      <c r="D10885">
        <v>1</v>
      </c>
    </row>
    <row r="10889" spans="2:4">
      <c r="B10889">
        <v>1</v>
      </c>
      <c r="C10889">
        <v>102</v>
      </c>
      <c r="D10889">
        <v>1</v>
      </c>
    </row>
    <row r="10891" spans="2:4">
      <c r="B10891">
        <v>1</v>
      </c>
      <c r="C10891">
        <v>102</v>
      </c>
      <c r="D10891">
        <v>1</v>
      </c>
    </row>
    <row r="10892" spans="2:4">
      <c r="B10892">
        <v>1</v>
      </c>
      <c r="C10892">
        <v>102</v>
      </c>
      <c r="D10892">
        <v>1</v>
      </c>
    </row>
    <row r="10896" spans="2:4">
      <c r="B10896">
        <v>1</v>
      </c>
      <c r="C10896">
        <v>102</v>
      </c>
      <c r="D10896">
        <v>1</v>
      </c>
    </row>
    <row r="10900" spans="2:4">
      <c r="B10900">
        <v>1</v>
      </c>
      <c r="C10900">
        <v>102</v>
      </c>
      <c r="D10900">
        <v>1</v>
      </c>
    </row>
    <row r="10904" spans="2:4">
      <c r="B10904">
        <v>1</v>
      </c>
      <c r="C10904">
        <v>102</v>
      </c>
      <c r="D10904">
        <v>1</v>
      </c>
    </row>
    <row r="10909" spans="2:4">
      <c r="B10909">
        <v>1</v>
      </c>
      <c r="C10909">
        <v>102</v>
      </c>
      <c r="D10909">
        <v>1</v>
      </c>
    </row>
    <row r="10911" spans="2:4">
      <c r="B10911">
        <v>1</v>
      </c>
      <c r="C10911">
        <v>102</v>
      </c>
      <c r="D10911">
        <v>1</v>
      </c>
    </row>
    <row r="10914" spans="2:4">
      <c r="B10914">
        <v>1</v>
      </c>
      <c r="C10914">
        <v>102</v>
      </c>
      <c r="D10914">
        <v>1</v>
      </c>
    </row>
    <row r="10915" spans="2:4">
      <c r="B10915">
        <v>1</v>
      </c>
      <c r="C10915">
        <v>102</v>
      </c>
      <c r="D10915">
        <v>1</v>
      </c>
    </row>
    <row r="10917" spans="2:4">
      <c r="B10917">
        <v>1</v>
      </c>
      <c r="C10917">
        <v>102</v>
      </c>
      <c r="D10917">
        <v>1</v>
      </c>
    </row>
    <row r="10918" spans="2:4">
      <c r="B10918">
        <v>1</v>
      </c>
      <c r="C10918">
        <v>102</v>
      </c>
      <c r="D10918">
        <v>1</v>
      </c>
    </row>
    <row r="10920" spans="2:4">
      <c r="B10920">
        <v>1</v>
      </c>
      <c r="C10920">
        <v>102</v>
      </c>
      <c r="D10920">
        <v>1</v>
      </c>
    </row>
    <row r="10922" spans="2:4">
      <c r="B10922">
        <v>1</v>
      </c>
      <c r="C10922">
        <v>102</v>
      </c>
      <c r="D10922">
        <v>1</v>
      </c>
    </row>
    <row r="10923" spans="2:4">
      <c r="B10923">
        <v>1</v>
      </c>
      <c r="C10923">
        <v>102</v>
      </c>
      <c r="D10923">
        <v>1</v>
      </c>
    </row>
    <row r="10926" spans="2:4">
      <c r="B10926">
        <v>1</v>
      </c>
      <c r="C10926">
        <v>102</v>
      </c>
      <c r="D10926">
        <v>1</v>
      </c>
    </row>
    <row r="10929" spans="2:4">
      <c r="B10929">
        <v>1</v>
      </c>
      <c r="C10929">
        <v>102</v>
      </c>
      <c r="D10929">
        <v>1</v>
      </c>
    </row>
    <row r="10934" spans="2:4">
      <c r="B10934">
        <v>1</v>
      </c>
      <c r="C10934">
        <v>102</v>
      </c>
      <c r="D10934">
        <v>1</v>
      </c>
    </row>
    <row r="10935" spans="2:4">
      <c r="B10935">
        <v>1</v>
      </c>
      <c r="C10935">
        <v>102</v>
      </c>
      <c r="D10935">
        <v>1</v>
      </c>
    </row>
    <row r="10936" spans="2:4">
      <c r="B10936">
        <v>1</v>
      </c>
      <c r="C10936">
        <v>102</v>
      </c>
      <c r="D10936">
        <v>1</v>
      </c>
    </row>
    <row r="10938" spans="2:4">
      <c r="B10938">
        <v>1</v>
      </c>
      <c r="C10938">
        <v>102</v>
      </c>
      <c r="D10938">
        <v>1</v>
      </c>
    </row>
    <row r="10939" spans="2:4">
      <c r="B10939">
        <v>1</v>
      </c>
      <c r="C10939">
        <v>102</v>
      </c>
      <c r="D10939">
        <v>1</v>
      </c>
    </row>
    <row r="10941" spans="2:4">
      <c r="B10941">
        <v>1</v>
      </c>
      <c r="C10941">
        <v>102</v>
      </c>
      <c r="D10941">
        <v>1</v>
      </c>
    </row>
    <row r="10947" spans="2:4">
      <c r="B10947">
        <v>1</v>
      </c>
      <c r="C10947">
        <v>102</v>
      </c>
      <c r="D10947">
        <v>1</v>
      </c>
    </row>
    <row r="10955" spans="2:4">
      <c r="B10955">
        <v>1</v>
      </c>
      <c r="C10955">
        <v>102</v>
      </c>
      <c r="D10955">
        <v>1</v>
      </c>
    </row>
    <row r="10960" spans="2:4">
      <c r="B10960">
        <v>1</v>
      </c>
      <c r="C10960">
        <v>102</v>
      </c>
      <c r="D10960">
        <v>1</v>
      </c>
    </row>
    <row r="10961" spans="2:4">
      <c r="B10961">
        <v>1</v>
      </c>
      <c r="C10961">
        <v>102</v>
      </c>
      <c r="D10961">
        <v>1</v>
      </c>
    </row>
    <row r="10962" spans="2:4">
      <c r="B10962">
        <v>1</v>
      </c>
      <c r="C10962">
        <v>102</v>
      </c>
      <c r="D10962">
        <v>1</v>
      </c>
    </row>
    <row r="10963" spans="2:4">
      <c r="B10963">
        <v>1</v>
      </c>
      <c r="C10963">
        <v>102</v>
      </c>
      <c r="D10963">
        <v>1</v>
      </c>
    </row>
    <row r="10964" spans="2:4">
      <c r="B10964">
        <v>1</v>
      </c>
      <c r="C10964">
        <v>102</v>
      </c>
      <c r="D10964">
        <v>1</v>
      </c>
    </row>
    <row r="10965" spans="2:4">
      <c r="B10965">
        <v>1</v>
      </c>
      <c r="C10965">
        <v>102</v>
      </c>
      <c r="D10965">
        <v>1</v>
      </c>
    </row>
    <row r="10967" spans="2:4">
      <c r="B10967">
        <v>1</v>
      </c>
      <c r="C10967">
        <v>102</v>
      </c>
      <c r="D10967">
        <v>1</v>
      </c>
    </row>
    <row r="10971" spans="2:4">
      <c r="B10971">
        <v>1</v>
      </c>
      <c r="C10971">
        <v>102</v>
      </c>
      <c r="D10971">
        <v>1</v>
      </c>
    </row>
    <row r="10972" spans="2:4">
      <c r="B10972">
        <v>1</v>
      </c>
      <c r="C10972">
        <v>102</v>
      </c>
      <c r="D10972">
        <v>1</v>
      </c>
    </row>
    <row r="10973" spans="2:4">
      <c r="B10973">
        <v>1</v>
      </c>
      <c r="C10973">
        <v>102</v>
      </c>
      <c r="D10973">
        <v>1</v>
      </c>
    </row>
    <row r="10974" spans="2:4">
      <c r="B10974">
        <v>1</v>
      </c>
      <c r="C10974">
        <v>102</v>
      </c>
      <c r="D10974">
        <v>1</v>
      </c>
    </row>
    <row r="10979" spans="2:4">
      <c r="B10979">
        <v>1</v>
      </c>
      <c r="C10979">
        <v>102</v>
      </c>
      <c r="D10979">
        <v>1</v>
      </c>
    </row>
    <row r="10980" spans="2:4">
      <c r="B10980">
        <v>1</v>
      </c>
      <c r="C10980">
        <v>102</v>
      </c>
      <c r="D10980">
        <v>1</v>
      </c>
    </row>
    <row r="10982" spans="2:4">
      <c r="B10982">
        <v>1</v>
      </c>
      <c r="C10982">
        <v>102</v>
      </c>
      <c r="D10982">
        <v>1</v>
      </c>
    </row>
    <row r="10983" spans="2:4">
      <c r="B10983">
        <v>1</v>
      </c>
      <c r="C10983">
        <v>102</v>
      </c>
      <c r="D10983">
        <v>1</v>
      </c>
    </row>
    <row r="10986" spans="2:4">
      <c r="B10986">
        <v>1</v>
      </c>
      <c r="C10986">
        <v>102</v>
      </c>
      <c r="D10986">
        <v>1</v>
      </c>
    </row>
    <row r="10987" spans="2:4">
      <c r="B10987">
        <v>1</v>
      </c>
      <c r="C10987">
        <v>102</v>
      </c>
      <c r="D10987">
        <v>1</v>
      </c>
    </row>
    <row r="10988" spans="2:4">
      <c r="B10988">
        <v>1</v>
      </c>
      <c r="C10988">
        <v>102</v>
      </c>
      <c r="D10988">
        <v>1</v>
      </c>
    </row>
    <row r="10993" spans="2:4">
      <c r="B10993">
        <v>1</v>
      </c>
      <c r="C10993">
        <v>102</v>
      </c>
      <c r="D10993">
        <v>1</v>
      </c>
    </row>
    <row r="10995" spans="2:4">
      <c r="B10995">
        <v>1</v>
      </c>
      <c r="C10995">
        <v>102</v>
      </c>
      <c r="D10995">
        <v>1</v>
      </c>
    </row>
    <row r="10996" spans="2:4">
      <c r="B10996">
        <v>1</v>
      </c>
      <c r="C10996">
        <v>102</v>
      </c>
      <c r="D10996">
        <v>1</v>
      </c>
    </row>
    <row r="10997" spans="2:4">
      <c r="B10997">
        <v>1</v>
      </c>
      <c r="C10997">
        <v>102</v>
      </c>
      <c r="D10997">
        <v>1</v>
      </c>
    </row>
    <row r="10999" spans="2:4">
      <c r="B10999">
        <v>1</v>
      </c>
      <c r="C10999">
        <v>102</v>
      </c>
      <c r="D10999">
        <v>1</v>
      </c>
    </row>
    <row r="11000" spans="2:4">
      <c r="B11000">
        <v>1</v>
      </c>
      <c r="C11000">
        <v>102</v>
      </c>
      <c r="D11000">
        <v>1</v>
      </c>
    </row>
    <row r="11001" spans="2:4">
      <c r="B11001">
        <v>1</v>
      </c>
      <c r="C11001">
        <v>102</v>
      </c>
      <c r="D11001">
        <v>1</v>
      </c>
    </row>
    <row r="11005" spans="2:4">
      <c r="B11005">
        <v>1</v>
      </c>
      <c r="C11005">
        <v>102</v>
      </c>
      <c r="D11005">
        <v>1</v>
      </c>
    </row>
    <row r="11010" spans="2:4">
      <c r="B11010">
        <v>1</v>
      </c>
      <c r="C11010">
        <v>102</v>
      </c>
      <c r="D11010">
        <v>1</v>
      </c>
    </row>
    <row r="11015" spans="2:4">
      <c r="B11015">
        <v>1</v>
      </c>
      <c r="C11015">
        <v>102</v>
      </c>
      <c r="D11015">
        <v>1</v>
      </c>
    </row>
    <row r="11016" spans="2:4">
      <c r="B11016">
        <v>1</v>
      </c>
      <c r="C11016">
        <v>102</v>
      </c>
      <c r="D11016">
        <v>1</v>
      </c>
    </row>
    <row r="11022" spans="2:4">
      <c r="B11022">
        <v>1</v>
      </c>
      <c r="C11022">
        <v>102</v>
      </c>
      <c r="D11022">
        <v>1</v>
      </c>
    </row>
    <row r="11029" spans="2:4">
      <c r="B11029">
        <v>1</v>
      </c>
      <c r="C11029">
        <v>102</v>
      </c>
      <c r="D11029">
        <v>1</v>
      </c>
    </row>
    <row r="11030" spans="2:4">
      <c r="B11030">
        <v>1</v>
      </c>
      <c r="C11030">
        <v>102</v>
      </c>
      <c r="D11030">
        <v>1</v>
      </c>
    </row>
    <row r="11033" spans="2:4">
      <c r="B11033">
        <v>1</v>
      </c>
      <c r="C11033">
        <v>102</v>
      </c>
      <c r="D11033">
        <v>1</v>
      </c>
    </row>
    <row r="11034" spans="2:4">
      <c r="B11034">
        <v>1</v>
      </c>
      <c r="C11034">
        <v>102</v>
      </c>
      <c r="D11034">
        <v>1</v>
      </c>
    </row>
    <row r="11040" spans="2:4">
      <c r="B11040">
        <v>1</v>
      </c>
      <c r="C11040">
        <v>102</v>
      </c>
      <c r="D11040">
        <v>1</v>
      </c>
    </row>
    <row r="11041" spans="2:4">
      <c r="B11041">
        <v>1</v>
      </c>
      <c r="C11041">
        <v>102</v>
      </c>
      <c r="D11041">
        <v>1</v>
      </c>
    </row>
    <row r="11052" spans="2:4">
      <c r="B11052">
        <v>1</v>
      </c>
      <c r="C11052">
        <v>102</v>
      </c>
      <c r="D11052">
        <v>1</v>
      </c>
    </row>
    <row r="11053" spans="2:4">
      <c r="B11053">
        <v>1</v>
      </c>
      <c r="C11053">
        <v>102</v>
      </c>
      <c r="D11053">
        <v>1</v>
      </c>
    </row>
    <row r="11056" spans="2:4">
      <c r="B11056">
        <v>1</v>
      </c>
      <c r="C11056">
        <v>102</v>
      </c>
      <c r="D11056">
        <v>1</v>
      </c>
    </row>
    <row r="11058" spans="2:4">
      <c r="B11058">
        <v>1</v>
      </c>
      <c r="C11058">
        <v>102</v>
      </c>
      <c r="D11058">
        <v>1</v>
      </c>
    </row>
    <row r="11060" spans="2:4">
      <c r="B11060">
        <v>1</v>
      </c>
      <c r="C11060">
        <v>102</v>
      </c>
      <c r="D11060">
        <v>1</v>
      </c>
    </row>
    <row r="11073" spans="2:4">
      <c r="B11073">
        <v>1</v>
      </c>
      <c r="C11073">
        <v>102</v>
      </c>
      <c r="D11073">
        <v>1</v>
      </c>
    </row>
    <row r="11078" spans="2:4">
      <c r="B11078">
        <v>1</v>
      </c>
      <c r="C11078">
        <v>102</v>
      </c>
      <c r="D11078">
        <v>1</v>
      </c>
    </row>
    <row r="11081" spans="2:4">
      <c r="B11081">
        <v>1</v>
      </c>
      <c r="C11081">
        <v>102</v>
      </c>
      <c r="D11081">
        <v>1</v>
      </c>
    </row>
    <row r="11082" spans="2:4">
      <c r="B11082">
        <v>1</v>
      </c>
      <c r="C11082">
        <v>102</v>
      </c>
      <c r="D11082">
        <v>1</v>
      </c>
    </row>
    <row r="11085" spans="2:4">
      <c r="B11085">
        <v>1</v>
      </c>
      <c r="C11085">
        <v>102</v>
      </c>
      <c r="D11085">
        <v>1</v>
      </c>
    </row>
    <row r="11086" spans="2:4">
      <c r="B11086">
        <v>1</v>
      </c>
      <c r="C11086">
        <v>102</v>
      </c>
      <c r="D11086">
        <v>1</v>
      </c>
    </row>
    <row r="11087" spans="2:4">
      <c r="B11087">
        <v>1</v>
      </c>
      <c r="C11087">
        <v>102</v>
      </c>
      <c r="D11087">
        <v>1</v>
      </c>
    </row>
    <row r="11096" spans="2:4">
      <c r="B11096">
        <v>1</v>
      </c>
      <c r="C11096">
        <v>102</v>
      </c>
      <c r="D11096">
        <v>1</v>
      </c>
    </row>
    <row r="11103" spans="2:4">
      <c r="B11103">
        <v>1</v>
      </c>
      <c r="C11103">
        <v>102</v>
      </c>
      <c r="D11103">
        <v>1</v>
      </c>
    </row>
    <row r="11105" spans="2:4">
      <c r="B11105">
        <v>1</v>
      </c>
      <c r="C11105">
        <v>102</v>
      </c>
      <c r="D11105">
        <v>1</v>
      </c>
    </row>
    <row r="11106" spans="2:4">
      <c r="B11106">
        <v>1</v>
      </c>
      <c r="C11106">
        <v>102</v>
      </c>
      <c r="D11106">
        <v>1</v>
      </c>
    </row>
    <row r="11113" spans="2:4">
      <c r="B11113">
        <v>1</v>
      </c>
      <c r="C11113">
        <v>102</v>
      </c>
      <c r="D11113">
        <v>1</v>
      </c>
    </row>
    <row r="11118" spans="2:4">
      <c r="B11118">
        <v>1</v>
      </c>
      <c r="C11118">
        <v>102</v>
      </c>
      <c r="D11118">
        <v>1</v>
      </c>
    </row>
    <row r="11119" spans="2:4">
      <c r="B11119">
        <v>1</v>
      </c>
      <c r="C11119">
        <v>102</v>
      </c>
      <c r="D11119">
        <v>1</v>
      </c>
    </row>
    <row r="11122" spans="2:4">
      <c r="B11122">
        <v>1</v>
      </c>
      <c r="C11122">
        <v>102</v>
      </c>
      <c r="D11122">
        <v>1</v>
      </c>
    </row>
    <row r="11132" spans="2:4">
      <c r="B11132">
        <v>1</v>
      </c>
      <c r="C11132">
        <v>102</v>
      </c>
      <c r="D11132">
        <v>1</v>
      </c>
    </row>
    <row r="11134" spans="2:4">
      <c r="B11134">
        <v>1</v>
      </c>
      <c r="C11134">
        <v>102</v>
      </c>
      <c r="D11134">
        <v>1</v>
      </c>
    </row>
    <row r="11135" spans="2:4">
      <c r="B11135">
        <v>1</v>
      </c>
      <c r="C11135">
        <v>102</v>
      </c>
      <c r="D11135">
        <v>1</v>
      </c>
    </row>
    <row r="11136" spans="2:4">
      <c r="B11136">
        <v>1</v>
      </c>
      <c r="C11136">
        <v>102</v>
      </c>
      <c r="D11136">
        <v>1</v>
      </c>
    </row>
    <row r="11140" spans="2:4">
      <c r="B11140">
        <v>1</v>
      </c>
      <c r="C11140">
        <v>102</v>
      </c>
      <c r="D11140">
        <v>1</v>
      </c>
    </row>
    <row r="11141" spans="2:4">
      <c r="B11141">
        <v>1</v>
      </c>
      <c r="C11141">
        <v>102</v>
      </c>
      <c r="D11141">
        <v>1</v>
      </c>
    </row>
    <row r="11145" spans="2:4">
      <c r="B11145">
        <v>1</v>
      </c>
      <c r="C11145">
        <v>102</v>
      </c>
      <c r="D11145">
        <v>1</v>
      </c>
    </row>
    <row r="11147" spans="2:4">
      <c r="B11147">
        <v>1</v>
      </c>
      <c r="C11147">
        <v>102</v>
      </c>
      <c r="D11147">
        <v>1</v>
      </c>
    </row>
    <row r="11148" spans="2:4">
      <c r="B11148">
        <v>1</v>
      </c>
      <c r="C11148">
        <v>102</v>
      </c>
      <c r="D11148">
        <v>1</v>
      </c>
    </row>
    <row r="11152" spans="2:4">
      <c r="B11152">
        <v>1</v>
      </c>
      <c r="C11152">
        <v>102</v>
      </c>
      <c r="D11152">
        <v>1</v>
      </c>
    </row>
    <row r="11156" spans="2:4">
      <c r="B11156">
        <v>1</v>
      </c>
      <c r="C11156">
        <v>102</v>
      </c>
      <c r="D11156">
        <v>1</v>
      </c>
    </row>
    <row r="11160" spans="2:4">
      <c r="B11160">
        <v>1</v>
      </c>
      <c r="C11160">
        <v>102</v>
      </c>
      <c r="D11160">
        <v>1</v>
      </c>
    </row>
    <row r="11165" spans="2:4">
      <c r="B11165">
        <v>1</v>
      </c>
      <c r="C11165">
        <v>102</v>
      </c>
      <c r="D11165">
        <v>1</v>
      </c>
    </row>
    <row r="11167" spans="2:4">
      <c r="B11167">
        <v>1</v>
      </c>
      <c r="C11167">
        <v>102</v>
      </c>
      <c r="D11167">
        <v>1</v>
      </c>
    </row>
    <row r="11170" spans="2:4">
      <c r="B11170">
        <v>1</v>
      </c>
      <c r="C11170">
        <v>102</v>
      </c>
      <c r="D11170">
        <v>1</v>
      </c>
    </row>
    <row r="11171" spans="2:4">
      <c r="B11171">
        <v>1</v>
      </c>
      <c r="C11171">
        <v>102</v>
      </c>
      <c r="D11171">
        <v>1</v>
      </c>
    </row>
    <row r="11173" spans="2:4">
      <c r="B11173">
        <v>1</v>
      </c>
      <c r="C11173">
        <v>102</v>
      </c>
      <c r="D11173">
        <v>1</v>
      </c>
    </row>
    <row r="11174" spans="2:4">
      <c r="B11174">
        <v>1</v>
      </c>
      <c r="C11174">
        <v>102</v>
      </c>
      <c r="D11174">
        <v>1</v>
      </c>
    </row>
    <row r="11176" spans="2:4">
      <c r="B11176">
        <v>1</v>
      </c>
      <c r="C11176">
        <v>102</v>
      </c>
      <c r="D11176">
        <v>1</v>
      </c>
    </row>
    <row r="11178" spans="2:4">
      <c r="B11178">
        <v>1</v>
      </c>
      <c r="C11178">
        <v>102</v>
      </c>
      <c r="D11178">
        <v>1</v>
      </c>
    </row>
    <row r="11179" spans="2:4">
      <c r="B11179">
        <v>1</v>
      </c>
      <c r="C11179">
        <v>102</v>
      </c>
      <c r="D11179">
        <v>1</v>
      </c>
    </row>
    <row r="11182" spans="2:4">
      <c r="B11182">
        <v>1</v>
      </c>
      <c r="C11182">
        <v>102</v>
      </c>
      <c r="D11182">
        <v>1</v>
      </c>
    </row>
    <row r="11185" spans="2:4">
      <c r="B11185">
        <v>1</v>
      </c>
      <c r="C11185">
        <v>102</v>
      </c>
      <c r="D11185">
        <v>1</v>
      </c>
    </row>
    <row r="11190" spans="2:4">
      <c r="B11190">
        <v>1</v>
      </c>
      <c r="C11190">
        <v>102</v>
      </c>
      <c r="D11190">
        <v>1</v>
      </c>
    </row>
    <row r="11191" spans="2:4">
      <c r="B11191">
        <v>1</v>
      </c>
      <c r="C11191">
        <v>102</v>
      </c>
      <c r="D11191">
        <v>1</v>
      </c>
    </row>
    <row r="11192" spans="2:4">
      <c r="B11192">
        <v>1</v>
      </c>
      <c r="C11192">
        <v>102</v>
      </c>
      <c r="D11192">
        <v>1</v>
      </c>
    </row>
    <row r="11194" spans="2:4">
      <c r="B11194">
        <v>1</v>
      </c>
      <c r="C11194">
        <v>102</v>
      </c>
      <c r="D11194">
        <v>1</v>
      </c>
    </row>
    <row r="11195" spans="2:4">
      <c r="B11195">
        <v>1</v>
      </c>
      <c r="C11195">
        <v>102</v>
      </c>
      <c r="D11195">
        <v>1</v>
      </c>
    </row>
    <row r="11197" spans="2:4">
      <c r="B11197">
        <v>1</v>
      </c>
      <c r="C11197">
        <v>102</v>
      </c>
      <c r="D11197">
        <v>1</v>
      </c>
    </row>
    <row r="11203" spans="2:4">
      <c r="B11203">
        <v>1</v>
      </c>
      <c r="C11203">
        <v>102</v>
      </c>
      <c r="D11203">
        <v>1</v>
      </c>
    </row>
    <row r="11211" spans="2:4">
      <c r="B11211">
        <v>1</v>
      </c>
      <c r="C11211">
        <v>102</v>
      </c>
      <c r="D11211">
        <v>1</v>
      </c>
    </row>
    <row r="11216" spans="2:4">
      <c r="B11216">
        <v>1</v>
      </c>
      <c r="C11216">
        <v>102</v>
      </c>
      <c r="D11216">
        <v>1</v>
      </c>
    </row>
    <row r="11217" spans="2:4">
      <c r="B11217">
        <v>1</v>
      </c>
      <c r="C11217">
        <v>102</v>
      </c>
      <c r="D11217">
        <v>1</v>
      </c>
    </row>
    <row r="11218" spans="2:4">
      <c r="B11218">
        <v>1</v>
      </c>
      <c r="C11218">
        <v>102</v>
      </c>
      <c r="D11218">
        <v>1</v>
      </c>
    </row>
    <row r="11219" spans="2:4">
      <c r="B11219">
        <v>1</v>
      </c>
      <c r="C11219">
        <v>102</v>
      </c>
      <c r="D11219">
        <v>1</v>
      </c>
    </row>
    <row r="11220" spans="2:4">
      <c r="B11220">
        <v>1</v>
      </c>
      <c r="C11220">
        <v>102</v>
      </c>
      <c r="D11220">
        <v>1</v>
      </c>
    </row>
    <row r="11221" spans="2:4">
      <c r="B11221">
        <v>1</v>
      </c>
      <c r="C11221">
        <v>102</v>
      </c>
      <c r="D11221">
        <v>1</v>
      </c>
    </row>
    <row r="11223" spans="2:4">
      <c r="B11223">
        <v>1</v>
      </c>
      <c r="C11223">
        <v>102</v>
      </c>
      <c r="D11223">
        <v>1</v>
      </c>
    </row>
    <row r="11227" spans="2:4">
      <c r="B11227">
        <v>1</v>
      </c>
      <c r="C11227">
        <v>102</v>
      </c>
      <c r="D11227">
        <v>1</v>
      </c>
    </row>
    <row r="11228" spans="2:4">
      <c r="B11228">
        <v>1</v>
      </c>
      <c r="C11228">
        <v>102</v>
      </c>
      <c r="D11228">
        <v>1</v>
      </c>
    </row>
    <row r="11229" spans="2:4">
      <c r="B11229">
        <v>1</v>
      </c>
      <c r="C11229">
        <v>102</v>
      </c>
      <c r="D11229">
        <v>1</v>
      </c>
    </row>
    <row r="11230" spans="2:4">
      <c r="B11230">
        <v>1</v>
      </c>
      <c r="C11230">
        <v>102</v>
      </c>
      <c r="D11230">
        <v>1</v>
      </c>
    </row>
    <row r="11235" spans="2:4">
      <c r="B11235">
        <v>1</v>
      </c>
      <c r="C11235">
        <v>102</v>
      </c>
      <c r="D11235">
        <v>1</v>
      </c>
    </row>
    <row r="11236" spans="2:4">
      <c r="B11236">
        <v>1</v>
      </c>
      <c r="C11236">
        <v>102</v>
      </c>
      <c r="D11236">
        <v>1</v>
      </c>
    </row>
    <row r="11238" spans="2:4">
      <c r="B11238">
        <v>1</v>
      </c>
      <c r="C11238">
        <v>102</v>
      </c>
      <c r="D11238">
        <v>1</v>
      </c>
    </row>
    <row r="11239" spans="2:4">
      <c r="B11239">
        <v>1</v>
      </c>
      <c r="C11239">
        <v>102</v>
      </c>
      <c r="D11239">
        <v>1</v>
      </c>
    </row>
    <row r="11242" spans="2:4">
      <c r="B11242">
        <v>1</v>
      </c>
      <c r="C11242">
        <v>102</v>
      </c>
      <c r="D11242">
        <v>1</v>
      </c>
    </row>
    <row r="11243" spans="2:4">
      <c r="B11243">
        <v>1</v>
      </c>
      <c r="C11243">
        <v>102</v>
      </c>
      <c r="D11243">
        <v>1</v>
      </c>
    </row>
    <row r="11244" spans="2:4">
      <c r="B11244">
        <v>1</v>
      </c>
      <c r="C11244">
        <v>102</v>
      </c>
      <c r="D11244">
        <v>1</v>
      </c>
    </row>
    <row r="11249" spans="2:4">
      <c r="B11249">
        <v>1</v>
      </c>
      <c r="C11249">
        <v>102</v>
      </c>
      <c r="D11249">
        <v>1</v>
      </c>
    </row>
    <row r="11251" spans="2:4">
      <c r="B11251">
        <v>1</v>
      </c>
      <c r="C11251">
        <v>102</v>
      </c>
      <c r="D11251">
        <v>1</v>
      </c>
    </row>
    <row r="11252" spans="2:4">
      <c r="B11252">
        <v>1</v>
      </c>
      <c r="C11252">
        <v>102</v>
      </c>
      <c r="D11252">
        <v>1</v>
      </c>
    </row>
    <row r="11253" spans="2:4">
      <c r="B11253">
        <v>1</v>
      </c>
      <c r="C11253">
        <v>102</v>
      </c>
      <c r="D11253">
        <v>1</v>
      </c>
    </row>
    <row r="11255" spans="2:4">
      <c r="B11255">
        <v>1</v>
      </c>
      <c r="C11255">
        <v>102</v>
      </c>
      <c r="D11255">
        <v>1</v>
      </c>
    </row>
    <row r="11256" spans="2:4">
      <c r="B11256">
        <v>1</v>
      </c>
      <c r="C11256">
        <v>102</v>
      </c>
      <c r="D11256">
        <v>1</v>
      </c>
    </row>
    <row r="11257" spans="2:4">
      <c r="B11257">
        <v>1</v>
      </c>
      <c r="C11257">
        <v>102</v>
      </c>
      <c r="D11257">
        <v>1</v>
      </c>
    </row>
    <row r="11261" spans="2:4">
      <c r="B11261">
        <v>1</v>
      </c>
      <c r="C11261">
        <v>102</v>
      </c>
      <c r="D11261">
        <v>1</v>
      </c>
    </row>
    <row r="11266" spans="2:4">
      <c r="B11266">
        <v>1</v>
      </c>
      <c r="C11266">
        <v>102</v>
      </c>
      <c r="D11266">
        <v>1</v>
      </c>
    </row>
    <row r="11271" spans="2:4">
      <c r="B11271">
        <v>1</v>
      </c>
      <c r="C11271">
        <v>102</v>
      </c>
      <c r="D11271">
        <v>1</v>
      </c>
    </row>
    <row r="11272" spans="2:4">
      <c r="B11272">
        <v>1</v>
      </c>
      <c r="C11272">
        <v>102</v>
      </c>
      <c r="D11272">
        <v>1</v>
      </c>
    </row>
    <row r="11278" spans="2:4">
      <c r="B11278">
        <v>1</v>
      </c>
      <c r="C11278">
        <v>102</v>
      </c>
      <c r="D11278">
        <v>1</v>
      </c>
    </row>
    <row r="11285" spans="2:4">
      <c r="B11285">
        <v>1</v>
      </c>
      <c r="C11285">
        <v>102</v>
      </c>
      <c r="D11285">
        <v>1</v>
      </c>
    </row>
    <row r="11286" spans="2:4">
      <c r="B11286">
        <v>1</v>
      </c>
      <c r="C11286">
        <v>102</v>
      </c>
      <c r="D11286">
        <v>1</v>
      </c>
    </row>
    <row r="11289" spans="2:4">
      <c r="B11289">
        <v>1</v>
      </c>
      <c r="C11289">
        <v>102</v>
      </c>
      <c r="D11289">
        <v>1</v>
      </c>
    </row>
    <row r="11290" spans="2:4">
      <c r="B11290">
        <v>1</v>
      </c>
      <c r="C11290">
        <v>102</v>
      </c>
      <c r="D11290">
        <v>1</v>
      </c>
    </row>
    <row r="11296" spans="2:4">
      <c r="B11296">
        <v>1</v>
      </c>
      <c r="C11296">
        <v>102</v>
      </c>
      <c r="D11296">
        <v>1</v>
      </c>
    </row>
    <row r="11297" spans="2:4">
      <c r="B11297">
        <v>1</v>
      </c>
      <c r="C11297">
        <v>102</v>
      </c>
      <c r="D11297">
        <v>1</v>
      </c>
    </row>
    <row r="11308" spans="2:4">
      <c r="B11308">
        <v>1</v>
      </c>
      <c r="C11308">
        <v>102</v>
      </c>
      <c r="D11308">
        <v>1</v>
      </c>
    </row>
    <row r="11309" spans="2:4">
      <c r="B11309">
        <v>1</v>
      </c>
      <c r="C11309">
        <v>102</v>
      </c>
      <c r="D11309">
        <v>1</v>
      </c>
    </row>
    <row r="11312" spans="2:4">
      <c r="B11312">
        <v>1</v>
      </c>
      <c r="C11312">
        <v>102</v>
      </c>
      <c r="D11312">
        <v>1</v>
      </c>
    </row>
    <row r="11314" spans="2:4">
      <c r="B11314">
        <v>1</v>
      </c>
      <c r="C11314">
        <v>102</v>
      </c>
      <c r="D11314">
        <v>1</v>
      </c>
    </row>
    <row r="11316" spans="2:4">
      <c r="B11316">
        <v>1</v>
      </c>
      <c r="C11316">
        <v>102</v>
      </c>
      <c r="D11316">
        <v>1</v>
      </c>
    </row>
    <row r="11329" spans="2:4">
      <c r="B11329">
        <v>1</v>
      </c>
      <c r="C11329">
        <v>102</v>
      </c>
      <c r="D11329">
        <v>1</v>
      </c>
    </row>
    <row r="11334" spans="2:4">
      <c r="B11334">
        <v>1</v>
      </c>
      <c r="C11334">
        <v>102</v>
      </c>
      <c r="D11334">
        <v>1</v>
      </c>
    </row>
    <row r="11337" spans="2:4">
      <c r="B11337">
        <v>1</v>
      </c>
      <c r="C11337">
        <v>102</v>
      </c>
      <c r="D11337">
        <v>1</v>
      </c>
    </row>
    <row r="11338" spans="2:4">
      <c r="B11338">
        <v>1</v>
      </c>
      <c r="C11338">
        <v>102</v>
      </c>
      <c r="D11338">
        <v>1</v>
      </c>
    </row>
    <row r="11341" spans="2:4">
      <c r="B11341">
        <v>1</v>
      </c>
      <c r="C11341">
        <v>102</v>
      </c>
      <c r="D11341">
        <v>1</v>
      </c>
    </row>
    <row r="11342" spans="2:4">
      <c r="B11342">
        <v>1</v>
      </c>
      <c r="C11342">
        <v>102</v>
      </c>
      <c r="D11342">
        <v>1</v>
      </c>
    </row>
    <row r="11343" spans="2:4">
      <c r="B11343">
        <v>1</v>
      </c>
      <c r="C11343">
        <v>102</v>
      </c>
      <c r="D11343">
        <v>1</v>
      </c>
    </row>
    <row r="11352" spans="2:4">
      <c r="B11352">
        <v>1</v>
      </c>
      <c r="C11352">
        <v>102</v>
      </c>
      <c r="D11352">
        <v>1</v>
      </c>
    </row>
    <row r="11359" spans="2:4">
      <c r="B11359">
        <v>1</v>
      </c>
      <c r="C11359">
        <v>102</v>
      </c>
      <c r="D11359">
        <v>1</v>
      </c>
    </row>
    <row r="11361" spans="2:4">
      <c r="B11361">
        <v>1</v>
      </c>
      <c r="C11361">
        <v>102</v>
      </c>
      <c r="D11361">
        <v>1</v>
      </c>
    </row>
    <row r="11362" spans="2:4">
      <c r="B11362">
        <v>1</v>
      </c>
      <c r="C11362">
        <v>102</v>
      </c>
      <c r="D11362">
        <v>1</v>
      </c>
    </row>
    <row r="11369" spans="2:4">
      <c r="B11369">
        <v>1</v>
      </c>
      <c r="C11369">
        <v>102</v>
      </c>
      <c r="D11369">
        <v>1</v>
      </c>
    </row>
    <row r="11374" spans="2:4">
      <c r="B11374">
        <v>1</v>
      </c>
      <c r="C11374">
        <v>102</v>
      </c>
      <c r="D11374">
        <v>1</v>
      </c>
    </row>
    <row r="11375" spans="2:4">
      <c r="B11375">
        <v>1</v>
      </c>
      <c r="C11375">
        <v>102</v>
      </c>
      <c r="D11375">
        <v>1</v>
      </c>
    </row>
    <row r="11378" spans="2:4">
      <c r="B11378">
        <v>1</v>
      </c>
      <c r="C11378">
        <v>102</v>
      </c>
      <c r="D11378">
        <v>1</v>
      </c>
    </row>
    <row r="11388" spans="2:4">
      <c r="B11388">
        <v>1</v>
      </c>
      <c r="C11388">
        <v>102</v>
      </c>
      <c r="D11388">
        <v>1</v>
      </c>
    </row>
    <row r="11390" spans="2:4">
      <c r="B11390">
        <v>1</v>
      </c>
      <c r="C11390">
        <v>102</v>
      </c>
      <c r="D11390">
        <v>1</v>
      </c>
    </row>
    <row r="11391" spans="2:4">
      <c r="B11391">
        <v>1</v>
      </c>
      <c r="C11391">
        <v>102</v>
      </c>
      <c r="D11391">
        <v>1</v>
      </c>
    </row>
    <row r="11392" spans="2:4">
      <c r="B11392">
        <v>1</v>
      </c>
      <c r="C11392">
        <v>102</v>
      </c>
      <c r="D11392">
        <v>1</v>
      </c>
    </row>
    <row r="11396" spans="2:4">
      <c r="B11396">
        <v>1</v>
      </c>
      <c r="C11396">
        <v>102</v>
      </c>
      <c r="D11396">
        <v>1</v>
      </c>
    </row>
    <row r="11397" spans="2:4">
      <c r="B11397">
        <v>1</v>
      </c>
      <c r="C11397">
        <v>102</v>
      </c>
      <c r="D11397">
        <v>1</v>
      </c>
    </row>
    <row r="11401" spans="2:4">
      <c r="B11401">
        <v>1</v>
      </c>
      <c r="C11401">
        <v>102</v>
      </c>
      <c r="D11401">
        <v>1</v>
      </c>
    </row>
    <row r="11403" spans="2:4">
      <c r="B11403">
        <v>1</v>
      </c>
      <c r="C11403">
        <v>102</v>
      </c>
      <c r="D11403">
        <v>1</v>
      </c>
    </row>
    <row r="11404" spans="2:4">
      <c r="B11404">
        <v>1</v>
      </c>
      <c r="C11404">
        <v>102</v>
      </c>
      <c r="D11404">
        <v>1</v>
      </c>
    </row>
    <row r="11408" spans="2:4">
      <c r="B11408">
        <v>1</v>
      </c>
      <c r="C11408">
        <v>102</v>
      </c>
      <c r="D11408">
        <v>1</v>
      </c>
    </row>
    <row r="11412" spans="2:4">
      <c r="B11412">
        <v>1</v>
      </c>
      <c r="C11412">
        <v>102</v>
      </c>
      <c r="D11412">
        <v>1</v>
      </c>
    </row>
    <row r="11416" spans="2:4">
      <c r="B11416">
        <v>1</v>
      </c>
      <c r="C11416">
        <v>102</v>
      </c>
      <c r="D11416">
        <v>1</v>
      </c>
    </row>
    <row r="11421" spans="2:4">
      <c r="B11421">
        <v>1</v>
      </c>
      <c r="C11421">
        <v>102</v>
      </c>
      <c r="D11421">
        <v>1</v>
      </c>
    </row>
    <row r="11423" spans="2:4">
      <c r="B11423">
        <v>1</v>
      </c>
      <c r="C11423">
        <v>102</v>
      </c>
      <c r="D11423">
        <v>1</v>
      </c>
    </row>
    <row r="11426" spans="2:4">
      <c r="B11426">
        <v>1</v>
      </c>
      <c r="C11426">
        <v>102</v>
      </c>
      <c r="D11426">
        <v>1</v>
      </c>
    </row>
    <row r="11427" spans="2:4">
      <c r="B11427">
        <v>1</v>
      </c>
      <c r="C11427">
        <v>102</v>
      </c>
      <c r="D11427">
        <v>1</v>
      </c>
    </row>
    <row r="11429" spans="2:4">
      <c r="B11429">
        <v>1</v>
      </c>
      <c r="C11429">
        <v>102</v>
      </c>
      <c r="D11429">
        <v>1</v>
      </c>
    </row>
    <row r="11430" spans="2:4">
      <c r="B11430">
        <v>1</v>
      </c>
      <c r="C11430">
        <v>102</v>
      </c>
      <c r="D11430">
        <v>1</v>
      </c>
    </row>
    <row r="11432" spans="2:4">
      <c r="B11432">
        <v>1</v>
      </c>
      <c r="C11432">
        <v>102</v>
      </c>
      <c r="D11432">
        <v>1</v>
      </c>
    </row>
    <row r="11434" spans="2:4">
      <c r="B11434">
        <v>1</v>
      </c>
      <c r="C11434">
        <v>102</v>
      </c>
      <c r="D11434">
        <v>1</v>
      </c>
    </row>
    <row r="11435" spans="2:4">
      <c r="B11435">
        <v>1</v>
      </c>
      <c r="C11435">
        <v>102</v>
      </c>
      <c r="D11435">
        <v>1</v>
      </c>
    </row>
    <row r="11438" spans="2:4">
      <c r="B11438">
        <v>1</v>
      </c>
      <c r="C11438">
        <v>102</v>
      </c>
      <c r="D11438">
        <v>1</v>
      </c>
    </row>
    <row r="11441" spans="2:4">
      <c r="B11441">
        <v>1</v>
      </c>
      <c r="C11441">
        <v>102</v>
      </c>
      <c r="D11441">
        <v>1</v>
      </c>
    </row>
    <row r="11446" spans="2:4">
      <c r="B11446">
        <v>1</v>
      </c>
      <c r="C11446">
        <v>102</v>
      </c>
      <c r="D11446">
        <v>1</v>
      </c>
    </row>
    <row r="11447" spans="2:4">
      <c r="B11447">
        <v>1</v>
      </c>
      <c r="C11447">
        <v>102</v>
      </c>
      <c r="D11447">
        <v>1</v>
      </c>
    </row>
    <row r="11448" spans="2:4">
      <c r="B11448">
        <v>1</v>
      </c>
      <c r="C11448">
        <v>102</v>
      </c>
      <c r="D11448">
        <v>1</v>
      </c>
    </row>
    <row r="11450" spans="2:4">
      <c r="B11450">
        <v>1</v>
      </c>
      <c r="C11450">
        <v>102</v>
      </c>
      <c r="D11450">
        <v>1</v>
      </c>
    </row>
    <row r="11451" spans="2:4">
      <c r="B11451">
        <v>1</v>
      </c>
      <c r="C11451">
        <v>102</v>
      </c>
      <c r="D11451">
        <v>1</v>
      </c>
    </row>
    <row r="11453" spans="2:4">
      <c r="B11453">
        <v>1</v>
      </c>
      <c r="C11453">
        <v>102</v>
      </c>
      <c r="D11453">
        <v>1</v>
      </c>
    </row>
    <row r="11459" spans="2:4">
      <c r="B11459">
        <v>1</v>
      </c>
      <c r="C11459">
        <v>102</v>
      </c>
      <c r="D11459">
        <v>1</v>
      </c>
    </row>
    <row r="11467" spans="2:4">
      <c r="B11467">
        <v>1</v>
      </c>
      <c r="C11467">
        <v>102</v>
      </c>
      <c r="D11467">
        <v>1</v>
      </c>
    </row>
    <row r="11472" spans="2:4">
      <c r="B11472">
        <v>1</v>
      </c>
      <c r="C11472">
        <v>102</v>
      </c>
      <c r="D11472">
        <v>1</v>
      </c>
    </row>
    <row r="11473" spans="2:4">
      <c r="B11473">
        <v>1</v>
      </c>
      <c r="C11473">
        <v>102</v>
      </c>
      <c r="D11473">
        <v>1</v>
      </c>
    </row>
    <row r="11474" spans="2:4">
      <c r="B11474">
        <v>1</v>
      </c>
      <c r="C11474">
        <v>102</v>
      </c>
      <c r="D11474">
        <v>1</v>
      </c>
    </row>
    <row r="11475" spans="2:4">
      <c r="B11475">
        <v>1</v>
      </c>
      <c r="C11475">
        <v>102</v>
      </c>
      <c r="D11475">
        <v>1</v>
      </c>
    </row>
    <row r="11476" spans="2:4">
      <c r="B11476">
        <v>1</v>
      </c>
      <c r="C11476">
        <v>102</v>
      </c>
      <c r="D11476">
        <v>1</v>
      </c>
    </row>
    <row r="11477" spans="2:4">
      <c r="B11477">
        <v>1</v>
      </c>
      <c r="C11477">
        <v>102</v>
      </c>
      <c r="D11477">
        <v>1</v>
      </c>
    </row>
    <row r="11479" spans="2:4">
      <c r="B11479">
        <v>1</v>
      </c>
      <c r="C11479">
        <v>102</v>
      </c>
      <c r="D11479">
        <v>1</v>
      </c>
    </row>
    <row r="11483" spans="2:4">
      <c r="B11483">
        <v>1</v>
      </c>
      <c r="C11483">
        <v>102</v>
      </c>
      <c r="D11483">
        <v>1</v>
      </c>
    </row>
    <row r="11484" spans="2:4">
      <c r="B11484">
        <v>1</v>
      </c>
      <c r="C11484">
        <v>102</v>
      </c>
      <c r="D11484">
        <v>1</v>
      </c>
    </row>
    <row r="11485" spans="2:4">
      <c r="B11485">
        <v>1</v>
      </c>
      <c r="C11485">
        <v>102</v>
      </c>
      <c r="D11485">
        <v>1</v>
      </c>
    </row>
    <row r="11486" spans="2:4">
      <c r="B11486">
        <v>1</v>
      </c>
      <c r="C11486">
        <v>102</v>
      </c>
      <c r="D11486">
        <v>1</v>
      </c>
    </row>
    <row r="11491" spans="2:4">
      <c r="B11491">
        <v>1</v>
      </c>
      <c r="C11491">
        <v>102</v>
      </c>
      <c r="D11491">
        <v>1</v>
      </c>
    </row>
    <row r="11492" spans="2:4">
      <c r="B11492">
        <v>1</v>
      </c>
      <c r="C11492">
        <v>102</v>
      </c>
      <c r="D11492">
        <v>1</v>
      </c>
    </row>
    <row r="11494" spans="2:4">
      <c r="B11494">
        <v>1</v>
      </c>
      <c r="C11494">
        <v>102</v>
      </c>
      <c r="D11494">
        <v>1</v>
      </c>
    </row>
    <row r="11495" spans="2:4">
      <c r="B11495">
        <v>1</v>
      </c>
      <c r="C11495">
        <v>102</v>
      </c>
      <c r="D11495">
        <v>1</v>
      </c>
    </row>
    <row r="11498" spans="2:4">
      <c r="B11498">
        <v>1</v>
      </c>
      <c r="C11498">
        <v>102</v>
      </c>
      <c r="D11498">
        <v>1</v>
      </c>
    </row>
    <row r="11499" spans="2:4">
      <c r="B11499">
        <v>1</v>
      </c>
      <c r="C11499">
        <v>102</v>
      </c>
      <c r="D11499">
        <v>1</v>
      </c>
    </row>
    <row r="11500" spans="2:4">
      <c r="B11500">
        <v>1</v>
      </c>
      <c r="C11500">
        <v>102</v>
      </c>
      <c r="D11500">
        <v>1</v>
      </c>
    </row>
    <row r="11505" spans="2:4">
      <c r="B11505">
        <v>1</v>
      </c>
      <c r="C11505">
        <v>102</v>
      </c>
      <c r="D11505">
        <v>1</v>
      </c>
    </row>
    <row r="11507" spans="2:4">
      <c r="B11507">
        <v>1</v>
      </c>
      <c r="C11507">
        <v>102</v>
      </c>
      <c r="D11507">
        <v>1</v>
      </c>
    </row>
    <row r="11508" spans="2:4">
      <c r="B11508">
        <v>1</v>
      </c>
      <c r="C11508">
        <v>102</v>
      </c>
      <c r="D11508">
        <v>1</v>
      </c>
    </row>
    <row r="11509" spans="2:4">
      <c r="B11509">
        <v>1</v>
      </c>
      <c r="C11509">
        <v>102</v>
      </c>
      <c r="D11509">
        <v>1</v>
      </c>
    </row>
    <row r="11511" spans="2:4">
      <c r="B11511">
        <v>1</v>
      </c>
      <c r="C11511">
        <v>102</v>
      </c>
      <c r="D11511">
        <v>1</v>
      </c>
    </row>
    <row r="11512" spans="2:4">
      <c r="B11512">
        <v>1</v>
      </c>
      <c r="C11512">
        <v>102</v>
      </c>
      <c r="D11512">
        <v>1</v>
      </c>
    </row>
    <row r="11513" spans="2:4">
      <c r="B11513">
        <v>1</v>
      </c>
      <c r="C11513">
        <v>102</v>
      </c>
      <c r="D11513">
        <v>1</v>
      </c>
    </row>
    <row r="11517" spans="2:4">
      <c r="B11517">
        <v>1</v>
      </c>
      <c r="C11517">
        <v>102</v>
      </c>
      <c r="D11517">
        <v>1</v>
      </c>
    </row>
    <row r="11522" spans="2:4">
      <c r="B11522">
        <v>1</v>
      </c>
      <c r="C11522">
        <v>102</v>
      </c>
      <c r="D11522">
        <v>1</v>
      </c>
    </row>
    <row r="11527" spans="2:4">
      <c r="B11527">
        <v>1</v>
      </c>
      <c r="C11527">
        <v>102</v>
      </c>
      <c r="D11527">
        <v>1</v>
      </c>
    </row>
    <row r="11528" spans="2:4">
      <c r="B11528">
        <v>1</v>
      </c>
      <c r="C11528">
        <v>102</v>
      </c>
      <c r="D11528">
        <v>1</v>
      </c>
    </row>
    <row r="11534" spans="2:4">
      <c r="B11534">
        <v>1</v>
      </c>
      <c r="C11534">
        <v>102</v>
      </c>
      <c r="D11534">
        <v>1</v>
      </c>
    </row>
    <row r="11541" spans="2:4">
      <c r="B11541">
        <v>1</v>
      </c>
      <c r="C11541">
        <v>102</v>
      </c>
      <c r="D11541">
        <v>1</v>
      </c>
    </row>
    <row r="11542" spans="2:4">
      <c r="B11542">
        <v>1</v>
      </c>
      <c r="C11542">
        <v>102</v>
      </c>
      <c r="D11542">
        <v>1</v>
      </c>
    </row>
    <row r="11545" spans="2:4">
      <c r="B11545">
        <v>1</v>
      </c>
      <c r="C11545">
        <v>102</v>
      </c>
      <c r="D11545">
        <v>1</v>
      </c>
    </row>
    <row r="11546" spans="2:4">
      <c r="B11546">
        <v>1</v>
      </c>
      <c r="C11546">
        <v>102</v>
      </c>
      <c r="D11546">
        <v>1</v>
      </c>
    </row>
    <row r="11552" spans="2:4">
      <c r="B11552">
        <v>1</v>
      </c>
      <c r="C11552">
        <v>102</v>
      </c>
      <c r="D11552">
        <v>1</v>
      </c>
    </row>
    <row r="11555" spans="2:4">
      <c r="B11555">
        <v>1</v>
      </c>
      <c r="C11555">
        <v>102</v>
      </c>
      <c r="D11555">
        <v>1</v>
      </c>
    </row>
    <row r="11556" spans="2:4">
      <c r="B11556">
        <v>1</v>
      </c>
      <c r="C11556">
        <v>102</v>
      </c>
      <c r="D11556">
        <v>1</v>
      </c>
    </row>
    <row r="11558" spans="2:4">
      <c r="B11558">
        <v>1</v>
      </c>
      <c r="C11558">
        <v>102</v>
      </c>
      <c r="D11558">
        <v>1</v>
      </c>
    </row>
    <row r="11559" spans="2:4">
      <c r="B11559">
        <v>1</v>
      </c>
      <c r="C11559">
        <v>102</v>
      </c>
      <c r="D11559">
        <v>1</v>
      </c>
    </row>
    <row r="11562" spans="2:4">
      <c r="B11562">
        <v>1</v>
      </c>
      <c r="C11562">
        <v>102</v>
      </c>
      <c r="D11562">
        <v>1</v>
      </c>
    </row>
    <row r="11573" spans="2:4">
      <c r="B11573">
        <v>1</v>
      </c>
      <c r="C11573">
        <v>102</v>
      </c>
      <c r="D11573">
        <v>1</v>
      </c>
    </row>
    <row r="11575" spans="2:4">
      <c r="B11575">
        <v>1</v>
      </c>
      <c r="C11575">
        <v>102</v>
      </c>
      <c r="D11575">
        <v>1</v>
      </c>
    </row>
    <row r="11577" spans="2:4">
      <c r="B11577">
        <v>1</v>
      </c>
      <c r="C11577">
        <v>102</v>
      </c>
      <c r="D11577">
        <v>1</v>
      </c>
    </row>
    <row r="11579" spans="2:4">
      <c r="B11579">
        <v>1</v>
      </c>
      <c r="C11579">
        <v>102</v>
      </c>
      <c r="D11579">
        <v>1</v>
      </c>
    </row>
    <row r="11586" spans="2:4">
      <c r="B11586">
        <v>1</v>
      </c>
      <c r="C11586">
        <v>102</v>
      </c>
      <c r="D11586">
        <v>1</v>
      </c>
    </row>
    <row r="11591" spans="2:4">
      <c r="B11591">
        <v>1</v>
      </c>
      <c r="C11591">
        <v>102</v>
      </c>
      <c r="D11591">
        <v>1</v>
      </c>
    </row>
    <row r="11592" spans="2:4">
      <c r="B11592">
        <v>1</v>
      </c>
      <c r="C11592">
        <v>102</v>
      </c>
      <c r="D11592">
        <v>1</v>
      </c>
    </row>
    <row r="11598" spans="2:4">
      <c r="B11598">
        <v>1</v>
      </c>
      <c r="C11598">
        <v>102</v>
      </c>
      <c r="D11598">
        <v>1</v>
      </c>
    </row>
    <row r="11605" spans="2:4">
      <c r="B11605">
        <v>1</v>
      </c>
      <c r="C11605">
        <v>102</v>
      </c>
      <c r="D11605">
        <v>1</v>
      </c>
    </row>
    <row r="11606" spans="2:4">
      <c r="B11606">
        <v>1</v>
      </c>
      <c r="C11606">
        <v>102</v>
      </c>
      <c r="D11606">
        <v>1</v>
      </c>
    </row>
    <row r="11609" spans="2:4">
      <c r="B11609">
        <v>1</v>
      </c>
      <c r="C11609">
        <v>102</v>
      </c>
      <c r="D11609">
        <v>1</v>
      </c>
    </row>
    <row r="11610" spans="2:4">
      <c r="B11610">
        <v>1</v>
      </c>
      <c r="C11610">
        <v>102</v>
      </c>
      <c r="D11610">
        <v>1</v>
      </c>
    </row>
    <row r="11614" spans="2:4">
      <c r="B11614">
        <v>1</v>
      </c>
      <c r="C11614">
        <v>102</v>
      </c>
      <c r="D11614">
        <v>1</v>
      </c>
    </row>
    <row r="11616" spans="2:4">
      <c r="B11616">
        <v>1</v>
      </c>
      <c r="C11616">
        <v>102</v>
      </c>
      <c r="D11616">
        <v>1</v>
      </c>
    </row>
    <row r="11620" spans="2:4">
      <c r="B11620">
        <v>1</v>
      </c>
      <c r="C11620">
        <v>102</v>
      </c>
      <c r="D11620">
        <v>1</v>
      </c>
    </row>
    <row r="11623" spans="2:4">
      <c r="B11623">
        <v>1</v>
      </c>
      <c r="C11623">
        <v>102</v>
      </c>
      <c r="D11623">
        <v>1</v>
      </c>
    </row>
    <row r="11628" spans="2:4">
      <c r="B11628">
        <v>1</v>
      </c>
      <c r="C11628">
        <v>102</v>
      </c>
      <c r="D11628">
        <v>1</v>
      </c>
    </row>
    <row r="11629" spans="2:4">
      <c r="B11629">
        <v>1</v>
      </c>
      <c r="C11629">
        <v>102</v>
      </c>
      <c r="D11629">
        <v>1</v>
      </c>
    </row>
    <row r="11632" spans="2:4">
      <c r="B11632">
        <v>1</v>
      </c>
      <c r="C11632">
        <v>102</v>
      </c>
      <c r="D11632">
        <v>1</v>
      </c>
    </row>
    <row r="11634" spans="2:4">
      <c r="B11634">
        <v>1</v>
      </c>
      <c r="C11634">
        <v>102</v>
      </c>
      <c r="D11634">
        <v>1</v>
      </c>
    </row>
    <row r="11636" spans="2:4">
      <c r="B11636">
        <v>1</v>
      </c>
      <c r="C11636">
        <v>102</v>
      </c>
      <c r="D11636">
        <v>1</v>
      </c>
    </row>
    <row r="11641" spans="2:4">
      <c r="B11641">
        <v>1</v>
      </c>
      <c r="C11641">
        <v>102</v>
      </c>
      <c r="D11641">
        <v>1</v>
      </c>
    </row>
    <row r="11644" spans="2:4">
      <c r="B11644">
        <v>1</v>
      </c>
      <c r="C11644">
        <v>102</v>
      </c>
      <c r="D11644">
        <v>1</v>
      </c>
    </row>
    <row r="11647" spans="2:4">
      <c r="B11647">
        <v>1</v>
      </c>
      <c r="C11647">
        <v>102</v>
      </c>
      <c r="D11647">
        <v>1</v>
      </c>
    </row>
    <row r="11648" spans="2:4">
      <c r="B11648">
        <v>1</v>
      </c>
      <c r="C11648">
        <v>102</v>
      </c>
      <c r="D11648">
        <v>1</v>
      </c>
    </row>
    <row r="11649" spans="2:4">
      <c r="B11649">
        <v>1</v>
      </c>
      <c r="C11649">
        <v>102</v>
      </c>
      <c r="D11649">
        <v>1</v>
      </c>
    </row>
    <row r="11653" spans="2:4">
      <c r="B11653">
        <v>1</v>
      </c>
      <c r="C11653">
        <v>102</v>
      </c>
      <c r="D11653">
        <v>1</v>
      </c>
    </row>
    <row r="11654" spans="2:4">
      <c r="B11654">
        <v>1</v>
      </c>
      <c r="C11654">
        <v>102</v>
      </c>
      <c r="D11654">
        <v>1</v>
      </c>
    </row>
    <row r="11656" spans="2:4">
      <c r="B11656">
        <v>1</v>
      </c>
      <c r="C11656">
        <v>102</v>
      </c>
      <c r="D11656">
        <v>1</v>
      </c>
    </row>
    <row r="11658" spans="2:4">
      <c r="B11658">
        <v>1</v>
      </c>
      <c r="C11658">
        <v>102</v>
      </c>
      <c r="D11658">
        <v>1</v>
      </c>
    </row>
    <row r="11661" spans="2:4">
      <c r="B11661">
        <v>1</v>
      </c>
      <c r="C11661">
        <v>102</v>
      </c>
      <c r="D11661">
        <v>1</v>
      </c>
    </row>
    <row r="11663" spans="2:4">
      <c r="B11663">
        <v>1</v>
      </c>
      <c r="C11663">
        <v>102</v>
      </c>
      <c r="D11663">
        <v>1</v>
      </c>
    </row>
    <row r="11672" spans="2:4">
      <c r="B11672">
        <v>1</v>
      </c>
      <c r="C11672">
        <v>102</v>
      </c>
      <c r="D11672">
        <v>1</v>
      </c>
    </row>
    <row r="11674" spans="2:4">
      <c r="B11674">
        <v>1</v>
      </c>
      <c r="C11674">
        <v>102</v>
      </c>
      <c r="D11674">
        <v>1</v>
      </c>
    </row>
    <row r="11679" spans="2:4">
      <c r="B11679">
        <v>1</v>
      </c>
      <c r="C11679">
        <v>102</v>
      </c>
      <c r="D11679">
        <v>1</v>
      </c>
    </row>
    <row r="11681" spans="2:4">
      <c r="B11681">
        <v>1</v>
      </c>
      <c r="C11681">
        <v>102</v>
      </c>
      <c r="D11681">
        <v>1</v>
      </c>
    </row>
    <row r="11685" spans="2:4">
      <c r="B11685">
        <v>1</v>
      </c>
      <c r="C11685">
        <v>102</v>
      </c>
      <c r="D11685">
        <v>1</v>
      </c>
    </row>
    <row r="11689" spans="2:4">
      <c r="B11689">
        <v>1</v>
      </c>
      <c r="C11689">
        <v>102</v>
      </c>
      <c r="D11689">
        <v>1</v>
      </c>
    </row>
    <row r="11693" spans="2:4">
      <c r="B11693">
        <v>1</v>
      </c>
      <c r="C11693">
        <v>102</v>
      </c>
      <c r="D11693">
        <v>1</v>
      </c>
    </row>
    <row r="11695" spans="2:4">
      <c r="B11695">
        <v>1</v>
      </c>
      <c r="C11695">
        <v>102</v>
      </c>
      <c r="D11695">
        <v>1</v>
      </c>
    </row>
    <row r="11702" spans="2:4">
      <c r="B11702">
        <v>1</v>
      </c>
      <c r="C11702">
        <v>102</v>
      </c>
      <c r="D11702">
        <v>1</v>
      </c>
    </row>
    <row r="11706" spans="2:4">
      <c r="B11706">
        <v>1</v>
      </c>
      <c r="C11706">
        <v>102</v>
      </c>
      <c r="D11706">
        <v>1</v>
      </c>
    </row>
    <row r="11710" spans="2:4">
      <c r="B11710">
        <v>1</v>
      </c>
      <c r="C11710">
        <v>102</v>
      </c>
      <c r="D11710">
        <v>1</v>
      </c>
    </row>
    <row r="11712" spans="2:4">
      <c r="B11712">
        <v>1</v>
      </c>
      <c r="C11712">
        <v>102</v>
      </c>
      <c r="D11712">
        <v>1</v>
      </c>
    </row>
    <row r="11716" spans="2:4">
      <c r="B11716">
        <v>1</v>
      </c>
      <c r="C11716">
        <v>102</v>
      </c>
      <c r="D11716">
        <v>1</v>
      </c>
    </row>
    <row r="11717" spans="2:4">
      <c r="B11717">
        <v>1</v>
      </c>
      <c r="C11717">
        <v>102</v>
      </c>
      <c r="D11717">
        <v>1</v>
      </c>
    </row>
    <row r="11721" spans="2:4">
      <c r="B11721">
        <v>1</v>
      </c>
      <c r="C11721">
        <v>102</v>
      </c>
      <c r="D11721">
        <v>1</v>
      </c>
    </row>
    <row r="11724" spans="2:4">
      <c r="B11724">
        <v>1</v>
      </c>
      <c r="C11724">
        <v>102</v>
      </c>
      <c r="D11724">
        <v>1</v>
      </c>
    </row>
    <row r="11727" spans="2:4">
      <c r="B11727">
        <v>1</v>
      </c>
      <c r="C11727">
        <v>102</v>
      </c>
      <c r="D11727">
        <v>1</v>
      </c>
    </row>
    <row r="11729" spans="2:4">
      <c r="B11729">
        <v>1</v>
      </c>
      <c r="C11729">
        <v>102</v>
      </c>
      <c r="D11729">
        <v>1</v>
      </c>
    </row>
    <row r="11730" spans="2:4">
      <c r="B11730">
        <v>1</v>
      </c>
      <c r="C11730">
        <v>102</v>
      </c>
      <c r="D11730">
        <v>1</v>
      </c>
    </row>
    <row r="11731" spans="2:4">
      <c r="B11731">
        <v>1</v>
      </c>
      <c r="C11731">
        <v>102</v>
      </c>
      <c r="D11731">
        <v>1</v>
      </c>
    </row>
    <row r="11732" spans="2:4">
      <c r="B11732">
        <v>1</v>
      </c>
      <c r="C11732">
        <v>102</v>
      </c>
      <c r="D11732">
        <v>1</v>
      </c>
    </row>
    <row r="11740" spans="2:4">
      <c r="B11740">
        <v>1</v>
      </c>
      <c r="C11740">
        <v>102</v>
      </c>
      <c r="D11740">
        <v>1</v>
      </c>
    </row>
    <row r="11741" spans="2:4">
      <c r="B11741">
        <v>1</v>
      </c>
      <c r="C11741">
        <v>102</v>
      </c>
      <c r="D11741">
        <v>1</v>
      </c>
    </row>
    <row r="11746" spans="2:4">
      <c r="B11746">
        <v>1</v>
      </c>
      <c r="C11746">
        <v>102</v>
      </c>
      <c r="D11746">
        <v>1</v>
      </c>
    </row>
    <row r="11749" spans="2:4">
      <c r="B11749">
        <v>1</v>
      </c>
      <c r="C11749">
        <v>102</v>
      </c>
      <c r="D11749">
        <v>1</v>
      </c>
    </row>
    <row r="11752" spans="2:4">
      <c r="B11752">
        <v>1</v>
      </c>
      <c r="C11752">
        <v>102</v>
      </c>
      <c r="D11752">
        <v>1</v>
      </c>
    </row>
    <row r="11755" spans="2:4">
      <c r="B11755">
        <v>1</v>
      </c>
      <c r="C11755">
        <v>102</v>
      </c>
      <c r="D11755">
        <v>1</v>
      </c>
    </row>
    <row r="11758" spans="2:4">
      <c r="B11758">
        <v>1</v>
      </c>
      <c r="C11758">
        <v>102</v>
      </c>
      <c r="D11758">
        <v>1</v>
      </c>
    </row>
    <row r="11761" spans="2:4">
      <c r="B11761">
        <v>1</v>
      </c>
      <c r="C11761">
        <v>102</v>
      </c>
      <c r="D11761">
        <v>1</v>
      </c>
    </row>
    <row r="11763" spans="2:4">
      <c r="B11763">
        <v>1</v>
      </c>
      <c r="C11763">
        <v>102</v>
      </c>
      <c r="D11763">
        <v>1</v>
      </c>
    </row>
    <row r="11766" spans="2:4">
      <c r="B11766">
        <v>1</v>
      </c>
      <c r="C11766">
        <v>102</v>
      </c>
      <c r="D11766">
        <v>1</v>
      </c>
    </row>
    <row r="11768" spans="2:4">
      <c r="B11768">
        <v>1</v>
      </c>
      <c r="C11768">
        <v>102</v>
      </c>
      <c r="D11768">
        <v>1</v>
      </c>
    </row>
    <row r="11770" spans="2:4">
      <c r="B11770">
        <v>1</v>
      </c>
      <c r="C11770">
        <v>102</v>
      </c>
      <c r="D11770">
        <v>1</v>
      </c>
    </row>
    <row r="11771" spans="2:4">
      <c r="B11771">
        <v>1</v>
      </c>
      <c r="C11771">
        <v>102</v>
      </c>
      <c r="D11771">
        <v>1</v>
      </c>
    </row>
    <row r="11773" spans="2:4">
      <c r="B11773">
        <v>1</v>
      </c>
      <c r="C11773">
        <v>102</v>
      </c>
      <c r="D11773">
        <v>1</v>
      </c>
    </row>
    <row r="11779" spans="2:4">
      <c r="B11779">
        <v>1</v>
      </c>
      <c r="C11779">
        <v>102</v>
      </c>
      <c r="D11779">
        <v>1</v>
      </c>
    </row>
    <row r="11783" spans="2:4">
      <c r="B11783">
        <v>1</v>
      </c>
      <c r="C11783">
        <v>102</v>
      </c>
      <c r="D11783">
        <v>1</v>
      </c>
    </row>
    <row r="11787" spans="2:4">
      <c r="B11787">
        <v>1</v>
      </c>
      <c r="C11787">
        <v>102</v>
      </c>
      <c r="D11787">
        <v>1</v>
      </c>
    </row>
    <row r="11792" spans="2:4">
      <c r="B11792">
        <v>1</v>
      </c>
      <c r="C11792">
        <v>102</v>
      </c>
      <c r="D11792">
        <v>1</v>
      </c>
    </row>
    <row r="11795" spans="2:4">
      <c r="B11795">
        <v>1</v>
      </c>
      <c r="C11795">
        <v>102</v>
      </c>
      <c r="D11795">
        <v>1</v>
      </c>
    </row>
    <row r="11798" spans="2:4">
      <c r="B11798">
        <v>1</v>
      </c>
      <c r="C11798">
        <v>102</v>
      </c>
      <c r="D11798">
        <v>1</v>
      </c>
    </row>
    <row r="11799" spans="2:4">
      <c r="B11799">
        <v>1</v>
      </c>
      <c r="C11799">
        <v>102</v>
      </c>
      <c r="D11799">
        <v>1</v>
      </c>
    </row>
    <row r="11801" spans="2:4">
      <c r="B11801">
        <v>1</v>
      </c>
      <c r="C11801">
        <v>102</v>
      </c>
      <c r="D11801">
        <v>1</v>
      </c>
    </row>
    <row r="11803" spans="2:4">
      <c r="B11803">
        <v>1</v>
      </c>
      <c r="C11803">
        <v>102</v>
      </c>
      <c r="D11803">
        <v>1</v>
      </c>
    </row>
    <row r="11804" spans="2:4">
      <c r="B11804">
        <v>1</v>
      </c>
      <c r="C11804">
        <v>102</v>
      </c>
      <c r="D11804">
        <v>1</v>
      </c>
    </row>
    <row r="11806" spans="2:4">
      <c r="B11806">
        <v>1</v>
      </c>
      <c r="C11806">
        <v>102</v>
      </c>
      <c r="D11806">
        <v>1</v>
      </c>
    </row>
    <row r="11808" spans="2:4">
      <c r="B11808">
        <v>1</v>
      </c>
      <c r="C11808">
        <v>102</v>
      </c>
      <c r="D11808">
        <v>1</v>
      </c>
    </row>
    <row r="11811" spans="2:4">
      <c r="B11811">
        <v>1</v>
      </c>
      <c r="C11811">
        <v>102</v>
      </c>
      <c r="D11811">
        <v>1</v>
      </c>
    </row>
    <row r="11812" spans="2:4">
      <c r="B11812">
        <v>1</v>
      </c>
      <c r="C11812">
        <v>102</v>
      </c>
      <c r="D11812">
        <v>1</v>
      </c>
    </row>
    <row r="11814" spans="2:4">
      <c r="B11814">
        <v>1</v>
      </c>
      <c r="C11814">
        <v>102</v>
      </c>
      <c r="D11814">
        <v>1</v>
      </c>
    </row>
    <row r="11815" spans="2:4">
      <c r="B11815">
        <v>1</v>
      </c>
      <c r="C11815">
        <v>102</v>
      </c>
      <c r="D11815">
        <v>1</v>
      </c>
    </row>
    <row r="11818" spans="2:4">
      <c r="B11818">
        <v>1</v>
      </c>
      <c r="C11818">
        <v>102</v>
      </c>
      <c r="D11818">
        <v>1</v>
      </c>
    </row>
    <row r="11829" spans="2:4">
      <c r="B11829">
        <v>1</v>
      </c>
      <c r="C11829">
        <v>102</v>
      </c>
      <c r="D11829">
        <v>1</v>
      </c>
    </row>
    <row r="11831" spans="2:4">
      <c r="B11831">
        <v>1</v>
      </c>
      <c r="C11831">
        <v>102</v>
      </c>
      <c r="D11831">
        <v>1</v>
      </c>
    </row>
    <row r="11833" spans="2:4">
      <c r="B11833">
        <v>1</v>
      </c>
      <c r="C11833">
        <v>102</v>
      </c>
      <c r="D11833">
        <v>1</v>
      </c>
    </row>
    <row r="11835" spans="2:4">
      <c r="B11835">
        <v>1</v>
      </c>
      <c r="C11835">
        <v>102</v>
      </c>
      <c r="D11835">
        <v>1</v>
      </c>
    </row>
    <row r="11842" spans="2:4">
      <c r="B11842">
        <v>1</v>
      </c>
      <c r="C11842">
        <v>102</v>
      </c>
      <c r="D11842">
        <v>1</v>
      </c>
    </row>
    <row r="11847" spans="2:4">
      <c r="B11847">
        <v>1</v>
      </c>
      <c r="C11847">
        <v>102</v>
      </c>
      <c r="D11847">
        <v>1</v>
      </c>
    </row>
    <row r="11848" spans="2:4">
      <c r="B11848">
        <v>1</v>
      </c>
      <c r="C11848">
        <v>102</v>
      </c>
      <c r="D11848">
        <v>1</v>
      </c>
    </row>
    <row r="11854" spans="2:4">
      <c r="B11854">
        <v>1</v>
      </c>
      <c r="C11854">
        <v>102</v>
      </c>
      <c r="D11854">
        <v>1</v>
      </c>
    </row>
    <row r="11861" spans="2:4">
      <c r="B11861">
        <v>1</v>
      </c>
      <c r="C11861">
        <v>102</v>
      </c>
      <c r="D11861">
        <v>1</v>
      </c>
    </row>
    <row r="11862" spans="2:4">
      <c r="B11862">
        <v>1</v>
      </c>
      <c r="C11862">
        <v>102</v>
      </c>
      <c r="D11862">
        <v>1</v>
      </c>
    </row>
    <row r="11865" spans="2:4">
      <c r="B11865">
        <v>1</v>
      </c>
      <c r="C11865">
        <v>102</v>
      </c>
      <c r="D11865">
        <v>1</v>
      </c>
    </row>
    <row r="11866" spans="2:4">
      <c r="B11866">
        <v>1</v>
      </c>
      <c r="C11866">
        <v>102</v>
      </c>
      <c r="D11866">
        <v>1</v>
      </c>
    </row>
    <row r="11870" spans="2:4">
      <c r="B11870">
        <v>1</v>
      </c>
      <c r="C11870">
        <v>102</v>
      </c>
      <c r="D11870">
        <v>1</v>
      </c>
    </row>
    <row r="11872" spans="2:4">
      <c r="B11872">
        <v>1</v>
      </c>
      <c r="C11872">
        <v>102</v>
      </c>
      <c r="D11872">
        <v>1</v>
      </c>
    </row>
    <row r="11876" spans="2:4">
      <c r="B11876">
        <v>1</v>
      </c>
      <c r="C11876">
        <v>102</v>
      </c>
      <c r="D11876">
        <v>1</v>
      </c>
    </row>
    <row r="11879" spans="2:4">
      <c r="B11879">
        <v>1</v>
      </c>
      <c r="C11879">
        <v>102</v>
      </c>
      <c r="D11879">
        <v>1</v>
      </c>
    </row>
    <row r="11884" spans="2:4">
      <c r="B11884">
        <v>1</v>
      </c>
      <c r="C11884">
        <v>102</v>
      </c>
      <c r="D11884">
        <v>1</v>
      </c>
    </row>
    <row r="11885" spans="2:4">
      <c r="B11885">
        <v>1</v>
      </c>
      <c r="C11885">
        <v>102</v>
      </c>
      <c r="D11885">
        <v>1</v>
      </c>
    </row>
    <row r="11888" spans="2:4">
      <c r="B11888">
        <v>1</v>
      </c>
      <c r="C11888">
        <v>102</v>
      </c>
      <c r="D11888">
        <v>1</v>
      </c>
    </row>
    <row r="11890" spans="2:4">
      <c r="B11890">
        <v>1</v>
      </c>
      <c r="C11890">
        <v>102</v>
      </c>
      <c r="D11890">
        <v>1</v>
      </c>
    </row>
    <row r="11892" spans="2:4">
      <c r="B11892">
        <v>1</v>
      </c>
      <c r="C11892">
        <v>102</v>
      </c>
      <c r="D11892">
        <v>1</v>
      </c>
    </row>
    <row r="11897" spans="2:4">
      <c r="B11897">
        <v>1</v>
      </c>
      <c r="C11897">
        <v>102</v>
      </c>
      <c r="D11897">
        <v>1</v>
      </c>
    </row>
    <row r="11900" spans="2:4">
      <c r="B11900">
        <v>1</v>
      </c>
      <c r="C11900">
        <v>102</v>
      </c>
      <c r="D11900">
        <v>1</v>
      </c>
    </row>
    <row r="11903" spans="2:4">
      <c r="B11903">
        <v>1</v>
      </c>
      <c r="C11903">
        <v>102</v>
      </c>
      <c r="D11903">
        <v>1</v>
      </c>
    </row>
    <row r="11904" spans="2:4">
      <c r="B11904">
        <v>1</v>
      </c>
      <c r="C11904">
        <v>102</v>
      </c>
      <c r="D11904">
        <v>1</v>
      </c>
    </row>
    <row r="11905" spans="2:4">
      <c r="B11905">
        <v>1</v>
      </c>
      <c r="C11905">
        <v>102</v>
      </c>
      <c r="D11905">
        <v>1</v>
      </c>
    </row>
    <row r="11909" spans="2:4">
      <c r="B11909">
        <v>1</v>
      </c>
      <c r="C11909">
        <v>102</v>
      </c>
      <c r="D11909">
        <v>1</v>
      </c>
    </row>
    <row r="11910" spans="2:4">
      <c r="B11910">
        <v>1</v>
      </c>
      <c r="C11910">
        <v>102</v>
      </c>
      <c r="D11910">
        <v>1</v>
      </c>
    </row>
    <row r="11912" spans="2:4">
      <c r="B11912">
        <v>1</v>
      </c>
      <c r="C11912">
        <v>102</v>
      </c>
      <c r="D11912">
        <v>1</v>
      </c>
    </row>
    <row r="11914" spans="2:4">
      <c r="B11914">
        <v>1</v>
      </c>
      <c r="C11914">
        <v>102</v>
      </c>
      <c r="D11914">
        <v>1</v>
      </c>
    </row>
    <row r="11917" spans="2:4">
      <c r="B11917">
        <v>1</v>
      </c>
      <c r="C11917">
        <v>102</v>
      </c>
      <c r="D11917">
        <v>1</v>
      </c>
    </row>
    <row r="11919" spans="2:4">
      <c r="B11919">
        <v>1</v>
      </c>
      <c r="C11919">
        <v>102</v>
      </c>
      <c r="D11919">
        <v>1</v>
      </c>
    </row>
    <row r="11928" spans="2:4">
      <c r="B11928">
        <v>1</v>
      </c>
      <c r="C11928">
        <v>102</v>
      </c>
      <c r="D11928">
        <v>1</v>
      </c>
    </row>
    <row r="11930" spans="2:4">
      <c r="B11930">
        <v>1</v>
      </c>
      <c r="C11930">
        <v>102</v>
      </c>
      <c r="D11930">
        <v>1</v>
      </c>
    </row>
    <row r="11935" spans="2:4">
      <c r="B11935">
        <v>1</v>
      </c>
      <c r="C11935">
        <v>102</v>
      </c>
      <c r="D11935">
        <v>1</v>
      </c>
    </row>
    <row r="11937" spans="2:4">
      <c r="B11937">
        <v>1</v>
      </c>
      <c r="C11937">
        <v>102</v>
      </c>
      <c r="D11937">
        <v>1</v>
      </c>
    </row>
    <row r="11941" spans="2:4">
      <c r="B11941">
        <v>1</v>
      </c>
      <c r="C11941">
        <v>102</v>
      </c>
      <c r="D11941">
        <v>1</v>
      </c>
    </row>
    <row r="11945" spans="2:4">
      <c r="B11945">
        <v>1</v>
      </c>
      <c r="C11945">
        <v>102</v>
      </c>
      <c r="D11945">
        <v>1</v>
      </c>
    </row>
    <row r="11949" spans="2:4">
      <c r="B11949">
        <v>1</v>
      </c>
      <c r="C11949">
        <v>102</v>
      </c>
      <c r="D11949">
        <v>1</v>
      </c>
    </row>
    <row r="11951" spans="2:4">
      <c r="B11951">
        <v>1</v>
      </c>
      <c r="C11951">
        <v>102</v>
      </c>
      <c r="D11951">
        <v>1</v>
      </c>
    </row>
    <row r="11958" spans="2:4">
      <c r="B11958">
        <v>1</v>
      </c>
      <c r="C11958">
        <v>102</v>
      </c>
      <c r="D11958">
        <v>1</v>
      </c>
    </row>
    <row r="11962" spans="2:4">
      <c r="B11962">
        <v>1</v>
      </c>
      <c r="C11962">
        <v>102</v>
      </c>
      <c r="D11962">
        <v>1</v>
      </c>
    </row>
    <row r="11966" spans="2:4">
      <c r="B11966">
        <v>1</v>
      </c>
      <c r="C11966">
        <v>102</v>
      </c>
      <c r="D11966">
        <v>1</v>
      </c>
    </row>
    <row r="11968" spans="2:4">
      <c r="B11968">
        <v>1</v>
      </c>
      <c r="C11968">
        <v>102</v>
      </c>
      <c r="D11968">
        <v>1</v>
      </c>
    </row>
    <row r="11972" spans="2:4">
      <c r="B11972">
        <v>1</v>
      </c>
      <c r="C11972">
        <v>102</v>
      </c>
      <c r="D11972">
        <v>1</v>
      </c>
    </row>
    <row r="11973" spans="2:4">
      <c r="B11973">
        <v>1</v>
      </c>
      <c r="C11973">
        <v>102</v>
      </c>
      <c r="D11973">
        <v>1</v>
      </c>
    </row>
    <row r="11977" spans="2:4">
      <c r="B11977">
        <v>1</v>
      </c>
      <c r="C11977">
        <v>102</v>
      </c>
      <c r="D11977">
        <v>1</v>
      </c>
    </row>
    <row r="11980" spans="2:4">
      <c r="B11980">
        <v>1</v>
      </c>
      <c r="C11980">
        <v>102</v>
      </c>
      <c r="D11980">
        <v>1</v>
      </c>
    </row>
    <row r="11983" spans="2:4">
      <c r="B11983">
        <v>1</v>
      </c>
      <c r="C11983">
        <v>102</v>
      </c>
      <c r="D11983">
        <v>1</v>
      </c>
    </row>
    <row r="11985" spans="2:4">
      <c r="B11985">
        <v>1</v>
      </c>
      <c r="C11985">
        <v>102</v>
      </c>
      <c r="D11985">
        <v>1</v>
      </c>
    </row>
    <row r="11986" spans="2:4">
      <c r="B11986">
        <v>1</v>
      </c>
      <c r="C11986">
        <v>102</v>
      </c>
      <c r="D11986">
        <v>1</v>
      </c>
    </row>
    <row r="11987" spans="2:4">
      <c r="B11987">
        <v>1</v>
      </c>
      <c r="C11987">
        <v>102</v>
      </c>
      <c r="D11987">
        <v>1</v>
      </c>
    </row>
    <row r="11988" spans="2:4">
      <c r="B11988">
        <v>1</v>
      </c>
      <c r="C11988">
        <v>102</v>
      </c>
      <c r="D11988">
        <v>1</v>
      </c>
    </row>
    <row r="11996" spans="2:4">
      <c r="B11996">
        <v>1</v>
      </c>
      <c r="C11996">
        <v>102</v>
      </c>
      <c r="D11996">
        <v>1</v>
      </c>
    </row>
    <row r="11997" spans="2:4">
      <c r="B11997">
        <v>1</v>
      </c>
      <c r="C11997">
        <v>102</v>
      </c>
      <c r="D11997">
        <v>1</v>
      </c>
    </row>
    <row r="12002" spans="2:4">
      <c r="B12002">
        <v>1</v>
      </c>
      <c r="C12002">
        <v>102</v>
      </c>
      <c r="D12002">
        <v>1</v>
      </c>
    </row>
    <row r="12005" spans="2:4">
      <c r="B12005">
        <v>1</v>
      </c>
      <c r="C12005">
        <v>102</v>
      </c>
      <c r="D12005">
        <v>1</v>
      </c>
    </row>
    <row r="12008" spans="2:4">
      <c r="B12008">
        <v>1</v>
      </c>
      <c r="C12008">
        <v>102</v>
      </c>
      <c r="D12008">
        <v>1</v>
      </c>
    </row>
    <row r="12011" spans="2:4">
      <c r="B12011">
        <v>1</v>
      </c>
      <c r="C12011">
        <v>102</v>
      </c>
      <c r="D12011">
        <v>1</v>
      </c>
    </row>
    <row r="12014" spans="2:4">
      <c r="B12014">
        <v>1</v>
      </c>
      <c r="C12014">
        <v>102</v>
      </c>
      <c r="D12014">
        <v>1</v>
      </c>
    </row>
    <row r="12017" spans="2:4">
      <c r="B12017">
        <v>1</v>
      </c>
      <c r="C12017">
        <v>102</v>
      </c>
      <c r="D12017">
        <v>1</v>
      </c>
    </row>
    <row r="12019" spans="2:4">
      <c r="B12019">
        <v>1</v>
      </c>
      <c r="C12019">
        <v>102</v>
      </c>
      <c r="D12019">
        <v>1</v>
      </c>
    </row>
    <row r="12022" spans="2:4">
      <c r="B12022">
        <v>1</v>
      </c>
      <c r="C12022">
        <v>102</v>
      </c>
      <c r="D12022">
        <v>1</v>
      </c>
    </row>
    <row r="12024" spans="2:4">
      <c r="B12024">
        <v>1</v>
      </c>
      <c r="C12024">
        <v>102</v>
      </c>
      <c r="D12024">
        <v>1</v>
      </c>
    </row>
    <row r="12026" spans="2:4">
      <c r="B12026">
        <v>1</v>
      </c>
      <c r="C12026">
        <v>102</v>
      </c>
      <c r="D12026">
        <v>1</v>
      </c>
    </row>
    <row r="12027" spans="2:4">
      <c r="B12027">
        <v>1</v>
      </c>
      <c r="C12027">
        <v>102</v>
      </c>
      <c r="D12027">
        <v>1</v>
      </c>
    </row>
    <row r="12029" spans="2:4">
      <c r="B12029">
        <v>1</v>
      </c>
      <c r="C12029">
        <v>102</v>
      </c>
      <c r="D12029">
        <v>1</v>
      </c>
    </row>
    <row r="12035" spans="2:4">
      <c r="B12035">
        <v>1</v>
      </c>
      <c r="C12035">
        <v>102</v>
      </c>
      <c r="D12035">
        <v>1</v>
      </c>
    </row>
    <row r="12039" spans="2:4">
      <c r="B12039">
        <v>1</v>
      </c>
      <c r="C12039">
        <v>102</v>
      </c>
      <c r="D12039">
        <v>1</v>
      </c>
    </row>
    <row r="12043" spans="2:4">
      <c r="B12043">
        <v>1</v>
      </c>
      <c r="C12043">
        <v>102</v>
      </c>
      <c r="D12043">
        <v>1</v>
      </c>
    </row>
    <row r="12048" spans="2:4">
      <c r="B12048">
        <v>1</v>
      </c>
      <c r="C12048">
        <v>102</v>
      </c>
      <c r="D12048">
        <v>1</v>
      </c>
    </row>
    <row r="12051" spans="2:4">
      <c r="B12051">
        <v>1</v>
      </c>
      <c r="C12051">
        <v>102</v>
      </c>
      <c r="D12051">
        <v>1</v>
      </c>
    </row>
    <row r="12054" spans="2:4">
      <c r="B12054">
        <v>1</v>
      </c>
      <c r="C12054">
        <v>102</v>
      </c>
      <c r="D12054">
        <v>1</v>
      </c>
    </row>
    <row r="12055" spans="2:4">
      <c r="B12055">
        <v>1</v>
      </c>
      <c r="C12055">
        <v>102</v>
      </c>
      <c r="D12055">
        <v>1</v>
      </c>
    </row>
    <row r="12057" spans="2:4">
      <c r="B12057">
        <v>1</v>
      </c>
      <c r="C12057">
        <v>102</v>
      </c>
      <c r="D12057">
        <v>1</v>
      </c>
    </row>
    <row r="12059" spans="2:4">
      <c r="B12059">
        <v>1</v>
      </c>
      <c r="C12059">
        <v>102</v>
      </c>
      <c r="D12059">
        <v>1</v>
      </c>
    </row>
    <row r="12060" spans="2:4">
      <c r="B12060">
        <v>1</v>
      </c>
      <c r="C12060">
        <v>102</v>
      </c>
      <c r="D12060">
        <v>1</v>
      </c>
    </row>
    <row r="12062" spans="2:4">
      <c r="B12062">
        <v>1</v>
      </c>
      <c r="C12062">
        <v>102</v>
      </c>
      <c r="D12062">
        <v>1</v>
      </c>
    </row>
    <row r="12064" spans="2:4">
      <c r="B12064">
        <v>1</v>
      </c>
      <c r="C12064">
        <v>102</v>
      </c>
      <c r="D12064">
        <v>1</v>
      </c>
    </row>
    <row r="12067" spans="2:4">
      <c r="B12067">
        <v>1</v>
      </c>
      <c r="C12067">
        <v>102</v>
      </c>
      <c r="D12067">
        <v>1</v>
      </c>
    </row>
    <row r="12068" spans="2:4">
      <c r="B12068">
        <v>1</v>
      </c>
      <c r="C12068">
        <v>102</v>
      </c>
      <c r="D12068">
        <v>1</v>
      </c>
    </row>
    <row r="12070" spans="2:4">
      <c r="B12070">
        <v>1</v>
      </c>
      <c r="C12070">
        <v>102</v>
      </c>
      <c r="D12070">
        <v>1</v>
      </c>
    </row>
    <row r="12071" spans="2:4">
      <c r="B12071">
        <v>1</v>
      </c>
      <c r="C12071">
        <v>102</v>
      </c>
      <c r="D12071">
        <v>1</v>
      </c>
    </row>
    <row r="12074" spans="2:4">
      <c r="B12074">
        <v>1</v>
      </c>
      <c r="C12074">
        <v>102</v>
      </c>
      <c r="D12074">
        <v>1</v>
      </c>
    </row>
    <row r="12085" spans="2:4">
      <c r="B12085">
        <v>1</v>
      </c>
      <c r="C12085">
        <v>102</v>
      </c>
      <c r="D12085">
        <v>1</v>
      </c>
    </row>
    <row r="12087" spans="2:4">
      <c r="B12087">
        <v>1</v>
      </c>
      <c r="C12087">
        <v>102</v>
      </c>
      <c r="D12087">
        <v>1</v>
      </c>
    </row>
    <row r="12089" spans="2:4">
      <c r="B12089">
        <v>1</v>
      </c>
      <c r="C12089">
        <v>102</v>
      </c>
      <c r="D12089">
        <v>1</v>
      </c>
    </row>
    <row r="12091" spans="2:4">
      <c r="B12091">
        <v>1</v>
      </c>
      <c r="C12091">
        <v>102</v>
      </c>
      <c r="D12091">
        <v>1</v>
      </c>
    </row>
    <row r="12098" spans="2:4">
      <c r="B12098">
        <v>1</v>
      </c>
      <c r="C12098">
        <v>102</v>
      </c>
      <c r="D12098">
        <v>1</v>
      </c>
    </row>
    <row r="12103" spans="2:4">
      <c r="B12103">
        <v>1</v>
      </c>
      <c r="C12103">
        <v>102</v>
      </c>
      <c r="D12103">
        <v>1</v>
      </c>
    </row>
    <row r="12104" spans="2:4">
      <c r="B12104">
        <v>1</v>
      </c>
      <c r="C12104">
        <v>102</v>
      </c>
      <c r="D12104">
        <v>1</v>
      </c>
    </row>
    <row r="12110" spans="2:4">
      <c r="B12110">
        <v>1</v>
      </c>
      <c r="C12110">
        <v>102</v>
      </c>
      <c r="D12110">
        <v>1</v>
      </c>
    </row>
    <row r="12117" spans="2:4">
      <c r="B12117">
        <v>1</v>
      </c>
      <c r="C12117">
        <v>102</v>
      </c>
      <c r="D12117">
        <v>1</v>
      </c>
    </row>
    <row r="12118" spans="2:4">
      <c r="B12118">
        <v>1</v>
      </c>
      <c r="C12118">
        <v>102</v>
      </c>
      <c r="D12118">
        <v>1</v>
      </c>
    </row>
    <row r="12121" spans="2:4">
      <c r="B12121">
        <v>1</v>
      </c>
      <c r="C12121">
        <v>102</v>
      </c>
      <c r="D12121">
        <v>1</v>
      </c>
    </row>
    <row r="12122" spans="2:4">
      <c r="B12122">
        <v>1</v>
      </c>
      <c r="C12122">
        <v>102</v>
      </c>
      <c r="D12122">
        <v>1</v>
      </c>
    </row>
    <row r="12126" spans="2:4">
      <c r="B12126">
        <v>1</v>
      </c>
      <c r="C12126">
        <v>102</v>
      </c>
      <c r="D12126">
        <v>1</v>
      </c>
    </row>
    <row r="12128" spans="2:4">
      <c r="B12128">
        <v>1</v>
      </c>
      <c r="C12128">
        <v>102</v>
      </c>
      <c r="D12128">
        <v>1</v>
      </c>
    </row>
    <row r="12132" spans="2:4">
      <c r="B12132">
        <v>1</v>
      </c>
      <c r="C12132">
        <v>102</v>
      </c>
      <c r="D12132">
        <v>1</v>
      </c>
    </row>
    <row r="12135" spans="2:4">
      <c r="B12135">
        <v>1</v>
      </c>
      <c r="C12135">
        <v>102</v>
      </c>
      <c r="D12135">
        <v>1</v>
      </c>
    </row>
    <row r="12140" spans="2:4">
      <c r="B12140">
        <v>1</v>
      </c>
      <c r="C12140">
        <v>102</v>
      </c>
      <c r="D12140">
        <v>1</v>
      </c>
    </row>
    <row r="12141" spans="2:4">
      <c r="B12141">
        <v>1</v>
      </c>
      <c r="C12141">
        <v>102</v>
      </c>
      <c r="D12141">
        <v>1</v>
      </c>
    </row>
    <row r="12144" spans="2:4">
      <c r="B12144">
        <v>1</v>
      </c>
      <c r="C12144">
        <v>102</v>
      </c>
      <c r="D12144">
        <v>1</v>
      </c>
    </row>
    <row r="12146" spans="2:4">
      <c r="B12146">
        <v>1</v>
      </c>
      <c r="C12146">
        <v>102</v>
      </c>
      <c r="D12146">
        <v>1</v>
      </c>
    </row>
    <row r="12148" spans="2:4">
      <c r="B12148">
        <v>1</v>
      </c>
      <c r="C12148">
        <v>102</v>
      </c>
      <c r="D12148">
        <v>1</v>
      </c>
    </row>
    <row r="12153" spans="2:4">
      <c r="B12153">
        <v>1</v>
      </c>
      <c r="C12153">
        <v>102</v>
      </c>
      <c r="D12153">
        <v>1</v>
      </c>
    </row>
    <row r="12156" spans="2:4">
      <c r="B12156">
        <v>1</v>
      </c>
      <c r="C12156">
        <v>102</v>
      </c>
      <c r="D12156">
        <v>1</v>
      </c>
    </row>
    <row r="12159" spans="2:4">
      <c r="B12159">
        <v>1</v>
      </c>
      <c r="C12159">
        <v>102</v>
      </c>
      <c r="D12159">
        <v>1</v>
      </c>
    </row>
    <row r="12160" spans="2:4">
      <c r="B12160">
        <v>1</v>
      </c>
      <c r="C12160">
        <v>102</v>
      </c>
      <c r="D12160">
        <v>1</v>
      </c>
    </row>
    <row r="12161" spans="2:4">
      <c r="B12161">
        <v>1</v>
      </c>
      <c r="C12161">
        <v>102</v>
      </c>
      <c r="D12161">
        <v>1</v>
      </c>
    </row>
    <row r="12165" spans="2:4">
      <c r="B12165">
        <v>1</v>
      </c>
      <c r="C12165">
        <v>102</v>
      </c>
      <c r="D12165">
        <v>1</v>
      </c>
    </row>
    <row r="12166" spans="2:4">
      <c r="B12166">
        <v>1</v>
      </c>
      <c r="C12166">
        <v>102</v>
      </c>
      <c r="D12166">
        <v>1</v>
      </c>
    </row>
    <row r="12168" spans="2:4">
      <c r="B12168">
        <v>1</v>
      </c>
      <c r="C12168">
        <v>102</v>
      </c>
      <c r="D12168">
        <v>1</v>
      </c>
    </row>
    <row r="12170" spans="2:4">
      <c r="B12170">
        <v>1</v>
      </c>
      <c r="C12170">
        <v>102</v>
      </c>
      <c r="D12170">
        <v>1</v>
      </c>
    </row>
    <row r="12173" spans="2:4">
      <c r="B12173">
        <v>1</v>
      </c>
      <c r="C12173">
        <v>102</v>
      </c>
      <c r="D12173">
        <v>1</v>
      </c>
    </row>
    <row r="12175" spans="2:4">
      <c r="B12175">
        <v>1</v>
      </c>
      <c r="C12175">
        <v>102</v>
      </c>
      <c r="D12175">
        <v>1</v>
      </c>
    </row>
    <row r="12184" spans="2:4">
      <c r="B12184">
        <v>1</v>
      </c>
      <c r="C12184">
        <v>102</v>
      </c>
      <c r="D12184">
        <v>1</v>
      </c>
    </row>
    <row r="12186" spans="2:4">
      <c r="B12186">
        <v>1</v>
      </c>
      <c r="C12186">
        <v>102</v>
      </c>
      <c r="D12186">
        <v>1</v>
      </c>
    </row>
    <row r="12191" spans="2:4">
      <c r="B12191">
        <v>1</v>
      </c>
      <c r="C12191">
        <v>102</v>
      </c>
      <c r="D12191">
        <v>1</v>
      </c>
    </row>
    <row r="12193" spans="2:4">
      <c r="B12193">
        <v>1</v>
      </c>
      <c r="C12193">
        <v>102</v>
      </c>
      <c r="D12193">
        <v>1</v>
      </c>
    </row>
    <row r="12197" spans="2:4">
      <c r="B12197">
        <v>1</v>
      </c>
      <c r="C12197">
        <v>102</v>
      </c>
      <c r="D12197">
        <v>1</v>
      </c>
    </row>
    <row r="12201" spans="2:4">
      <c r="B12201">
        <v>1</v>
      </c>
      <c r="C12201">
        <v>102</v>
      </c>
      <c r="D12201">
        <v>1</v>
      </c>
    </row>
    <row r="12205" spans="2:4">
      <c r="B12205">
        <v>1</v>
      </c>
      <c r="C12205">
        <v>102</v>
      </c>
      <c r="D12205">
        <v>1</v>
      </c>
    </row>
    <row r="12207" spans="2:4">
      <c r="B12207">
        <v>1</v>
      </c>
      <c r="C12207">
        <v>102</v>
      </c>
      <c r="D12207">
        <v>1</v>
      </c>
    </row>
    <row r="12214" spans="2:4">
      <c r="B12214">
        <v>1</v>
      </c>
      <c r="C12214">
        <v>102</v>
      </c>
      <c r="D12214">
        <v>1</v>
      </c>
    </row>
    <row r="12218" spans="2:4">
      <c r="B12218">
        <v>1</v>
      </c>
      <c r="C12218">
        <v>102</v>
      </c>
      <c r="D12218">
        <v>1</v>
      </c>
    </row>
    <row r="12222" spans="2:4">
      <c r="B12222">
        <v>1</v>
      </c>
      <c r="C12222">
        <v>102</v>
      </c>
      <c r="D12222">
        <v>1</v>
      </c>
    </row>
    <row r="12224" spans="2:4">
      <c r="B12224">
        <v>1</v>
      </c>
      <c r="C12224">
        <v>102</v>
      </c>
      <c r="D12224">
        <v>1</v>
      </c>
    </row>
    <row r="12228" spans="2:4">
      <c r="B12228">
        <v>1</v>
      </c>
      <c r="C12228">
        <v>102</v>
      </c>
      <c r="D12228">
        <v>1</v>
      </c>
    </row>
    <row r="12229" spans="2:4">
      <c r="B12229">
        <v>1</v>
      </c>
      <c r="C12229">
        <v>102</v>
      </c>
      <c r="D12229">
        <v>1</v>
      </c>
    </row>
    <row r="12233" spans="2:4">
      <c r="B12233">
        <v>1</v>
      </c>
      <c r="C12233">
        <v>102</v>
      </c>
      <c r="D12233">
        <v>1</v>
      </c>
    </row>
    <row r="12236" spans="2:4">
      <c r="B12236">
        <v>1</v>
      </c>
      <c r="C12236">
        <v>102</v>
      </c>
      <c r="D12236">
        <v>1</v>
      </c>
    </row>
    <row r="12239" spans="2:4">
      <c r="B12239">
        <v>1</v>
      </c>
      <c r="C12239">
        <v>102</v>
      </c>
      <c r="D12239">
        <v>1</v>
      </c>
    </row>
    <row r="12241" spans="2:4">
      <c r="B12241">
        <v>1</v>
      </c>
      <c r="C12241">
        <v>102</v>
      </c>
      <c r="D12241">
        <v>1</v>
      </c>
    </row>
    <row r="12242" spans="2:4">
      <c r="B12242">
        <v>1</v>
      </c>
      <c r="C12242">
        <v>102</v>
      </c>
      <c r="D12242">
        <v>1</v>
      </c>
    </row>
    <row r="12243" spans="2:4">
      <c r="B12243">
        <v>1</v>
      </c>
      <c r="C12243">
        <v>102</v>
      </c>
      <c r="D12243">
        <v>1</v>
      </c>
    </row>
    <row r="12244" spans="2:4">
      <c r="B12244">
        <v>1</v>
      </c>
      <c r="C12244">
        <v>102</v>
      </c>
      <c r="D12244">
        <v>1</v>
      </c>
    </row>
    <row r="12252" spans="2:4">
      <c r="B12252">
        <v>1</v>
      </c>
      <c r="C12252">
        <v>102</v>
      </c>
      <c r="D12252">
        <v>1</v>
      </c>
    </row>
    <row r="12253" spans="2:4">
      <c r="B12253">
        <v>1</v>
      </c>
      <c r="C12253">
        <v>102</v>
      </c>
      <c r="D12253">
        <v>1</v>
      </c>
    </row>
    <row r="12258" spans="2:4">
      <c r="B12258">
        <v>1</v>
      </c>
      <c r="C12258">
        <v>102</v>
      </c>
      <c r="D12258">
        <v>1</v>
      </c>
    </row>
    <row r="12261" spans="2:4">
      <c r="B12261">
        <v>1</v>
      </c>
      <c r="C12261">
        <v>102</v>
      </c>
      <c r="D12261">
        <v>1</v>
      </c>
    </row>
    <row r="12264" spans="2:4">
      <c r="B12264">
        <v>1</v>
      </c>
      <c r="C12264">
        <v>102</v>
      </c>
      <c r="D12264">
        <v>1</v>
      </c>
    </row>
    <row r="12267" spans="2:4">
      <c r="B12267">
        <v>1</v>
      </c>
      <c r="C12267">
        <v>102</v>
      </c>
      <c r="D12267">
        <v>1</v>
      </c>
    </row>
    <row r="12270" spans="2:4">
      <c r="B12270">
        <v>1</v>
      </c>
      <c r="C12270">
        <v>102</v>
      </c>
      <c r="D12270">
        <v>1</v>
      </c>
    </row>
    <row r="12273" spans="2:4">
      <c r="B12273">
        <v>1</v>
      </c>
      <c r="C12273">
        <v>102</v>
      </c>
      <c r="D12273">
        <v>1</v>
      </c>
    </row>
    <row r="12275" spans="2:4">
      <c r="B12275">
        <v>1</v>
      </c>
      <c r="C12275">
        <v>102</v>
      </c>
      <c r="D12275">
        <v>1</v>
      </c>
    </row>
    <row r="12278" spans="2:4">
      <c r="B12278">
        <v>1</v>
      </c>
      <c r="C12278">
        <v>102</v>
      </c>
      <c r="D12278">
        <v>1</v>
      </c>
    </row>
    <row r="12280" spans="2:4">
      <c r="B12280">
        <v>1</v>
      </c>
      <c r="C12280">
        <v>102</v>
      </c>
      <c r="D12280">
        <v>1</v>
      </c>
    </row>
    <row r="12282" spans="2:4">
      <c r="B12282">
        <v>1</v>
      </c>
      <c r="C12282">
        <v>102</v>
      </c>
      <c r="D12282">
        <v>1</v>
      </c>
    </row>
    <row r="12283" spans="2:4">
      <c r="B12283">
        <v>1</v>
      </c>
      <c r="C12283">
        <v>102</v>
      </c>
      <c r="D12283">
        <v>1</v>
      </c>
    </row>
    <row r="12285" spans="2:4">
      <c r="B12285">
        <v>1</v>
      </c>
      <c r="C12285">
        <v>102</v>
      </c>
      <c r="D12285">
        <v>1</v>
      </c>
    </row>
    <row r="12291" spans="2:4">
      <c r="B12291">
        <v>1</v>
      </c>
      <c r="C12291">
        <v>102</v>
      </c>
      <c r="D12291">
        <v>1</v>
      </c>
    </row>
    <row r="12295" spans="2:4">
      <c r="B12295">
        <v>1</v>
      </c>
      <c r="C12295">
        <v>102</v>
      </c>
      <c r="D12295">
        <v>1</v>
      </c>
    </row>
    <row r="12299" spans="2:4">
      <c r="B12299">
        <v>1</v>
      </c>
      <c r="C12299">
        <v>102</v>
      </c>
      <c r="D12299">
        <v>1</v>
      </c>
    </row>
    <row r="12304" spans="2:4">
      <c r="B12304">
        <v>1</v>
      </c>
      <c r="C12304">
        <v>102</v>
      </c>
      <c r="D12304">
        <v>1</v>
      </c>
    </row>
    <row r="12307" spans="2:4">
      <c r="B12307">
        <v>1</v>
      </c>
      <c r="C12307">
        <v>102</v>
      </c>
      <c r="D12307">
        <v>1</v>
      </c>
    </row>
    <row r="12310" spans="2:4">
      <c r="B12310">
        <v>1</v>
      </c>
      <c r="C12310">
        <v>102</v>
      </c>
      <c r="D12310">
        <v>1</v>
      </c>
    </row>
    <row r="12311" spans="2:4">
      <c r="B12311">
        <v>1</v>
      </c>
      <c r="C12311">
        <v>102</v>
      </c>
      <c r="D12311">
        <v>1</v>
      </c>
    </row>
    <row r="12313" spans="2:4">
      <c r="B12313">
        <v>1</v>
      </c>
      <c r="C12313">
        <v>102</v>
      </c>
      <c r="D12313">
        <v>1</v>
      </c>
    </row>
    <row r="12315" spans="2:4">
      <c r="B12315">
        <v>1</v>
      </c>
      <c r="C12315">
        <v>102</v>
      </c>
      <c r="D12315">
        <v>1</v>
      </c>
    </row>
    <row r="12316" spans="2:4">
      <c r="B12316">
        <v>1</v>
      </c>
      <c r="C12316">
        <v>102</v>
      </c>
      <c r="D12316">
        <v>1</v>
      </c>
    </row>
    <row r="12318" spans="2:4">
      <c r="B12318">
        <v>1</v>
      </c>
      <c r="C12318">
        <v>102</v>
      </c>
      <c r="D12318">
        <v>1</v>
      </c>
    </row>
    <row r="12320" spans="2:4">
      <c r="B12320">
        <v>1</v>
      </c>
      <c r="C12320">
        <v>102</v>
      </c>
      <c r="D12320">
        <v>1</v>
      </c>
    </row>
    <row r="12323" spans="2:4">
      <c r="B12323">
        <v>1</v>
      </c>
      <c r="C12323">
        <v>102</v>
      </c>
      <c r="D12323">
        <v>1</v>
      </c>
    </row>
    <row r="12324" spans="2:4">
      <c r="B12324">
        <v>1</v>
      </c>
      <c r="C12324">
        <v>102</v>
      </c>
      <c r="D12324">
        <v>1</v>
      </c>
    </row>
    <row r="12326" spans="2:4">
      <c r="B12326">
        <v>1</v>
      </c>
      <c r="C12326">
        <v>102</v>
      </c>
      <c r="D12326">
        <v>1</v>
      </c>
    </row>
    <row r="12327" spans="2:4">
      <c r="B12327">
        <v>1</v>
      </c>
      <c r="C12327">
        <v>102</v>
      </c>
      <c r="D12327">
        <v>1</v>
      </c>
    </row>
    <row r="12330" spans="2:4">
      <c r="B12330">
        <v>1</v>
      </c>
      <c r="C12330">
        <v>102</v>
      </c>
      <c r="D12330">
        <v>1</v>
      </c>
    </row>
    <row r="12341" spans="2:4">
      <c r="B12341">
        <v>1</v>
      </c>
      <c r="C12341">
        <v>102</v>
      </c>
      <c r="D12341">
        <v>1</v>
      </c>
    </row>
    <row r="12343" spans="2:4">
      <c r="B12343">
        <v>1</v>
      </c>
      <c r="C12343">
        <v>102</v>
      </c>
      <c r="D12343">
        <v>1</v>
      </c>
    </row>
    <row r="12345" spans="2:4">
      <c r="B12345">
        <v>1</v>
      </c>
      <c r="C12345">
        <v>102</v>
      </c>
      <c r="D12345">
        <v>1</v>
      </c>
    </row>
    <row r="12347" spans="2:4">
      <c r="B12347">
        <v>1</v>
      </c>
      <c r="C12347">
        <v>102</v>
      </c>
      <c r="D12347">
        <v>1</v>
      </c>
    </row>
    <row r="12354" spans="2:4">
      <c r="B12354">
        <v>1</v>
      </c>
      <c r="C12354">
        <v>102</v>
      </c>
      <c r="D12354">
        <v>1</v>
      </c>
    </row>
    <row r="12359" spans="2:4">
      <c r="B12359">
        <v>1</v>
      </c>
      <c r="C12359">
        <v>102</v>
      </c>
      <c r="D12359">
        <v>1</v>
      </c>
    </row>
    <row r="12360" spans="2:4">
      <c r="B12360">
        <v>1</v>
      </c>
      <c r="C12360">
        <v>102</v>
      </c>
      <c r="D12360">
        <v>1</v>
      </c>
    </row>
    <row r="12366" spans="2:4">
      <c r="B12366">
        <v>1</v>
      </c>
      <c r="C12366">
        <v>102</v>
      </c>
      <c r="D12366">
        <v>1</v>
      </c>
    </row>
    <row r="12373" spans="2:4">
      <c r="B12373">
        <v>1</v>
      </c>
      <c r="C12373">
        <v>102</v>
      </c>
      <c r="D12373">
        <v>1</v>
      </c>
    </row>
    <row r="12374" spans="2:4">
      <c r="B12374">
        <v>1</v>
      </c>
      <c r="C12374">
        <v>102</v>
      </c>
      <c r="D12374">
        <v>1</v>
      </c>
    </row>
    <row r="12377" spans="2:4">
      <c r="B12377">
        <v>1</v>
      </c>
      <c r="C12377">
        <v>102</v>
      </c>
      <c r="D12377">
        <v>1</v>
      </c>
    </row>
    <row r="12378" spans="2:4">
      <c r="B12378">
        <v>1</v>
      </c>
      <c r="C12378">
        <v>102</v>
      </c>
      <c r="D12378">
        <v>1</v>
      </c>
    </row>
    <row r="12382" spans="2:4">
      <c r="B12382">
        <v>1</v>
      </c>
      <c r="C12382">
        <v>102</v>
      </c>
      <c r="D12382">
        <v>1</v>
      </c>
    </row>
    <row r="12384" spans="2:4">
      <c r="B12384">
        <v>1</v>
      </c>
      <c r="C12384">
        <v>102</v>
      </c>
      <c r="D12384">
        <v>1</v>
      </c>
    </row>
    <row r="12388" spans="2:4">
      <c r="B12388">
        <v>1</v>
      </c>
      <c r="C12388">
        <v>102</v>
      </c>
      <c r="D12388">
        <v>1</v>
      </c>
    </row>
    <row r="12391" spans="2:4">
      <c r="B12391">
        <v>1</v>
      </c>
      <c r="C12391">
        <v>102</v>
      </c>
      <c r="D12391">
        <v>1</v>
      </c>
    </row>
    <row r="12396" spans="2:4">
      <c r="B12396">
        <v>1</v>
      </c>
      <c r="C12396">
        <v>102</v>
      </c>
      <c r="D12396">
        <v>1</v>
      </c>
    </row>
    <row r="12397" spans="2:4">
      <c r="B12397">
        <v>1</v>
      </c>
      <c r="C12397">
        <v>102</v>
      </c>
      <c r="D12397">
        <v>1</v>
      </c>
    </row>
    <row r="12400" spans="2:4">
      <c r="B12400">
        <v>1</v>
      </c>
      <c r="C12400">
        <v>102</v>
      </c>
      <c r="D12400">
        <v>1</v>
      </c>
    </row>
    <row r="12402" spans="2:4">
      <c r="B12402">
        <v>1</v>
      </c>
      <c r="C12402">
        <v>102</v>
      </c>
      <c r="D12402">
        <v>1</v>
      </c>
    </row>
    <row r="12404" spans="2:4">
      <c r="B12404">
        <v>1</v>
      </c>
      <c r="C12404">
        <v>102</v>
      </c>
      <c r="D12404">
        <v>1</v>
      </c>
    </row>
    <row r="12409" spans="2:4">
      <c r="B12409">
        <v>1</v>
      </c>
      <c r="C12409">
        <v>102</v>
      </c>
      <c r="D12409">
        <v>1</v>
      </c>
    </row>
    <row r="12412" spans="2:4">
      <c r="B12412">
        <v>1</v>
      </c>
      <c r="C12412">
        <v>102</v>
      </c>
      <c r="D12412">
        <v>1</v>
      </c>
    </row>
    <row r="12415" spans="2:4">
      <c r="B12415">
        <v>1</v>
      </c>
      <c r="C12415">
        <v>102</v>
      </c>
      <c r="D12415">
        <v>1</v>
      </c>
    </row>
    <row r="12416" spans="2:4">
      <c r="B12416">
        <v>1</v>
      </c>
      <c r="C12416">
        <v>102</v>
      </c>
      <c r="D12416">
        <v>1</v>
      </c>
    </row>
    <row r="12417" spans="2:4">
      <c r="B12417">
        <v>1</v>
      </c>
      <c r="C12417">
        <v>102</v>
      </c>
      <c r="D12417">
        <v>1</v>
      </c>
    </row>
    <row r="12421" spans="2:4">
      <c r="B12421">
        <v>1</v>
      </c>
      <c r="C12421">
        <v>102</v>
      </c>
      <c r="D12421">
        <v>1</v>
      </c>
    </row>
    <row r="12422" spans="2:4">
      <c r="B12422">
        <v>1</v>
      </c>
      <c r="C12422">
        <v>102</v>
      </c>
      <c r="D12422">
        <v>1</v>
      </c>
    </row>
    <row r="12424" spans="2:4">
      <c r="B12424">
        <v>1</v>
      </c>
      <c r="C12424">
        <v>102</v>
      </c>
      <c r="D12424">
        <v>1</v>
      </c>
    </row>
    <row r="12426" spans="2:4">
      <c r="B12426">
        <v>1</v>
      </c>
      <c r="C12426">
        <v>102</v>
      </c>
      <c r="D12426">
        <v>1</v>
      </c>
    </row>
    <row r="12429" spans="2:4">
      <c r="B12429">
        <v>1</v>
      </c>
      <c r="C12429">
        <v>102</v>
      </c>
      <c r="D12429">
        <v>1</v>
      </c>
    </row>
    <row r="12431" spans="2:4">
      <c r="B12431">
        <v>1</v>
      </c>
      <c r="C12431">
        <v>102</v>
      </c>
      <c r="D12431">
        <v>1</v>
      </c>
    </row>
    <row r="12440" spans="2:4">
      <c r="B12440">
        <v>1</v>
      </c>
      <c r="C12440">
        <v>102</v>
      </c>
      <c r="D12440">
        <v>1</v>
      </c>
    </row>
    <row r="12442" spans="2:4">
      <c r="B12442">
        <v>1</v>
      </c>
      <c r="C12442">
        <v>102</v>
      </c>
      <c r="D12442">
        <v>1</v>
      </c>
    </row>
    <row r="12447" spans="2:4">
      <c r="B12447">
        <v>1</v>
      </c>
      <c r="C12447">
        <v>102</v>
      </c>
      <c r="D12447">
        <v>1</v>
      </c>
    </row>
    <row r="12449" spans="2:4">
      <c r="B12449">
        <v>1</v>
      </c>
      <c r="C12449">
        <v>102</v>
      </c>
      <c r="D12449">
        <v>1</v>
      </c>
    </row>
    <row r="12453" spans="2:4">
      <c r="B12453">
        <v>1</v>
      </c>
      <c r="C12453">
        <v>102</v>
      </c>
      <c r="D12453">
        <v>1</v>
      </c>
    </row>
    <row r="12457" spans="2:4">
      <c r="B12457">
        <v>1</v>
      </c>
      <c r="C12457">
        <v>102</v>
      </c>
      <c r="D12457">
        <v>1</v>
      </c>
    </row>
    <row r="12461" spans="2:4">
      <c r="B12461">
        <v>1</v>
      </c>
      <c r="C12461">
        <v>102</v>
      </c>
      <c r="D12461">
        <v>1</v>
      </c>
    </row>
    <row r="12463" spans="2:4">
      <c r="B12463">
        <v>1</v>
      </c>
      <c r="C12463">
        <v>102</v>
      </c>
      <c r="D12463">
        <v>1</v>
      </c>
    </row>
    <row r="12470" spans="2:4">
      <c r="B12470">
        <v>1</v>
      </c>
      <c r="C12470">
        <v>102</v>
      </c>
      <c r="D12470">
        <v>1</v>
      </c>
    </row>
    <row r="12474" spans="2:4">
      <c r="B12474">
        <v>1</v>
      </c>
      <c r="C12474">
        <v>102</v>
      </c>
      <c r="D12474">
        <v>1</v>
      </c>
    </row>
    <row r="12478" spans="2:4">
      <c r="B12478">
        <v>1</v>
      </c>
      <c r="C12478">
        <v>102</v>
      </c>
      <c r="D12478">
        <v>1</v>
      </c>
    </row>
    <row r="12480" spans="2:4">
      <c r="B12480">
        <v>1</v>
      </c>
      <c r="C12480">
        <v>102</v>
      </c>
      <c r="D12480">
        <v>1</v>
      </c>
    </row>
    <row r="12484" spans="2:4">
      <c r="B12484">
        <v>1</v>
      </c>
      <c r="C12484">
        <v>102</v>
      </c>
      <c r="D12484">
        <v>1</v>
      </c>
    </row>
    <row r="12485" spans="2:4">
      <c r="B12485">
        <v>1</v>
      </c>
      <c r="C12485">
        <v>102</v>
      </c>
      <c r="D12485">
        <v>1</v>
      </c>
    </row>
    <row r="12489" spans="2:4">
      <c r="B12489">
        <v>1</v>
      </c>
      <c r="C12489">
        <v>102</v>
      </c>
      <c r="D12489">
        <v>1</v>
      </c>
    </row>
    <row r="12492" spans="2:4">
      <c r="B12492">
        <v>1</v>
      </c>
      <c r="C12492">
        <v>102</v>
      </c>
      <c r="D12492">
        <v>1</v>
      </c>
    </row>
    <row r="12495" spans="2:4">
      <c r="B12495">
        <v>1</v>
      </c>
      <c r="C12495">
        <v>102</v>
      </c>
      <c r="D12495">
        <v>1</v>
      </c>
    </row>
    <row r="12497" spans="2:4">
      <c r="B12497">
        <v>1</v>
      </c>
      <c r="C12497">
        <v>102</v>
      </c>
      <c r="D12497">
        <v>1</v>
      </c>
    </row>
    <row r="12498" spans="2:4">
      <c r="B12498">
        <v>1</v>
      </c>
      <c r="C12498">
        <v>102</v>
      </c>
      <c r="D12498">
        <v>1</v>
      </c>
    </row>
    <row r="12499" spans="2:4">
      <c r="B12499">
        <v>1</v>
      </c>
      <c r="C12499">
        <v>102</v>
      </c>
      <c r="D12499">
        <v>1</v>
      </c>
    </row>
    <row r="12500" spans="2:4">
      <c r="B12500">
        <v>1</v>
      </c>
      <c r="C12500">
        <v>102</v>
      </c>
      <c r="D12500">
        <v>1</v>
      </c>
    </row>
    <row r="12508" spans="2:4">
      <c r="B12508">
        <v>1</v>
      </c>
      <c r="C12508">
        <v>102</v>
      </c>
      <c r="D12508">
        <v>1</v>
      </c>
    </row>
    <row r="12509" spans="2:4">
      <c r="B12509">
        <v>1</v>
      </c>
      <c r="C12509">
        <v>102</v>
      </c>
      <c r="D12509">
        <v>1</v>
      </c>
    </row>
    <row r="12514" spans="2:4">
      <c r="B12514">
        <v>1</v>
      </c>
      <c r="C12514">
        <v>102</v>
      </c>
      <c r="D12514">
        <v>1</v>
      </c>
    </row>
    <row r="12517" spans="2:4">
      <c r="B12517">
        <v>1</v>
      </c>
      <c r="C12517">
        <v>102</v>
      </c>
      <c r="D12517">
        <v>1</v>
      </c>
    </row>
    <row r="12520" spans="2:4">
      <c r="B12520">
        <v>1</v>
      </c>
      <c r="C12520">
        <v>102</v>
      </c>
      <c r="D12520">
        <v>1</v>
      </c>
    </row>
    <row r="12523" spans="2:4">
      <c r="B12523">
        <v>1</v>
      </c>
      <c r="C12523">
        <v>102</v>
      </c>
      <c r="D12523">
        <v>1</v>
      </c>
    </row>
    <row r="12526" spans="2:4">
      <c r="B12526">
        <v>1</v>
      </c>
      <c r="C12526">
        <v>102</v>
      </c>
      <c r="D12526">
        <v>1</v>
      </c>
    </row>
    <row r="12529" spans="2:4">
      <c r="B12529">
        <v>1</v>
      </c>
      <c r="C12529">
        <v>102</v>
      </c>
      <c r="D12529">
        <v>1</v>
      </c>
    </row>
    <row r="12531" spans="2:4">
      <c r="B12531">
        <v>1</v>
      </c>
      <c r="C12531">
        <v>102</v>
      </c>
      <c r="D12531">
        <v>1</v>
      </c>
    </row>
    <row r="12534" spans="2:4">
      <c r="B12534">
        <v>1</v>
      </c>
      <c r="C12534">
        <v>102</v>
      </c>
      <c r="D12534">
        <v>1</v>
      </c>
    </row>
    <row r="12536" spans="2:4">
      <c r="B12536">
        <v>1</v>
      </c>
      <c r="C12536">
        <v>102</v>
      </c>
      <c r="D12536">
        <v>1</v>
      </c>
    </row>
    <row r="12538" spans="2:4">
      <c r="B12538">
        <v>1</v>
      </c>
      <c r="C12538">
        <v>102</v>
      </c>
      <c r="D12538">
        <v>1</v>
      </c>
    </row>
    <row r="12539" spans="2:4">
      <c r="B12539">
        <v>1</v>
      </c>
      <c r="C12539">
        <v>102</v>
      </c>
      <c r="D12539">
        <v>1</v>
      </c>
    </row>
    <row r="12541" spans="2:4">
      <c r="B12541">
        <v>1</v>
      </c>
      <c r="C12541">
        <v>102</v>
      </c>
      <c r="D12541">
        <v>1</v>
      </c>
    </row>
    <row r="12547" spans="2:4">
      <c r="B12547">
        <v>1</v>
      </c>
      <c r="C12547">
        <v>102</v>
      </c>
      <c r="D12547">
        <v>1</v>
      </c>
    </row>
    <row r="12551" spans="2:4">
      <c r="B12551">
        <v>1</v>
      </c>
      <c r="C12551">
        <v>102</v>
      </c>
      <c r="D12551">
        <v>1</v>
      </c>
    </row>
    <row r="12555" spans="2:4">
      <c r="B12555">
        <v>1</v>
      </c>
      <c r="C12555">
        <v>102</v>
      </c>
      <c r="D12555">
        <v>1</v>
      </c>
    </row>
    <row r="12560" spans="2:4">
      <c r="B12560">
        <v>1</v>
      </c>
      <c r="C12560">
        <v>102</v>
      </c>
      <c r="D12560">
        <v>1</v>
      </c>
    </row>
    <row r="12563" spans="2:4">
      <c r="B12563">
        <v>1</v>
      </c>
      <c r="C12563">
        <v>102</v>
      </c>
      <c r="D12563">
        <v>1</v>
      </c>
    </row>
    <row r="12566" spans="2:4">
      <c r="B12566">
        <v>1</v>
      </c>
      <c r="C12566">
        <v>102</v>
      </c>
      <c r="D12566">
        <v>1</v>
      </c>
    </row>
    <row r="12567" spans="2:4">
      <c r="B12567">
        <v>1</v>
      </c>
      <c r="C12567">
        <v>102</v>
      </c>
      <c r="D12567">
        <v>1</v>
      </c>
    </row>
    <row r="12569" spans="2:4">
      <c r="B12569">
        <v>1</v>
      </c>
      <c r="C12569">
        <v>102</v>
      </c>
      <c r="D12569">
        <v>1</v>
      </c>
    </row>
    <row r="12571" spans="2:4">
      <c r="B12571">
        <v>1</v>
      </c>
      <c r="C12571">
        <v>102</v>
      </c>
      <c r="D12571">
        <v>1</v>
      </c>
    </row>
    <row r="12572" spans="2:4">
      <c r="B12572">
        <v>1</v>
      </c>
      <c r="C12572">
        <v>102</v>
      </c>
      <c r="D12572">
        <v>1</v>
      </c>
    </row>
    <row r="12574" spans="2:4">
      <c r="B12574">
        <v>1</v>
      </c>
      <c r="C12574">
        <v>102</v>
      </c>
      <c r="D12574">
        <v>1</v>
      </c>
    </row>
    <row r="12576" spans="2:4">
      <c r="B12576">
        <v>1</v>
      </c>
      <c r="C12576">
        <v>102</v>
      </c>
      <c r="D12576">
        <v>1</v>
      </c>
    </row>
    <row r="12579" spans="2:4">
      <c r="B12579">
        <v>1</v>
      </c>
      <c r="C12579">
        <v>102</v>
      </c>
      <c r="D12579">
        <v>1</v>
      </c>
    </row>
    <row r="12580" spans="2:4">
      <c r="B12580">
        <v>1</v>
      </c>
      <c r="C12580">
        <v>102</v>
      </c>
      <c r="D12580">
        <v>1</v>
      </c>
    </row>
    <row r="12582" spans="2:4">
      <c r="B12582">
        <v>1</v>
      </c>
      <c r="C12582">
        <v>102</v>
      </c>
      <c r="D12582">
        <v>1</v>
      </c>
    </row>
    <row r="12583" spans="2:4">
      <c r="B12583">
        <v>1</v>
      </c>
      <c r="C12583">
        <v>102</v>
      </c>
      <c r="D12583">
        <v>1</v>
      </c>
    </row>
    <row r="12586" spans="2:4">
      <c r="B12586">
        <v>1</v>
      </c>
      <c r="C12586">
        <v>102</v>
      </c>
      <c r="D12586">
        <v>1</v>
      </c>
    </row>
    <row r="12597" spans="2:4">
      <c r="B12597">
        <v>1</v>
      </c>
      <c r="C12597">
        <v>102</v>
      </c>
      <c r="D12597">
        <v>1</v>
      </c>
    </row>
    <row r="12599" spans="2:4">
      <c r="B12599">
        <v>1</v>
      </c>
      <c r="C12599">
        <v>102</v>
      </c>
      <c r="D12599">
        <v>1</v>
      </c>
    </row>
    <row r="12601" spans="2:4">
      <c r="B12601">
        <v>1</v>
      </c>
      <c r="C12601">
        <v>102</v>
      </c>
      <c r="D12601">
        <v>1</v>
      </c>
    </row>
    <row r="12603" spans="2:4">
      <c r="B12603">
        <v>1</v>
      </c>
      <c r="C12603">
        <v>102</v>
      </c>
      <c r="D12603">
        <v>1</v>
      </c>
    </row>
    <row r="12610" spans="2:4">
      <c r="B12610">
        <v>1</v>
      </c>
      <c r="C12610">
        <v>102</v>
      </c>
      <c r="D12610">
        <v>1</v>
      </c>
    </row>
    <row r="12615" spans="2:4">
      <c r="B12615">
        <v>1</v>
      </c>
      <c r="C12615">
        <v>102</v>
      </c>
      <c r="D12615">
        <v>1</v>
      </c>
    </row>
    <row r="12616" spans="2:4">
      <c r="B12616">
        <v>1</v>
      </c>
      <c r="C12616">
        <v>102</v>
      </c>
      <c r="D12616">
        <v>1</v>
      </c>
    </row>
    <row r="12622" spans="2:4">
      <c r="B12622">
        <v>1</v>
      </c>
      <c r="C12622">
        <v>102</v>
      </c>
      <c r="D12622">
        <v>1</v>
      </c>
    </row>
    <row r="12629" spans="2:4">
      <c r="B12629">
        <v>1</v>
      </c>
      <c r="C12629">
        <v>102</v>
      </c>
      <c r="D12629">
        <v>1</v>
      </c>
    </row>
    <row r="12630" spans="2:4">
      <c r="B12630">
        <v>1</v>
      </c>
      <c r="C12630">
        <v>102</v>
      </c>
      <c r="D12630">
        <v>1</v>
      </c>
    </row>
    <row r="12633" spans="2:4">
      <c r="B12633">
        <v>1</v>
      </c>
      <c r="C12633">
        <v>102</v>
      </c>
      <c r="D12633">
        <v>1</v>
      </c>
    </row>
    <row r="12634" spans="2:4">
      <c r="B12634">
        <v>1</v>
      </c>
      <c r="C12634">
        <v>102</v>
      </c>
      <c r="D12634">
        <v>1</v>
      </c>
    </row>
    <row r="12638" spans="2:4">
      <c r="B12638">
        <v>1</v>
      </c>
      <c r="C12638">
        <v>102</v>
      </c>
      <c r="D12638">
        <v>1</v>
      </c>
    </row>
    <row r="12640" spans="2:4">
      <c r="B12640">
        <v>1</v>
      </c>
      <c r="C12640">
        <v>102</v>
      </c>
      <c r="D12640">
        <v>1</v>
      </c>
    </row>
    <row r="12644" spans="2:4">
      <c r="B12644">
        <v>1</v>
      </c>
      <c r="C12644">
        <v>102</v>
      </c>
      <c r="D12644">
        <v>1</v>
      </c>
    </row>
    <row r="12647" spans="2:4">
      <c r="B12647">
        <v>1</v>
      </c>
      <c r="C12647">
        <v>102</v>
      </c>
      <c r="D12647">
        <v>1</v>
      </c>
    </row>
    <row r="12652" spans="2:4">
      <c r="B12652">
        <v>1</v>
      </c>
      <c r="C12652">
        <v>102</v>
      </c>
      <c r="D12652">
        <v>1</v>
      </c>
    </row>
    <row r="12653" spans="2:4">
      <c r="B12653">
        <v>1</v>
      </c>
      <c r="C12653">
        <v>102</v>
      </c>
      <c r="D12653">
        <v>1</v>
      </c>
    </row>
    <row r="12656" spans="2:4">
      <c r="B12656">
        <v>1</v>
      </c>
      <c r="C12656">
        <v>102</v>
      </c>
      <c r="D12656">
        <v>1</v>
      </c>
    </row>
    <row r="12658" spans="2:4">
      <c r="B12658">
        <v>1</v>
      </c>
      <c r="C12658">
        <v>102</v>
      </c>
      <c r="D12658">
        <v>1</v>
      </c>
    </row>
    <row r="12660" spans="2:4">
      <c r="B12660">
        <v>1</v>
      </c>
      <c r="C12660">
        <v>102</v>
      </c>
      <c r="D12660">
        <v>1</v>
      </c>
    </row>
    <row r="12665" spans="2:4">
      <c r="B12665">
        <v>1</v>
      </c>
      <c r="C12665">
        <v>102</v>
      </c>
      <c r="D12665">
        <v>1</v>
      </c>
    </row>
    <row r="12668" spans="2:4">
      <c r="B12668">
        <v>1</v>
      </c>
      <c r="C12668">
        <v>102</v>
      </c>
      <c r="D12668">
        <v>1</v>
      </c>
    </row>
    <row r="12671" spans="2:4">
      <c r="B12671">
        <v>1</v>
      </c>
      <c r="C12671">
        <v>102</v>
      </c>
      <c r="D12671">
        <v>1</v>
      </c>
    </row>
    <row r="12672" spans="2:4">
      <c r="B12672">
        <v>1</v>
      </c>
      <c r="C12672">
        <v>102</v>
      </c>
      <c r="D12672">
        <v>1</v>
      </c>
    </row>
    <row r="12673" spans="2:4">
      <c r="B12673">
        <v>1</v>
      </c>
      <c r="C12673">
        <v>102</v>
      </c>
      <c r="D12673">
        <v>1</v>
      </c>
    </row>
    <row r="12677" spans="2:4">
      <c r="B12677">
        <v>1</v>
      </c>
      <c r="C12677">
        <v>102</v>
      </c>
      <c r="D12677">
        <v>1</v>
      </c>
    </row>
    <row r="12678" spans="2:4">
      <c r="B12678">
        <v>1</v>
      </c>
      <c r="C12678">
        <v>102</v>
      </c>
      <c r="D12678">
        <v>1</v>
      </c>
    </row>
    <row r="12680" spans="2:4">
      <c r="B12680">
        <v>1</v>
      </c>
      <c r="C12680">
        <v>102</v>
      </c>
      <c r="D12680">
        <v>1</v>
      </c>
    </row>
    <row r="12682" spans="2:4">
      <c r="B12682">
        <v>1</v>
      </c>
      <c r="C12682">
        <v>102</v>
      </c>
      <c r="D12682">
        <v>1</v>
      </c>
    </row>
    <row r="12685" spans="2:4">
      <c r="B12685">
        <v>1</v>
      </c>
      <c r="C12685">
        <v>102</v>
      </c>
      <c r="D12685">
        <v>1</v>
      </c>
    </row>
    <row r="12687" spans="2:4">
      <c r="B12687">
        <v>1</v>
      </c>
      <c r="C12687">
        <v>102</v>
      </c>
      <c r="D12687">
        <v>1</v>
      </c>
    </row>
    <row r="12696" spans="2:4">
      <c r="B12696">
        <v>1</v>
      </c>
      <c r="C12696">
        <v>102</v>
      </c>
      <c r="D12696">
        <v>1</v>
      </c>
    </row>
    <row r="12698" spans="2:4">
      <c r="B12698">
        <v>1</v>
      </c>
      <c r="C12698">
        <v>102</v>
      </c>
      <c r="D12698">
        <v>1</v>
      </c>
    </row>
    <row r="12703" spans="2:4">
      <c r="B12703">
        <v>1</v>
      </c>
      <c r="C12703">
        <v>102</v>
      </c>
      <c r="D12703">
        <v>1</v>
      </c>
    </row>
    <row r="12705" spans="2:4">
      <c r="B12705">
        <v>1</v>
      </c>
      <c r="C12705">
        <v>102</v>
      </c>
      <c r="D12705">
        <v>1</v>
      </c>
    </row>
    <row r="12709" spans="2:4">
      <c r="B12709">
        <v>1</v>
      </c>
      <c r="C12709">
        <v>102</v>
      </c>
      <c r="D12709">
        <v>1</v>
      </c>
    </row>
    <row r="12713" spans="2:4">
      <c r="B12713">
        <v>1</v>
      </c>
      <c r="C12713">
        <v>102</v>
      </c>
      <c r="D12713">
        <v>1</v>
      </c>
    </row>
    <row r="12717" spans="2:4">
      <c r="B12717">
        <v>1</v>
      </c>
      <c r="C12717">
        <v>102</v>
      </c>
      <c r="D12717">
        <v>1</v>
      </c>
    </row>
    <row r="12719" spans="2:4">
      <c r="B12719">
        <v>1</v>
      </c>
      <c r="C12719">
        <v>102</v>
      </c>
      <c r="D12719">
        <v>1</v>
      </c>
    </row>
    <row r="12726" spans="2:4">
      <c r="B12726">
        <v>1</v>
      </c>
      <c r="C12726">
        <v>102</v>
      </c>
      <c r="D12726">
        <v>1</v>
      </c>
    </row>
    <row r="12730" spans="2:4">
      <c r="B12730">
        <v>1</v>
      </c>
      <c r="C12730">
        <v>102</v>
      </c>
      <c r="D12730">
        <v>1</v>
      </c>
    </row>
    <row r="12734" spans="2:4">
      <c r="B12734">
        <v>1</v>
      </c>
      <c r="C12734">
        <v>102</v>
      </c>
      <c r="D12734">
        <v>1</v>
      </c>
    </row>
    <row r="12736" spans="2:4">
      <c r="B12736">
        <v>1</v>
      </c>
      <c r="C12736">
        <v>102</v>
      </c>
      <c r="D12736">
        <v>1</v>
      </c>
    </row>
    <row r="12740" spans="2:4">
      <c r="B12740">
        <v>1</v>
      </c>
      <c r="C12740">
        <v>102</v>
      </c>
      <c r="D12740">
        <v>1</v>
      </c>
    </row>
    <row r="12741" spans="2:4">
      <c r="B12741">
        <v>1</v>
      </c>
      <c r="C12741">
        <v>102</v>
      </c>
      <c r="D12741">
        <v>1</v>
      </c>
    </row>
    <row r="12745" spans="2:4">
      <c r="B12745">
        <v>1</v>
      </c>
      <c r="C12745">
        <v>102</v>
      </c>
      <c r="D12745">
        <v>1</v>
      </c>
    </row>
    <row r="12748" spans="2:4">
      <c r="B12748">
        <v>1</v>
      </c>
      <c r="C12748">
        <v>102</v>
      </c>
      <c r="D12748">
        <v>1</v>
      </c>
    </row>
    <row r="12751" spans="2:4">
      <c r="B12751">
        <v>1</v>
      </c>
      <c r="C12751">
        <v>102</v>
      </c>
      <c r="D12751">
        <v>1</v>
      </c>
    </row>
    <row r="12753" spans="2:4">
      <c r="B12753">
        <v>1</v>
      </c>
      <c r="C12753">
        <v>102</v>
      </c>
      <c r="D12753">
        <v>1</v>
      </c>
    </row>
    <row r="12754" spans="2:4">
      <c r="B12754">
        <v>1</v>
      </c>
      <c r="C12754">
        <v>102</v>
      </c>
      <c r="D12754">
        <v>1</v>
      </c>
    </row>
    <row r="12755" spans="2:4">
      <c r="B12755">
        <v>1</v>
      </c>
      <c r="C12755">
        <v>102</v>
      </c>
      <c r="D12755">
        <v>1</v>
      </c>
    </row>
    <row r="12756" spans="2:4">
      <c r="B12756">
        <v>1</v>
      </c>
      <c r="C12756">
        <v>102</v>
      </c>
      <c r="D12756">
        <v>1</v>
      </c>
    </row>
    <row r="12764" spans="2:4">
      <c r="B12764">
        <v>1</v>
      </c>
      <c r="C12764">
        <v>102</v>
      </c>
      <c r="D12764">
        <v>1</v>
      </c>
    </row>
    <row r="12765" spans="2:4">
      <c r="B12765">
        <v>1</v>
      </c>
      <c r="C12765">
        <v>102</v>
      </c>
      <c r="D12765">
        <v>1</v>
      </c>
    </row>
    <row r="12770" spans="2:4">
      <c r="B12770">
        <v>1</v>
      </c>
      <c r="C12770">
        <v>102</v>
      </c>
      <c r="D12770">
        <v>1</v>
      </c>
    </row>
    <row r="12773" spans="2:4">
      <c r="B12773">
        <v>1</v>
      </c>
      <c r="C12773">
        <v>102</v>
      </c>
      <c r="D12773">
        <v>1</v>
      </c>
    </row>
    <row r="12776" spans="2:4">
      <c r="B12776">
        <v>1</v>
      </c>
      <c r="C12776">
        <v>102</v>
      </c>
      <c r="D12776">
        <v>1</v>
      </c>
    </row>
    <row r="12779" spans="2:4">
      <c r="B12779">
        <v>1</v>
      </c>
      <c r="C12779">
        <v>102</v>
      </c>
      <c r="D12779">
        <v>1</v>
      </c>
    </row>
    <row r="12782" spans="2:4">
      <c r="B12782">
        <v>1</v>
      </c>
      <c r="C12782">
        <v>102</v>
      </c>
      <c r="D12782">
        <v>1</v>
      </c>
    </row>
    <row r="12785" spans="2:4">
      <c r="B12785">
        <v>1</v>
      </c>
      <c r="C12785">
        <v>102</v>
      </c>
      <c r="D12785">
        <v>1</v>
      </c>
    </row>
    <row r="12787" spans="2:4">
      <c r="B12787">
        <v>1</v>
      </c>
      <c r="C12787">
        <v>102</v>
      </c>
      <c r="D12787">
        <v>1</v>
      </c>
    </row>
    <row r="12790" spans="2:4">
      <c r="B12790">
        <v>1</v>
      </c>
      <c r="C12790">
        <v>102</v>
      </c>
      <c r="D12790">
        <v>1</v>
      </c>
    </row>
    <row r="12792" spans="2:4">
      <c r="B12792">
        <v>1</v>
      </c>
      <c r="C12792">
        <v>102</v>
      </c>
      <c r="D12792">
        <v>1</v>
      </c>
    </row>
    <row r="12794" spans="2:4">
      <c r="B12794">
        <v>1</v>
      </c>
      <c r="C12794">
        <v>102</v>
      </c>
      <c r="D12794">
        <v>1</v>
      </c>
    </row>
    <row r="12795" spans="2:4">
      <c r="B12795">
        <v>1</v>
      </c>
      <c r="C12795">
        <v>102</v>
      </c>
      <c r="D12795">
        <v>1</v>
      </c>
    </row>
    <row r="12797" spans="2:4">
      <c r="B12797">
        <v>1</v>
      </c>
      <c r="C12797">
        <v>102</v>
      </c>
      <c r="D12797">
        <v>1</v>
      </c>
    </row>
    <row r="12803" spans="2:4">
      <c r="B12803">
        <v>1</v>
      </c>
      <c r="C12803">
        <v>102</v>
      </c>
      <c r="D12803">
        <v>1</v>
      </c>
    </row>
    <row r="12807" spans="2:4">
      <c r="B12807">
        <v>1</v>
      </c>
      <c r="C12807">
        <v>102</v>
      </c>
      <c r="D12807">
        <v>1</v>
      </c>
    </row>
    <row r="12811" spans="2:4">
      <c r="B12811">
        <v>1</v>
      </c>
      <c r="C12811">
        <v>102</v>
      </c>
      <c r="D12811">
        <v>1</v>
      </c>
    </row>
    <row r="12816" spans="2:4">
      <c r="B12816">
        <v>1</v>
      </c>
      <c r="C12816">
        <v>102</v>
      </c>
      <c r="D12816">
        <v>1</v>
      </c>
    </row>
    <row r="12819" spans="2:4">
      <c r="B12819">
        <v>1</v>
      </c>
      <c r="C12819">
        <v>102</v>
      </c>
      <c r="D12819">
        <v>1</v>
      </c>
    </row>
    <row r="12822" spans="2:4">
      <c r="B12822">
        <v>1</v>
      </c>
      <c r="C12822">
        <v>102</v>
      </c>
      <c r="D12822">
        <v>1</v>
      </c>
    </row>
    <row r="12823" spans="2:4">
      <c r="B12823">
        <v>1</v>
      </c>
      <c r="C12823">
        <v>102</v>
      </c>
      <c r="D12823">
        <v>1</v>
      </c>
    </row>
    <row r="12825" spans="2:4">
      <c r="B12825">
        <v>1</v>
      </c>
      <c r="C12825">
        <v>102</v>
      </c>
      <c r="D12825">
        <v>1</v>
      </c>
    </row>
    <row r="12827" spans="2:4">
      <c r="B12827">
        <v>1</v>
      </c>
      <c r="C12827">
        <v>102</v>
      </c>
      <c r="D12827">
        <v>1</v>
      </c>
    </row>
    <row r="12828" spans="2:4">
      <c r="B12828">
        <v>1</v>
      </c>
      <c r="C12828">
        <v>102</v>
      </c>
      <c r="D12828">
        <v>1</v>
      </c>
    </row>
    <row r="12830" spans="2:4">
      <c r="B12830">
        <v>1</v>
      </c>
      <c r="C12830">
        <v>102</v>
      </c>
      <c r="D12830">
        <v>1</v>
      </c>
    </row>
    <row r="12832" spans="2:4">
      <c r="B12832">
        <v>1</v>
      </c>
      <c r="C12832">
        <v>102</v>
      </c>
      <c r="D12832">
        <v>1</v>
      </c>
    </row>
    <row r="12835" spans="2:4">
      <c r="B12835">
        <v>1</v>
      </c>
      <c r="C12835">
        <v>102</v>
      </c>
      <c r="D12835">
        <v>1</v>
      </c>
    </row>
    <row r="12836" spans="2:4">
      <c r="B12836">
        <v>1</v>
      </c>
      <c r="C12836">
        <v>102</v>
      </c>
      <c r="D12836">
        <v>1</v>
      </c>
    </row>
    <row r="12838" spans="2:4">
      <c r="B12838">
        <v>1</v>
      </c>
      <c r="C12838">
        <v>102</v>
      </c>
      <c r="D12838">
        <v>1</v>
      </c>
    </row>
    <row r="12839" spans="2:4">
      <c r="B12839">
        <v>1</v>
      </c>
      <c r="C12839">
        <v>102</v>
      </c>
      <c r="D12839">
        <v>1</v>
      </c>
    </row>
    <row r="12842" spans="2:4">
      <c r="B12842">
        <v>1</v>
      </c>
      <c r="C12842">
        <v>102</v>
      </c>
      <c r="D12842">
        <v>1</v>
      </c>
    </row>
    <row r="12853" spans="2:4">
      <c r="B12853">
        <v>1</v>
      </c>
      <c r="C12853">
        <v>102</v>
      </c>
      <c r="D12853">
        <v>1</v>
      </c>
    </row>
    <row r="12855" spans="2:4">
      <c r="B12855">
        <v>1</v>
      </c>
      <c r="C12855">
        <v>102</v>
      </c>
      <c r="D12855">
        <v>1</v>
      </c>
    </row>
    <row r="12857" spans="2:4">
      <c r="B12857">
        <v>1</v>
      </c>
      <c r="C12857">
        <v>102</v>
      </c>
      <c r="D12857">
        <v>1</v>
      </c>
    </row>
    <row r="12859" spans="2:4">
      <c r="B12859">
        <v>1</v>
      </c>
      <c r="C12859">
        <v>102</v>
      </c>
      <c r="D12859">
        <v>1</v>
      </c>
    </row>
    <row r="12866" spans="2:4">
      <c r="B12866">
        <v>1</v>
      </c>
      <c r="C12866">
        <v>102</v>
      </c>
      <c r="D12866">
        <v>1</v>
      </c>
    </row>
    <row r="12871" spans="2:4">
      <c r="B12871">
        <v>1</v>
      </c>
      <c r="C12871">
        <v>102</v>
      </c>
      <c r="D12871">
        <v>1</v>
      </c>
    </row>
    <row r="12872" spans="2:4">
      <c r="B12872">
        <v>1</v>
      </c>
      <c r="C12872">
        <v>102</v>
      </c>
      <c r="D12872">
        <v>1</v>
      </c>
    </row>
    <row r="12878" spans="2:4">
      <c r="B12878">
        <v>1</v>
      </c>
      <c r="C12878">
        <v>102</v>
      </c>
      <c r="D12878">
        <v>1</v>
      </c>
    </row>
    <row r="12885" spans="2:4">
      <c r="B12885">
        <v>1</v>
      </c>
      <c r="C12885">
        <v>102</v>
      </c>
      <c r="D12885">
        <v>1</v>
      </c>
    </row>
    <row r="12886" spans="2:4">
      <c r="B12886">
        <v>1</v>
      </c>
      <c r="C12886">
        <v>102</v>
      </c>
      <c r="D12886">
        <v>1</v>
      </c>
    </row>
    <row r="12889" spans="2:4">
      <c r="B12889">
        <v>1</v>
      </c>
      <c r="C12889">
        <v>102</v>
      </c>
      <c r="D12889">
        <v>1</v>
      </c>
    </row>
    <row r="12890" spans="2:4">
      <c r="B12890">
        <v>1</v>
      </c>
      <c r="C12890">
        <v>102</v>
      </c>
      <c r="D12890">
        <v>1</v>
      </c>
    </row>
    <row r="12894" spans="2:4">
      <c r="B12894">
        <v>1</v>
      </c>
      <c r="C12894">
        <v>102</v>
      </c>
      <c r="D12894">
        <v>1</v>
      </c>
    </row>
    <row r="12896" spans="2:4">
      <c r="B12896">
        <v>1</v>
      </c>
      <c r="C12896">
        <v>102</v>
      </c>
      <c r="D12896">
        <v>1</v>
      </c>
    </row>
    <row r="12900" spans="2:4">
      <c r="B12900">
        <v>1</v>
      </c>
      <c r="C12900">
        <v>102</v>
      </c>
      <c r="D12900">
        <v>1</v>
      </c>
    </row>
    <row r="12903" spans="2:4">
      <c r="B12903">
        <v>1</v>
      </c>
      <c r="C12903">
        <v>102</v>
      </c>
      <c r="D12903">
        <v>1</v>
      </c>
    </row>
    <row r="12908" spans="2:4">
      <c r="B12908">
        <v>1</v>
      </c>
      <c r="C12908">
        <v>102</v>
      </c>
      <c r="D12908">
        <v>1</v>
      </c>
    </row>
    <row r="12909" spans="2:4">
      <c r="B12909">
        <v>1</v>
      </c>
      <c r="C12909">
        <v>102</v>
      </c>
      <c r="D12909">
        <v>1</v>
      </c>
    </row>
    <row r="12912" spans="2:4">
      <c r="B12912">
        <v>1</v>
      </c>
      <c r="C12912">
        <v>102</v>
      </c>
      <c r="D12912">
        <v>1</v>
      </c>
    </row>
    <row r="12914" spans="2:4">
      <c r="B12914">
        <v>1</v>
      </c>
      <c r="C12914">
        <v>102</v>
      </c>
      <c r="D12914">
        <v>1</v>
      </c>
    </row>
    <row r="12916" spans="2:4">
      <c r="B12916">
        <v>1</v>
      </c>
      <c r="C12916">
        <v>102</v>
      </c>
      <c r="D12916">
        <v>1</v>
      </c>
    </row>
    <row r="12921" spans="2:4">
      <c r="B12921">
        <v>1</v>
      </c>
      <c r="C12921">
        <v>102</v>
      </c>
      <c r="D12921">
        <v>1</v>
      </c>
    </row>
    <row r="12924" spans="2:4">
      <c r="B12924">
        <v>1</v>
      </c>
      <c r="C12924">
        <v>102</v>
      </c>
      <c r="D12924">
        <v>1</v>
      </c>
    </row>
    <row r="12927" spans="2:4">
      <c r="B12927">
        <v>1</v>
      </c>
      <c r="C12927">
        <v>102</v>
      </c>
      <c r="D12927">
        <v>1</v>
      </c>
    </row>
    <row r="12928" spans="2:4">
      <c r="B12928">
        <v>1</v>
      </c>
      <c r="C12928">
        <v>102</v>
      </c>
      <c r="D12928">
        <v>1</v>
      </c>
    </row>
    <row r="12929" spans="2:4">
      <c r="B12929">
        <v>1</v>
      </c>
      <c r="C12929">
        <v>102</v>
      </c>
      <c r="D12929">
        <v>1</v>
      </c>
    </row>
    <row r="12933" spans="2:4">
      <c r="B12933">
        <v>1</v>
      </c>
      <c r="C12933">
        <v>102</v>
      </c>
      <c r="D12933">
        <v>1</v>
      </c>
    </row>
    <row r="12934" spans="2:4">
      <c r="B12934">
        <v>1</v>
      </c>
      <c r="C12934">
        <v>102</v>
      </c>
      <c r="D12934">
        <v>1</v>
      </c>
    </row>
    <row r="12936" spans="2:4">
      <c r="B12936">
        <v>1</v>
      </c>
      <c r="C12936">
        <v>102</v>
      </c>
      <c r="D12936">
        <v>1</v>
      </c>
    </row>
    <row r="12938" spans="2:4">
      <c r="B12938">
        <v>1</v>
      </c>
      <c r="C12938">
        <v>102</v>
      </c>
      <c r="D12938">
        <v>1</v>
      </c>
    </row>
    <row r="12941" spans="2:4">
      <c r="B12941">
        <v>1</v>
      </c>
      <c r="C12941">
        <v>102</v>
      </c>
      <c r="D12941">
        <v>1</v>
      </c>
    </row>
    <row r="12943" spans="2:4">
      <c r="B12943">
        <v>1</v>
      </c>
      <c r="C12943">
        <v>102</v>
      </c>
      <c r="D12943">
        <v>1</v>
      </c>
    </row>
    <row r="12952" spans="2:4">
      <c r="B12952">
        <v>1</v>
      </c>
      <c r="C12952">
        <v>102</v>
      </c>
      <c r="D12952">
        <v>1</v>
      </c>
    </row>
    <row r="12954" spans="2:4">
      <c r="B12954">
        <v>1</v>
      </c>
      <c r="C12954">
        <v>102</v>
      </c>
      <c r="D12954">
        <v>1</v>
      </c>
    </row>
    <row r="12959" spans="2:4">
      <c r="B12959">
        <v>1</v>
      </c>
      <c r="C12959">
        <v>102</v>
      </c>
      <c r="D12959">
        <v>1</v>
      </c>
    </row>
    <row r="12961" spans="2:4">
      <c r="B12961">
        <v>1</v>
      </c>
      <c r="C12961">
        <v>102</v>
      </c>
      <c r="D12961">
        <v>1</v>
      </c>
    </row>
    <row r="12965" spans="2:4">
      <c r="B12965">
        <v>1</v>
      </c>
      <c r="C12965">
        <v>102</v>
      </c>
      <c r="D12965">
        <v>1</v>
      </c>
    </row>
    <row r="12969" spans="2:4">
      <c r="B12969">
        <v>1</v>
      </c>
      <c r="C12969">
        <v>102</v>
      </c>
      <c r="D12969">
        <v>1</v>
      </c>
    </row>
    <row r="12973" spans="2:4">
      <c r="B12973">
        <v>1</v>
      </c>
      <c r="C12973">
        <v>102</v>
      </c>
      <c r="D12973">
        <v>1</v>
      </c>
    </row>
    <row r="12975" spans="2:4">
      <c r="B12975">
        <v>1</v>
      </c>
      <c r="C12975">
        <v>102</v>
      </c>
      <c r="D12975">
        <v>1</v>
      </c>
    </row>
    <row r="12982" spans="2:4">
      <c r="B12982">
        <v>1</v>
      </c>
      <c r="C12982">
        <v>102</v>
      </c>
      <c r="D12982">
        <v>1</v>
      </c>
    </row>
    <row r="12986" spans="2:4">
      <c r="B12986">
        <v>1</v>
      </c>
      <c r="C12986">
        <v>102</v>
      </c>
      <c r="D12986">
        <v>1</v>
      </c>
    </row>
    <row r="12990" spans="2:4">
      <c r="B12990">
        <v>1</v>
      </c>
      <c r="C12990">
        <v>102</v>
      </c>
      <c r="D12990">
        <v>1</v>
      </c>
    </row>
    <row r="12992" spans="2:4">
      <c r="B12992">
        <v>1</v>
      </c>
      <c r="C12992">
        <v>102</v>
      </c>
      <c r="D12992">
        <v>1</v>
      </c>
    </row>
    <row r="12996" spans="2:4">
      <c r="B12996">
        <v>1</v>
      </c>
      <c r="C12996">
        <v>102</v>
      </c>
      <c r="D12996">
        <v>1</v>
      </c>
    </row>
    <row r="12997" spans="2:4">
      <c r="B12997">
        <v>1</v>
      </c>
      <c r="C12997">
        <v>102</v>
      </c>
      <c r="D12997">
        <v>1</v>
      </c>
    </row>
    <row r="13001" spans="2:4">
      <c r="B13001">
        <v>1</v>
      </c>
      <c r="C13001">
        <v>102</v>
      </c>
      <c r="D13001">
        <v>1</v>
      </c>
    </row>
    <row r="13004" spans="2:4">
      <c r="B13004">
        <v>1</v>
      </c>
      <c r="C13004">
        <v>102</v>
      </c>
      <c r="D13004">
        <v>1</v>
      </c>
    </row>
    <row r="13007" spans="2:4">
      <c r="B13007">
        <v>1</v>
      </c>
      <c r="C13007">
        <v>102</v>
      </c>
      <c r="D13007">
        <v>1</v>
      </c>
    </row>
    <row r="13009" spans="2:4">
      <c r="B13009">
        <v>1</v>
      </c>
      <c r="C13009">
        <v>102</v>
      </c>
      <c r="D13009">
        <v>1</v>
      </c>
    </row>
    <row r="13010" spans="2:4">
      <c r="B13010">
        <v>1</v>
      </c>
      <c r="C13010">
        <v>102</v>
      </c>
      <c r="D13010">
        <v>1</v>
      </c>
    </row>
    <row r="13011" spans="2:4">
      <c r="B13011">
        <v>1</v>
      </c>
      <c r="C13011">
        <v>102</v>
      </c>
      <c r="D13011">
        <v>1</v>
      </c>
    </row>
    <row r="13012" spans="2:4">
      <c r="B13012">
        <v>1</v>
      </c>
      <c r="C13012">
        <v>102</v>
      </c>
      <c r="D13012">
        <v>1</v>
      </c>
    </row>
    <row r="13020" spans="2:4">
      <c r="B13020">
        <v>1</v>
      </c>
      <c r="C13020">
        <v>102</v>
      </c>
      <c r="D13020">
        <v>1</v>
      </c>
    </row>
    <row r="13021" spans="2:4">
      <c r="B13021">
        <v>1</v>
      </c>
      <c r="C13021">
        <v>102</v>
      </c>
      <c r="D13021">
        <v>1</v>
      </c>
    </row>
    <row r="13026" spans="2:4">
      <c r="B13026">
        <v>1</v>
      </c>
      <c r="C13026">
        <v>102</v>
      </c>
      <c r="D13026">
        <v>1</v>
      </c>
    </row>
    <row r="13029" spans="2:4">
      <c r="B13029">
        <v>1</v>
      </c>
      <c r="C13029">
        <v>102</v>
      </c>
      <c r="D13029">
        <v>1</v>
      </c>
    </row>
    <row r="13032" spans="2:4">
      <c r="B13032">
        <v>1</v>
      </c>
      <c r="C13032">
        <v>102</v>
      </c>
      <c r="D13032">
        <v>1</v>
      </c>
    </row>
    <row r="13035" spans="2:4">
      <c r="B13035">
        <v>1</v>
      </c>
      <c r="C13035">
        <v>102</v>
      </c>
      <c r="D13035">
        <v>1</v>
      </c>
    </row>
    <row r="13038" spans="2:4">
      <c r="B13038">
        <v>1</v>
      </c>
      <c r="C13038">
        <v>102</v>
      </c>
      <c r="D13038">
        <v>1</v>
      </c>
    </row>
    <row r="13041" spans="2:4">
      <c r="B13041">
        <v>1</v>
      </c>
      <c r="C13041">
        <v>102</v>
      </c>
      <c r="D13041">
        <v>1</v>
      </c>
    </row>
    <row r="13043" spans="2:4">
      <c r="B13043">
        <v>1</v>
      </c>
      <c r="C13043">
        <v>102</v>
      </c>
      <c r="D13043">
        <v>1</v>
      </c>
    </row>
    <row r="13046" spans="2:4">
      <c r="B13046">
        <v>1</v>
      </c>
      <c r="C13046">
        <v>102</v>
      </c>
      <c r="D13046">
        <v>1</v>
      </c>
    </row>
    <row r="13048" spans="2:4">
      <c r="B13048">
        <v>1</v>
      </c>
      <c r="C13048">
        <v>102</v>
      </c>
      <c r="D13048">
        <v>1</v>
      </c>
    </row>
    <row r="13050" spans="2:4">
      <c r="B13050">
        <v>1</v>
      </c>
      <c r="C13050">
        <v>102</v>
      </c>
      <c r="D13050">
        <v>1</v>
      </c>
    </row>
    <row r="13051" spans="2:4">
      <c r="B13051">
        <v>1</v>
      </c>
      <c r="C13051">
        <v>102</v>
      </c>
      <c r="D13051">
        <v>1</v>
      </c>
    </row>
    <row r="13053" spans="2:4">
      <c r="B13053">
        <v>1</v>
      </c>
      <c r="C13053">
        <v>102</v>
      </c>
      <c r="D13053">
        <v>1</v>
      </c>
    </row>
    <row r="13059" spans="2:4">
      <c r="B13059">
        <v>1</v>
      </c>
      <c r="C13059">
        <v>102</v>
      </c>
      <c r="D13059">
        <v>1</v>
      </c>
    </row>
    <row r="13063" spans="2:4">
      <c r="B13063">
        <v>1</v>
      </c>
      <c r="C13063">
        <v>102</v>
      </c>
      <c r="D13063">
        <v>1</v>
      </c>
    </row>
    <row r="13067" spans="2:4">
      <c r="B13067">
        <v>1</v>
      </c>
      <c r="C13067">
        <v>102</v>
      </c>
      <c r="D13067">
        <v>1</v>
      </c>
    </row>
    <row r="13072" spans="2:4">
      <c r="B13072">
        <v>1</v>
      </c>
      <c r="C13072">
        <v>102</v>
      </c>
      <c r="D13072">
        <v>1</v>
      </c>
    </row>
    <row r="13075" spans="2:4">
      <c r="B13075">
        <v>1</v>
      </c>
      <c r="C13075">
        <v>102</v>
      </c>
      <c r="D13075">
        <v>1</v>
      </c>
    </row>
    <row r="13078" spans="2:4">
      <c r="B13078">
        <v>1</v>
      </c>
      <c r="C13078">
        <v>102</v>
      </c>
      <c r="D13078">
        <v>1</v>
      </c>
    </row>
    <row r="13079" spans="2:4">
      <c r="B13079">
        <v>1</v>
      </c>
      <c r="C13079">
        <v>102</v>
      </c>
      <c r="D13079">
        <v>1</v>
      </c>
    </row>
    <row r="13081" spans="2:4">
      <c r="B13081">
        <v>1</v>
      </c>
      <c r="C13081">
        <v>102</v>
      </c>
      <c r="D13081">
        <v>1</v>
      </c>
    </row>
    <row r="13083" spans="2:4">
      <c r="B13083">
        <v>1</v>
      </c>
      <c r="C13083">
        <v>102</v>
      </c>
      <c r="D13083">
        <v>1</v>
      </c>
    </row>
    <row r="13084" spans="2:4">
      <c r="B13084">
        <v>1</v>
      </c>
      <c r="C13084">
        <v>102</v>
      </c>
      <c r="D13084">
        <v>1</v>
      </c>
    </row>
    <row r="13086" spans="2:4">
      <c r="B13086">
        <v>1</v>
      </c>
      <c r="C13086">
        <v>102</v>
      </c>
      <c r="D13086">
        <v>1</v>
      </c>
    </row>
    <row r="13088" spans="2:4">
      <c r="B13088">
        <v>1</v>
      </c>
      <c r="C13088">
        <v>102</v>
      </c>
      <c r="D13088">
        <v>1</v>
      </c>
    </row>
    <row r="13091" spans="2:4">
      <c r="B13091">
        <v>1</v>
      </c>
      <c r="C13091">
        <v>102</v>
      </c>
      <c r="D13091">
        <v>1</v>
      </c>
    </row>
    <row r="13092" spans="2:4">
      <c r="B13092">
        <v>1</v>
      </c>
      <c r="C13092">
        <v>102</v>
      </c>
      <c r="D13092">
        <v>1</v>
      </c>
    </row>
    <row r="13094" spans="2:4">
      <c r="B13094">
        <v>1</v>
      </c>
      <c r="C13094">
        <v>102</v>
      </c>
      <c r="D13094">
        <v>1</v>
      </c>
    </row>
    <row r="13095" spans="2:4">
      <c r="B13095">
        <v>1</v>
      </c>
      <c r="C13095">
        <v>102</v>
      </c>
      <c r="D13095">
        <v>1</v>
      </c>
    </row>
    <row r="13098" spans="2:4">
      <c r="B13098">
        <v>1</v>
      </c>
      <c r="C13098">
        <v>102</v>
      </c>
      <c r="D13098">
        <v>1</v>
      </c>
    </row>
    <row r="13109" spans="2:4">
      <c r="B13109">
        <v>1</v>
      </c>
      <c r="C13109">
        <v>102</v>
      </c>
      <c r="D13109">
        <v>1</v>
      </c>
    </row>
    <row r="13111" spans="2:4">
      <c r="B13111">
        <v>1</v>
      </c>
      <c r="C13111">
        <v>102</v>
      </c>
      <c r="D13111">
        <v>1</v>
      </c>
    </row>
    <row r="13113" spans="2:4">
      <c r="B13113">
        <v>1</v>
      </c>
      <c r="C13113">
        <v>102</v>
      </c>
      <c r="D13113">
        <v>1</v>
      </c>
    </row>
    <row r="13115" spans="2:4">
      <c r="B13115">
        <v>1</v>
      </c>
      <c r="C13115">
        <v>102</v>
      </c>
      <c r="D13115">
        <v>1</v>
      </c>
    </row>
    <row r="13122" spans="2:4">
      <c r="B13122">
        <v>1</v>
      </c>
      <c r="C13122">
        <v>102</v>
      </c>
      <c r="D13122">
        <v>1</v>
      </c>
    </row>
    <row r="13127" spans="2:4">
      <c r="B13127">
        <v>1</v>
      </c>
      <c r="C13127">
        <v>102</v>
      </c>
      <c r="D13127">
        <v>1</v>
      </c>
    </row>
    <row r="13128" spans="2:4">
      <c r="B13128">
        <v>1</v>
      </c>
      <c r="C13128">
        <v>102</v>
      </c>
      <c r="D13128">
        <v>1</v>
      </c>
    </row>
    <row r="13134" spans="2:4">
      <c r="B13134">
        <v>1</v>
      </c>
      <c r="C13134">
        <v>102</v>
      </c>
      <c r="D13134">
        <v>1</v>
      </c>
    </row>
    <row r="13141" spans="2:4">
      <c r="B13141">
        <v>1</v>
      </c>
      <c r="C13141">
        <v>102</v>
      </c>
      <c r="D13141">
        <v>1</v>
      </c>
    </row>
    <row r="13142" spans="2:4">
      <c r="B13142">
        <v>1</v>
      </c>
      <c r="C13142">
        <v>102</v>
      </c>
      <c r="D13142">
        <v>1</v>
      </c>
    </row>
    <row r="13145" spans="2:4">
      <c r="B13145">
        <v>1</v>
      </c>
      <c r="C13145">
        <v>102</v>
      </c>
      <c r="D13145">
        <v>1</v>
      </c>
    </row>
    <row r="13146" spans="2:4">
      <c r="B13146">
        <v>1</v>
      </c>
      <c r="C13146">
        <v>102</v>
      </c>
      <c r="D13146">
        <v>1</v>
      </c>
    </row>
    <row r="13150" spans="2:4">
      <c r="B13150">
        <v>1</v>
      </c>
      <c r="C13150">
        <v>102</v>
      </c>
      <c r="D13150">
        <v>1</v>
      </c>
    </row>
    <row r="13152" spans="2:4">
      <c r="B13152">
        <v>1</v>
      </c>
      <c r="C13152">
        <v>102</v>
      </c>
      <c r="D13152">
        <v>1</v>
      </c>
    </row>
    <row r="13156" spans="2:4">
      <c r="B13156">
        <v>1</v>
      </c>
      <c r="C13156">
        <v>102</v>
      </c>
      <c r="D13156">
        <v>1</v>
      </c>
    </row>
    <row r="13159" spans="2:4">
      <c r="B13159">
        <v>1</v>
      </c>
      <c r="C13159">
        <v>102</v>
      </c>
      <c r="D13159">
        <v>1</v>
      </c>
    </row>
    <row r="13164" spans="2:4">
      <c r="B13164">
        <v>1</v>
      </c>
      <c r="C13164">
        <v>102</v>
      </c>
      <c r="D13164">
        <v>1</v>
      </c>
    </row>
    <row r="13165" spans="2:4">
      <c r="B13165">
        <v>1</v>
      </c>
      <c r="C13165">
        <v>102</v>
      </c>
      <c r="D13165">
        <v>1</v>
      </c>
    </row>
    <row r="13168" spans="2:4">
      <c r="B13168">
        <v>1</v>
      </c>
      <c r="C13168">
        <v>102</v>
      </c>
      <c r="D13168">
        <v>1</v>
      </c>
    </row>
    <row r="13170" spans="2:4">
      <c r="B13170">
        <v>1</v>
      </c>
      <c r="C13170">
        <v>102</v>
      </c>
      <c r="D13170">
        <v>1</v>
      </c>
    </row>
    <row r="13172" spans="2:4">
      <c r="B13172">
        <v>1</v>
      </c>
      <c r="C13172">
        <v>102</v>
      </c>
      <c r="D13172">
        <v>1</v>
      </c>
    </row>
    <row r="13177" spans="2:4">
      <c r="B13177">
        <v>1</v>
      </c>
      <c r="C13177">
        <v>102</v>
      </c>
      <c r="D13177">
        <v>1</v>
      </c>
    </row>
    <row r="13180" spans="2:4">
      <c r="B13180">
        <v>1</v>
      </c>
      <c r="C13180">
        <v>102</v>
      </c>
      <c r="D13180">
        <v>1</v>
      </c>
    </row>
    <row r="13183" spans="2:4">
      <c r="B13183">
        <v>1</v>
      </c>
      <c r="C13183">
        <v>102</v>
      </c>
      <c r="D13183">
        <v>1</v>
      </c>
    </row>
    <row r="13184" spans="2:4">
      <c r="B13184">
        <v>1</v>
      </c>
      <c r="C13184">
        <v>102</v>
      </c>
      <c r="D13184">
        <v>1</v>
      </c>
    </row>
    <row r="13185" spans="2:4">
      <c r="B13185">
        <v>1</v>
      </c>
      <c r="C13185">
        <v>102</v>
      </c>
      <c r="D13185">
        <v>1</v>
      </c>
    </row>
    <row r="13189" spans="2:4">
      <c r="B13189">
        <v>1</v>
      </c>
      <c r="C13189">
        <v>102</v>
      </c>
      <c r="D13189">
        <v>1</v>
      </c>
    </row>
    <row r="13190" spans="2:4">
      <c r="B13190">
        <v>1</v>
      </c>
      <c r="C13190">
        <v>102</v>
      </c>
      <c r="D13190">
        <v>1</v>
      </c>
    </row>
    <row r="13192" spans="2:4">
      <c r="B13192">
        <v>1</v>
      </c>
      <c r="C13192">
        <v>102</v>
      </c>
      <c r="D13192">
        <v>1</v>
      </c>
    </row>
    <row r="13194" spans="2:4">
      <c r="B13194">
        <v>1</v>
      </c>
      <c r="C13194">
        <v>102</v>
      </c>
      <c r="D13194">
        <v>1</v>
      </c>
    </row>
    <row r="13197" spans="2:4">
      <c r="B13197">
        <v>1</v>
      </c>
      <c r="C13197">
        <v>102</v>
      </c>
      <c r="D13197">
        <v>1</v>
      </c>
    </row>
    <row r="13199" spans="2:4">
      <c r="B13199">
        <v>1</v>
      </c>
      <c r="C13199">
        <v>102</v>
      </c>
      <c r="D13199">
        <v>1</v>
      </c>
    </row>
    <row r="13208" spans="2:4">
      <c r="B13208">
        <v>1</v>
      </c>
      <c r="C13208">
        <v>102</v>
      </c>
      <c r="D13208">
        <v>1</v>
      </c>
    </row>
    <row r="13210" spans="2:4">
      <c r="B13210">
        <v>1</v>
      </c>
      <c r="C13210">
        <v>102</v>
      </c>
      <c r="D13210">
        <v>1</v>
      </c>
    </row>
    <row r="13215" spans="2:4">
      <c r="B13215">
        <v>1</v>
      </c>
      <c r="C13215">
        <v>102</v>
      </c>
      <c r="D13215">
        <v>1</v>
      </c>
    </row>
    <row r="13217" spans="2:4">
      <c r="B13217">
        <v>1</v>
      </c>
      <c r="C13217">
        <v>102</v>
      </c>
      <c r="D13217">
        <v>1</v>
      </c>
    </row>
    <row r="13221" spans="2:4">
      <c r="B13221">
        <v>1</v>
      </c>
      <c r="C13221">
        <v>102</v>
      </c>
      <c r="D13221">
        <v>1</v>
      </c>
    </row>
    <row r="13225" spans="2:4">
      <c r="B13225">
        <v>1</v>
      </c>
      <c r="C13225">
        <v>102</v>
      </c>
      <c r="D13225">
        <v>1</v>
      </c>
    </row>
    <row r="13229" spans="2:4">
      <c r="B13229">
        <v>1</v>
      </c>
      <c r="C13229">
        <v>102</v>
      </c>
      <c r="D13229">
        <v>1</v>
      </c>
    </row>
    <row r="13231" spans="2:4">
      <c r="B13231">
        <v>1</v>
      </c>
      <c r="C13231">
        <v>102</v>
      </c>
      <c r="D13231">
        <v>1</v>
      </c>
    </row>
    <row r="13238" spans="2:4">
      <c r="B13238">
        <v>1</v>
      </c>
      <c r="C13238">
        <v>102</v>
      </c>
      <c r="D13238">
        <v>1</v>
      </c>
    </row>
    <row r="13242" spans="2:4">
      <c r="B13242">
        <v>1</v>
      </c>
      <c r="C13242">
        <v>102</v>
      </c>
      <c r="D13242">
        <v>1</v>
      </c>
    </row>
    <row r="13246" spans="2:4">
      <c r="B13246">
        <v>1</v>
      </c>
      <c r="C13246">
        <v>102</v>
      </c>
      <c r="D13246">
        <v>1</v>
      </c>
    </row>
    <row r="13248" spans="2:4">
      <c r="B13248">
        <v>1</v>
      </c>
      <c r="C13248">
        <v>102</v>
      </c>
      <c r="D13248">
        <v>1</v>
      </c>
    </row>
    <row r="13252" spans="2:4">
      <c r="B13252">
        <v>1</v>
      </c>
      <c r="C13252">
        <v>102</v>
      </c>
      <c r="D13252">
        <v>1</v>
      </c>
    </row>
    <row r="13253" spans="2:4">
      <c r="B13253">
        <v>1</v>
      </c>
      <c r="C13253">
        <v>102</v>
      </c>
      <c r="D13253">
        <v>1</v>
      </c>
    </row>
    <row r="13257" spans="2:4">
      <c r="B13257">
        <v>1</v>
      </c>
      <c r="C13257">
        <v>102</v>
      </c>
      <c r="D13257">
        <v>1</v>
      </c>
    </row>
    <row r="13260" spans="2:4">
      <c r="B13260">
        <v>1</v>
      </c>
      <c r="C13260">
        <v>102</v>
      </c>
      <c r="D13260">
        <v>1</v>
      </c>
    </row>
    <row r="13263" spans="2:4">
      <c r="B13263">
        <v>1</v>
      </c>
      <c r="C13263">
        <v>102</v>
      </c>
      <c r="D13263">
        <v>1</v>
      </c>
    </row>
    <row r="13265" spans="2:4">
      <c r="B13265">
        <v>1</v>
      </c>
      <c r="C13265">
        <v>102</v>
      </c>
      <c r="D13265">
        <v>1</v>
      </c>
    </row>
    <row r="13266" spans="2:4">
      <c r="B13266">
        <v>1</v>
      </c>
      <c r="C13266">
        <v>102</v>
      </c>
      <c r="D13266">
        <v>1</v>
      </c>
    </row>
    <row r="13267" spans="2:4">
      <c r="B13267">
        <v>1</v>
      </c>
      <c r="C13267">
        <v>102</v>
      </c>
      <c r="D13267">
        <v>1</v>
      </c>
    </row>
    <row r="13268" spans="2:4">
      <c r="B13268">
        <v>1</v>
      </c>
      <c r="C13268">
        <v>102</v>
      </c>
      <c r="D13268">
        <v>1</v>
      </c>
    </row>
    <row r="13276" spans="2:4">
      <c r="B13276">
        <v>1</v>
      </c>
      <c r="C13276">
        <v>102</v>
      </c>
      <c r="D13276">
        <v>1</v>
      </c>
    </row>
    <row r="13277" spans="2:4">
      <c r="B13277">
        <v>1</v>
      </c>
      <c r="C13277">
        <v>102</v>
      </c>
      <c r="D13277">
        <v>1</v>
      </c>
    </row>
    <row r="13282" spans="2:4">
      <c r="B13282">
        <v>1</v>
      </c>
      <c r="C13282">
        <v>102</v>
      </c>
      <c r="D13282">
        <v>1</v>
      </c>
    </row>
    <row r="13285" spans="2:4">
      <c r="B13285">
        <v>1</v>
      </c>
      <c r="C13285">
        <v>102</v>
      </c>
      <c r="D13285">
        <v>1</v>
      </c>
    </row>
    <row r="13288" spans="2:4">
      <c r="B13288">
        <v>1</v>
      </c>
      <c r="C13288">
        <v>102</v>
      </c>
      <c r="D13288">
        <v>1</v>
      </c>
    </row>
    <row r="13291" spans="2:4">
      <c r="B13291">
        <v>1</v>
      </c>
      <c r="C13291">
        <v>102</v>
      </c>
      <c r="D13291">
        <v>1</v>
      </c>
    </row>
    <row r="13294" spans="2:4">
      <c r="B13294">
        <v>1</v>
      </c>
      <c r="C13294">
        <v>102</v>
      </c>
      <c r="D13294">
        <v>1</v>
      </c>
    </row>
    <row r="13297" spans="2:4">
      <c r="B13297">
        <v>1</v>
      </c>
      <c r="C13297">
        <v>102</v>
      </c>
      <c r="D13297">
        <v>1</v>
      </c>
    </row>
    <row r="13299" spans="2:4">
      <c r="B13299">
        <v>1</v>
      </c>
      <c r="C13299">
        <v>102</v>
      </c>
      <c r="D13299">
        <v>1</v>
      </c>
    </row>
    <row r="13302" spans="2:4">
      <c r="B13302">
        <v>1</v>
      </c>
      <c r="C13302">
        <v>102</v>
      </c>
      <c r="D13302">
        <v>1</v>
      </c>
    </row>
    <row r="13304" spans="2:4">
      <c r="B13304">
        <v>1</v>
      </c>
      <c r="C13304">
        <v>102</v>
      </c>
      <c r="D13304">
        <v>1</v>
      </c>
    </row>
    <row r="13306" spans="2:4">
      <c r="B13306">
        <v>1</v>
      </c>
      <c r="C13306">
        <v>102</v>
      </c>
      <c r="D13306">
        <v>1</v>
      </c>
    </row>
    <row r="13307" spans="2:4">
      <c r="B13307">
        <v>1</v>
      </c>
      <c r="C13307">
        <v>102</v>
      </c>
      <c r="D13307">
        <v>1</v>
      </c>
    </row>
    <row r="13309" spans="2:4">
      <c r="B13309">
        <v>1</v>
      </c>
      <c r="C13309">
        <v>102</v>
      </c>
      <c r="D13309">
        <v>1</v>
      </c>
    </row>
    <row r="13315" spans="2:4">
      <c r="B13315">
        <v>1</v>
      </c>
      <c r="C13315">
        <v>102</v>
      </c>
      <c r="D13315">
        <v>1</v>
      </c>
    </row>
    <row r="13319" spans="2:4">
      <c r="B13319">
        <v>1</v>
      </c>
      <c r="C13319">
        <v>102</v>
      </c>
      <c r="D13319">
        <v>1</v>
      </c>
    </row>
    <row r="13323" spans="2:4">
      <c r="B13323">
        <v>1</v>
      </c>
      <c r="C13323">
        <v>102</v>
      </c>
      <c r="D13323">
        <v>1</v>
      </c>
    </row>
    <row r="13328" spans="2:4">
      <c r="B13328">
        <v>1</v>
      </c>
      <c r="C13328">
        <v>102</v>
      </c>
      <c r="D13328">
        <v>1</v>
      </c>
    </row>
    <row r="13331" spans="2:4">
      <c r="B13331">
        <v>1</v>
      </c>
      <c r="C13331">
        <v>102</v>
      </c>
      <c r="D13331">
        <v>1</v>
      </c>
    </row>
    <row r="13334" spans="2:4">
      <c r="B13334">
        <v>1</v>
      </c>
      <c r="C13334">
        <v>102</v>
      </c>
      <c r="D13334">
        <v>1</v>
      </c>
    </row>
    <row r="13335" spans="2:4">
      <c r="B13335">
        <v>1</v>
      </c>
      <c r="C13335">
        <v>102</v>
      </c>
      <c r="D13335">
        <v>1</v>
      </c>
    </row>
    <row r="13337" spans="2:4">
      <c r="B13337">
        <v>1</v>
      </c>
      <c r="C13337">
        <v>102</v>
      </c>
      <c r="D13337">
        <v>1</v>
      </c>
    </row>
    <row r="13339" spans="2:4">
      <c r="B13339">
        <v>1</v>
      </c>
      <c r="C13339">
        <v>102</v>
      </c>
      <c r="D13339">
        <v>1</v>
      </c>
    </row>
    <row r="13340" spans="2:4">
      <c r="B13340">
        <v>1</v>
      </c>
      <c r="C13340">
        <v>102</v>
      </c>
      <c r="D13340">
        <v>1</v>
      </c>
    </row>
    <row r="13342" spans="2:4">
      <c r="B13342">
        <v>1</v>
      </c>
      <c r="C13342">
        <v>102</v>
      </c>
      <c r="D13342">
        <v>1</v>
      </c>
    </row>
    <row r="13344" spans="2:4">
      <c r="B13344">
        <v>1</v>
      </c>
      <c r="C13344">
        <v>102</v>
      </c>
      <c r="D13344">
        <v>1</v>
      </c>
    </row>
    <row r="13347" spans="2:4">
      <c r="B13347">
        <v>1</v>
      </c>
      <c r="C13347">
        <v>102</v>
      </c>
      <c r="D13347">
        <v>1</v>
      </c>
    </row>
    <row r="13348" spans="2:4">
      <c r="B13348">
        <v>1</v>
      </c>
      <c r="C13348">
        <v>102</v>
      </c>
      <c r="D13348">
        <v>1</v>
      </c>
    </row>
    <row r="13350" spans="2:4">
      <c r="B13350">
        <v>1</v>
      </c>
      <c r="C13350">
        <v>102</v>
      </c>
      <c r="D13350">
        <v>1</v>
      </c>
    </row>
    <row r="13351" spans="2:4">
      <c r="B13351">
        <v>1</v>
      </c>
      <c r="C13351">
        <v>102</v>
      </c>
      <c r="D13351">
        <v>1</v>
      </c>
    </row>
    <row r="13354" spans="2:4">
      <c r="B13354">
        <v>1</v>
      </c>
      <c r="C13354">
        <v>102</v>
      </c>
      <c r="D13354">
        <v>1</v>
      </c>
    </row>
    <row r="13365" spans="2:4">
      <c r="B13365">
        <v>1</v>
      </c>
      <c r="C13365">
        <v>102</v>
      </c>
      <c r="D13365">
        <v>1</v>
      </c>
    </row>
    <row r="13367" spans="2:4">
      <c r="B13367">
        <v>1</v>
      </c>
      <c r="C13367">
        <v>102</v>
      </c>
      <c r="D13367">
        <v>1</v>
      </c>
    </row>
    <row r="13369" spans="2:4">
      <c r="B13369">
        <v>1</v>
      </c>
      <c r="C13369">
        <v>102</v>
      </c>
      <c r="D13369">
        <v>1</v>
      </c>
    </row>
    <row r="13371" spans="2:4">
      <c r="B13371">
        <v>1</v>
      </c>
      <c r="C13371">
        <v>102</v>
      </c>
      <c r="D13371">
        <v>1</v>
      </c>
    </row>
    <row r="13378" spans="2:4">
      <c r="B13378">
        <v>1</v>
      </c>
      <c r="C13378">
        <v>102</v>
      </c>
      <c r="D13378">
        <v>1</v>
      </c>
    </row>
    <row r="13383" spans="2:4">
      <c r="B13383">
        <v>1</v>
      </c>
      <c r="C13383">
        <v>102</v>
      </c>
      <c r="D13383">
        <v>1</v>
      </c>
    </row>
    <row r="13384" spans="2:4">
      <c r="B13384">
        <v>1</v>
      </c>
      <c r="C13384">
        <v>102</v>
      </c>
      <c r="D13384">
        <v>1</v>
      </c>
    </row>
    <row r="13390" spans="2:4">
      <c r="B13390">
        <v>1</v>
      </c>
      <c r="C13390">
        <v>102</v>
      </c>
      <c r="D13390">
        <v>1</v>
      </c>
    </row>
    <row r="13397" spans="2:4">
      <c r="B13397">
        <v>1</v>
      </c>
      <c r="C13397">
        <v>102</v>
      </c>
      <c r="D13397">
        <v>1</v>
      </c>
    </row>
    <row r="13398" spans="2:4">
      <c r="B13398">
        <v>1</v>
      </c>
      <c r="C13398">
        <v>102</v>
      </c>
      <c r="D13398">
        <v>1</v>
      </c>
    </row>
    <row r="13401" spans="2:4">
      <c r="B13401">
        <v>1</v>
      </c>
      <c r="C13401">
        <v>102</v>
      </c>
      <c r="D13401">
        <v>1</v>
      </c>
    </row>
    <row r="13402" spans="2:4">
      <c r="B13402">
        <v>1</v>
      </c>
      <c r="C13402">
        <v>102</v>
      </c>
      <c r="D13402">
        <v>1</v>
      </c>
    </row>
    <row r="13406" spans="2:4">
      <c r="B13406">
        <v>1</v>
      </c>
      <c r="C13406">
        <v>102</v>
      </c>
      <c r="D13406">
        <v>1</v>
      </c>
    </row>
    <row r="13408" spans="2:4">
      <c r="B13408">
        <v>1</v>
      </c>
      <c r="C13408">
        <v>102</v>
      </c>
      <c r="D13408">
        <v>1</v>
      </c>
    </row>
    <row r="13412" spans="2:4">
      <c r="B13412">
        <v>1</v>
      </c>
      <c r="C13412">
        <v>102</v>
      </c>
      <c r="D13412">
        <v>1</v>
      </c>
    </row>
    <row r="13415" spans="2:4">
      <c r="B13415">
        <v>1</v>
      </c>
      <c r="C13415">
        <v>102</v>
      </c>
      <c r="D13415">
        <v>1</v>
      </c>
    </row>
    <row r="13420" spans="2:4">
      <c r="B13420">
        <v>1</v>
      </c>
      <c r="C13420">
        <v>102</v>
      </c>
      <c r="D13420">
        <v>1</v>
      </c>
    </row>
    <row r="13421" spans="2:4">
      <c r="B13421">
        <v>1</v>
      </c>
      <c r="C13421">
        <v>102</v>
      </c>
      <c r="D13421">
        <v>1</v>
      </c>
    </row>
    <row r="13424" spans="2:4">
      <c r="B13424">
        <v>1</v>
      </c>
      <c r="C13424">
        <v>102</v>
      </c>
      <c r="D13424">
        <v>1</v>
      </c>
    </row>
    <row r="13426" spans="2:4">
      <c r="B13426">
        <v>1</v>
      </c>
      <c r="C13426">
        <v>102</v>
      </c>
      <c r="D13426">
        <v>1</v>
      </c>
    </row>
    <row r="13428" spans="2:4">
      <c r="B13428">
        <v>1</v>
      </c>
      <c r="C13428">
        <v>102</v>
      </c>
      <c r="D13428">
        <v>1</v>
      </c>
    </row>
    <row r="13433" spans="2:4">
      <c r="B13433">
        <v>1</v>
      </c>
      <c r="C13433">
        <v>102</v>
      </c>
      <c r="D13433">
        <v>1</v>
      </c>
    </row>
    <row r="13436" spans="2:4">
      <c r="B13436">
        <v>1</v>
      </c>
      <c r="C13436">
        <v>102</v>
      </c>
      <c r="D13436">
        <v>1</v>
      </c>
    </row>
    <row r="13439" spans="2:4">
      <c r="B13439">
        <v>1</v>
      </c>
      <c r="C13439">
        <v>102</v>
      </c>
      <c r="D13439">
        <v>1</v>
      </c>
    </row>
    <row r="13440" spans="2:4">
      <c r="B13440">
        <v>1</v>
      </c>
      <c r="C13440">
        <v>102</v>
      </c>
      <c r="D13440">
        <v>1</v>
      </c>
    </row>
    <row r="13441" spans="2:4">
      <c r="B13441">
        <v>1</v>
      </c>
      <c r="C13441">
        <v>102</v>
      </c>
      <c r="D13441">
        <v>1</v>
      </c>
    </row>
    <row r="13445" spans="2:4">
      <c r="B13445">
        <v>1</v>
      </c>
      <c r="C13445">
        <v>102</v>
      </c>
      <c r="D13445">
        <v>1</v>
      </c>
    </row>
    <row r="13446" spans="2:4">
      <c r="B13446">
        <v>1</v>
      </c>
      <c r="C13446">
        <v>102</v>
      </c>
      <c r="D13446">
        <v>1</v>
      </c>
    </row>
    <row r="13448" spans="2:4">
      <c r="B13448">
        <v>1</v>
      </c>
      <c r="C13448">
        <v>102</v>
      </c>
      <c r="D13448">
        <v>1</v>
      </c>
    </row>
    <row r="13450" spans="2:4">
      <c r="B13450">
        <v>1</v>
      </c>
      <c r="C13450">
        <v>102</v>
      </c>
      <c r="D13450">
        <v>1</v>
      </c>
    </row>
    <row r="13453" spans="2:4">
      <c r="B13453">
        <v>1</v>
      </c>
      <c r="C13453">
        <v>102</v>
      </c>
      <c r="D13453">
        <v>1</v>
      </c>
    </row>
    <row r="13455" spans="2:4">
      <c r="B13455">
        <v>1</v>
      </c>
      <c r="C13455">
        <v>102</v>
      </c>
      <c r="D13455">
        <v>1</v>
      </c>
    </row>
    <row r="13464" spans="2:4">
      <c r="B13464">
        <v>1</v>
      </c>
      <c r="C13464">
        <v>102</v>
      </c>
      <c r="D13464">
        <v>1</v>
      </c>
    </row>
    <row r="13466" spans="2:4">
      <c r="B13466">
        <v>1</v>
      </c>
      <c r="C13466">
        <v>102</v>
      </c>
      <c r="D13466">
        <v>1</v>
      </c>
    </row>
    <row r="13471" spans="2:4">
      <c r="B13471">
        <v>1</v>
      </c>
      <c r="C13471">
        <v>102</v>
      </c>
      <c r="D13471">
        <v>1</v>
      </c>
    </row>
    <row r="13473" spans="2:4">
      <c r="B13473">
        <v>1</v>
      </c>
      <c r="C13473">
        <v>102</v>
      </c>
      <c r="D13473">
        <v>1</v>
      </c>
    </row>
    <row r="13477" spans="2:4">
      <c r="B13477">
        <v>1</v>
      </c>
      <c r="C13477">
        <v>102</v>
      </c>
      <c r="D13477">
        <v>1</v>
      </c>
    </row>
    <row r="13481" spans="2:4">
      <c r="B13481">
        <v>1</v>
      </c>
      <c r="C13481">
        <v>102</v>
      </c>
      <c r="D13481">
        <v>1</v>
      </c>
    </row>
    <row r="13485" spans="2:4">
      <c r="B13485">
        <v>1</v>
      </c>
      <c r="C13485">
        <v>102</v>
      </c>
      <c r="D13485">
        <v>1</v>
      </c>
    </row>
    <row r="13487" spans="2:4">
      <c r="B13487">
        <v>1</v>
      </c>
      <c r="C13487">
        <v>102</v>
      </c>
      <c r="D13487">
        <v>1</v>
      </c>
    </row>
    <row r="13494" spans="2:4">
      <c r="B13494">
        <v>1</v>
      </c>
      <c r="C13494">
        <v>102</v>
      </c>
      <c r="D13494">
        <v>1</v>
      </c>
    </row>
    <row r="13498" spans="2:4">
      <c r="B13498">
        <v>1</v>
      </c>
      <c r="C13498">
        <v>102</v>
      </c>
      <c r="D13498">
        <v>1</v>
      </c>
    </row>
    <row r="13502" spans="2:4">
      <c r="B13502">
        <v>1</v>
      </c>
      <c r="C13502">
        <v>102</v>
      </c>
      <c r="D13502">
        <v>1</v>
      </c>
    </row>
    <row r="13504" spans="2:4">
      <c r="B13504">
        <v>1</v>
      </c>
      <c r="C13504">
        <v>102</v>
      </c>
      <c r="D13504">
        <v>1</v>
      </c>
    </row>
    <row r="13508" spans="2:4">
      <c r="B13508">
        <v>1</v>
      </c>
      <c r="C13508">
        <v>102</v>
      </c>
      <c r="D13508">
        <v>1</v>
      </c>
    </row>
    <row r="13509" spans="2:4">
      <c r="B13509">
        <v>1</v>
      </c>
      <c r="C13509">
        <v>102</v>
      </c>
      <c r="D13509">
        <v>1</v>
      </c>
    </row>
    <row r="13513" spans="2:4">
      <c r="B13513">
        <v>1</v>
      </c>
      <c r="C13513">
        <v>102</v>
      </c>
      <c r="D13513">
        <v>1</v>
      </c>
    </row>
    <row r="13516" spans="2:4">
      <c r="B13516">
        <v>1</v>
      </c>
      <c r="C13516">
        <v>102</v>
      </c>
      <c r="D13516">
        <v>1</v>
      </c>
    </row>
    <row r="13519" spans="2:4">
      <c r="B13519">
        <v>1</v>
      </c>
      <c r="C13519">
        <v>102</v>
      </c>
      <c r="D13519">
        <v>1</v>
      </c>
    </row>
    <row r="13521" spans="2:4">
      <c r="B13521">
        <v>1</v>
      </c>
      <c r="C13521">
        <v>102</v>
      </c>
      <c r="D13521">
        <v>1</v>
      </c>
    </row>
    <row r="13522" spans="2:4">
      <c r="B13522">
        <v>1</v>
      </c>
      <c r="C13522">
        <v>102</v>
      </c>
      <c r="D13522">
        <v>1</v>
      </c>
    </row>
    <row r="13523" spans="2:4">
      <c r="B13523">
        <v>1</v>
      </c>
      <c r="C13523">
        <v>102</v>
      </c>
      <c r="D13523">
        <v>1</v>
      </c>
    </row>
    <row r="13524" spans="2:4">
      <c r="B13524">
        <v>1</v>
      </c>
      <c r="C13524">
        <v>102</v>
      </c>
      <c r="D13524">
        <v>1</v>
      </c>
    </row>
    <row r="13532" spans="2:4">
      <c r="B13532">
        <v>1</v>
      </c>
      <c r="C13532">
        <v>102</v>
      </c>
      <c r="D13532">
        <v>1</v>
      </c>
    </row>
    <row r="13533" spans="2:4">
      <c r="B13533">
        <v>1</v>
      </c>
      <c r="C13533">
        <v>102</v>
      </c>
      <c r="D13533">
        <v>1</v>
      </c>
    </row>
    <row r="13538" spans="2:4">
      <c r="B13538">
        <v>1</v>
      </c>
      <c r="C13538">
        <v>102</v>
      </c>
      <c r="D13538">
        <v>1</v>
      </c>
    </row>
    <row r="13541" spans="2:4">
      <c r="B13541">
        <v>1</v>
      </c>
      <c r="C13541">
        <v>102</v>
      </c>
      <c r="D13541">
        <v>1</v>
      </c>
    </row>
    <row r="13544" spans="2:4">
      <c r="B13544">
        <v>1</v>
      </c>
      <c r="C13544">
        <v>102</v>
      </c>
      <c r="D13544">
        <v>1</v>
      </c>
    </row>
    <row r="13547" spans="2:4">
      <c r="B13547">
        <v>1</v>
      </c>
      <c r="C13547">
        <v>102</v>
      </c>
      <c r="D13547">
        <v>1</v>
      </c>
    </row>
    <row r="13550" spans="2:4">
      <c r="B13550">
        <v>1</v>
      </c>
      <c r="C13550">
        <v>102</v>
      </c>
      <c r="D13550">
        <v>1</v>
      </c>
    </row>
    <row r="13553" spans="2:4">
      <c r="B13553">
        <v>1</v>
      </c>
      <c r="C13553">
        <v>102</v>
      </c>
      <c r="D13553">
        <v>1</v>
      </c>
    </row>
    <row r="13555" spans="2:4">
      <c r="B13555">
        <v>1</v>
      </c>
      <c r="C13555">
        <v>102</v>
      </c>
      <c r="D13555">
        <v>1</v>
      </c>
    </row>
    <row r="13558" spans="2:4">
      <c r="B13558">
        <v>1</v>
      </c>
      <c r="C13558">
        <v>102</v>
      </c>
      <c r="D13558">
        <v>1</v>
      </c>
    </row>
    <row r="13560" spans="2:4">
      <c r="B13560">
        <v>1</v>
      </c>
      <c r="C13560">
        <v>102</v>
      </c>
      <c r="D13560">
        <v>1</v>
      </c>
    </row>
    <row r="13562" spans="2:4">
      <c r="B13562">
        <v>1</v>
      </c>
      <c r="C13562">
        <v>102</v>
      </c>
      <c r="D13562">
        <v>1</v>
      </c>
    </row>
    <row r="13563" spans="2:4">
      <c r="B13563">
        <v>1</v>
      </c>
      <c r="C13563">
        <v>102</v>
      </c>
      <c r="D13563">
        <v>1</v>
      </c>
    </row>
    <row r="13565" spans="2:4">
      <c r="B13565">
        <v>1</v>
      </c>
      <c r="C13565">
        <v>102</v>
      </c>
      <c r="D13565">
        <v>1</v>
      </c>
    </row>
    <row r="13571" spans="2:4">
      <c r="B13571">
        <v>1</v>
      </c>
      <c r="C13571">
        <v>102</v>
      </c>
      <c r="D13571">
        <v>1</v>
      </c>
    </row>
    <row r="13575" spans="2:4">
      <c r="B13575">
        <v>1</v>
      </c>
      <c r="C13575">
        <v>102</v>
      </c>
      <c r="D13575">
        <v>1</v>
      </c>
    </row>
    <row r="13579" spans="2:4">
      <c r="B13579">
        <v>1</v>
      </c>
      <c r="C13579">
        <v>102</v>
      </c>
      <c r="D13579">
        <v>1</v>
      </c>
    </row>
    <row r="13584" spans="2:4">
      <c r="B13584">
        <v>1</v>
      </c>
      <c r="C13584">
        <v>102</v>
      </c>
      <c r="D13584">
        <v>1</v>
      </c>
    </row>
    <row r="13587" spans="2:4">
      <c r="B13587">
        <v>1</v>
      </c>
      <c r="C13587">
        <v>102</v>
      </c>
      <c r="D13587">
        <v>1</v>
      </c>
    </row>
    <row r="13590" spans="2:4">
      <c r="B13590">
        <v>1</v>
      </c>
      <c r="C13590">
        <v>102</v>
      </c>
      <c r="D13590">
        <v>1</v>
      </c>
    </row>
    <row r="13591" spans="2:4">
      <c r="B13591">
        <v>1</v>
      </c>
      <c r="C13591">
        <v>102</v>
      </c>
      <c r="D13591">
        <v>1</v>
      </c>
    </row>
    <row r="13593" spans="2:4">
      <c r="B13593">
        <v>1</v>
      </c>
      <c r="C13593">
        <v>102</v>
      </c>
      <c r="D13593">
        <v>1</v>
      </c>
    </row>
    <row r="13595" spans="2:4">
      <c r="B13595">
        <v>1</v>
      </c>
      <c r="C13595">
        <v>102</v>
      </c>
      <c r="D13595">
        <v>1</v>
      </c>
    </row>
    <row r="13596" spans="2:4">
      <c r="B13596">
        <v>1</v>
      </c>
      <c r="C13596">
        <v>102</v>
      </c>
      <c r="D13596">
        <v>1</v>
      </c>
    </row>
    <row r="13598" spans="2:4">
      <c r="B13598">
        <v>1</v>
      </c>
      <c r="C13598">
        <v>102</v>
      </c>
      <c r="D13598">
        <v>1</v>
      </c>
    </row>
    <row r="13600" spans="2:4">
      <c r="B13600">
        <v>1</v>
      </c>
      <c r="C13600">
        <v>102</v>
      </c>
      <c r="D13600">
        <v>1</v>
      </c>
    </row>
    <row r="13603" spans="2:4">
      <c r="B13603">
        <v>1</v>
      </c>
      <c r="C13603">
        <v>102</v>
      </c>
      <c r="D13603">
        <v>1</v>
      </c>
    </row>
    <row r="13604" spans="2:4">
      <c r="B13604">
        <v>1</v>
      </c>
      <c r="C13604">
        <v>102</v>
      </c>
      <c r="D13604">
        <v>1</v>
      </c>
    </row>
    <row r="13606" spans="2:4">
      <c r="B13606">
        <v>1</v>
      </c>
      <c r="C13606">
        <v>102</v>
      </c>
      <c r="D13606">
        <v>1</v>
      </c>
    </row>
    <row r="13607" spans="2:4">
      <c r="B13607">
        <v>1</v>
      </c>
      <c r="C13607">
        <v>102</v>
      </c>
      <c r="D13607">
        <v>1</v>
      </c>
    </row>
    <row r="13610" spans="2:4">
      <c r="B13610">
        <v>1</v>
      </c>
      <c r="C13610">
        <v>102</v>
      </c>
      <c r="D13610">
        <v>1</v>
      </c>
    </row>
    <row r="13621" spans="2:4">
      <c r="B13621">
        <v>1</v>
      </c>
      <c r="C13621">
        <v>102</v>
      </c>
      <c r="D13621">
        <v>1</v>
      </c>
    </row>
    <row r="13623" spans="2:4">
      <c r="B13623">
        <v>1</v>
      </c>
      <c r="C13623">
        <v>102</v>
      </c>
      <c r="D13623">
        <v>1</v>
      </c>
    </row>
    <row r="13625" spans="2:4">
      <c r="B13625">
        <v>1</v>
      </c>
      <c r="C13625">
        <v>102</v>
      </c>
      <c r="D13625">
        <v>1</v>
      </c>
    </row>
    <row r="13627" spans="2:4">
      <c r="B13627">
        <v>1</v>
      </c>
      <c r="C13627">
        <v>102</v>
      </c>
      <c r="D13627">
        <v>1</v>
      </c>
    </row>
    <row r="13634" spans="2:4">
      <c r="B13634">
        <v>1</v>
      </c>
      <c r="C13634">
        <v>102</v>
      </c>
      <c r="D13634">
        <v>1</v>
      </c>
    </row>
    <row r="13639" spans="2:4">
      <c r="B13639">
        <v>1</v>
      </c>
      <c r="C13639">
        <v>102</v>
      </c>
      <c r="D13639">
        <v>1</v>
      </c>
    </row>
    <row r="13640" spans="2:4">
      <c r="B13640">
        <v>1</v>
      </c>
      <c r="C13640">
        <v>102</v>
      </c>
      <c r="D13640">
        <v>1</v>
      </c>
    </row>
    <row r="13646" spans="2:4">
      <c r="B13646">
        <v>1</v>
      </c>
      <c r="C13646">
        <v>102</v>
      </c>
      <c r="D13646">
        <v>1</v>
      </c>
    </row>
    <row r="13653" spans="2:4">
      <c r="B13653">
        <v>1</v>
      </c>
      <c r="C13653">
        <v>102</v>
      </c>
      <c r="D13653">
        <v>1</v>
      </c>
    </row>
    <row r="13654" spans="2:4">
      <c r="B13654">
        <v>1</v>
      </c>
      <c r="C13654">
        <v>102</v>
      </c>
      <c r="D13654">
        <v>1</v>
      </c>
    </row>
    <row r="13657" spans="2:4">
      <c r="B13657">
        <v>1</v>
      </c>
      <c r="C13657">
        <v>102</v>
      </c>
      <c r="D13657">
        <v>1</v>
      </c>
    </row>
    <row r="13658" spans="2:4">
      <c r="B13658">
        <v>1</v>
      </c>
      <c r="C13658">
        <v>102</v>
      </c>
      <c r="D13658">
        <v>1</v>
      </c>
    </row>
    <row r="13662" spans="2:4">
      <c r="B13662">
        <v>1</v>
      </c>
      <c r="C13662">
        <v>102</v>
      </c>
      <c r="D13662">
        <v>1</v>
      </c>
    </row>
    <row r="13664" spans="2:4">
      <c r="B13664">
        <v>1</v>
      </c>
      <c r="C13664">
        <v>102</v>
      </c>
      <c r="D13664">
        <v>1</v>
      </c>
    </row>
    <row r="13668" spans="2:4">
      <c r="B13668">
        <v>1</v>
      </c>
      <c r="C13668">
        <v>102</v>
      </c>
      <c r="D13668">
        <v>1</v>
      </c>
    </row>
    <row r="13671" spans="2:4">
      <c r="B13671">
        <v>1</v>
      </c>
      <c r="C13671">
        <v>102</v>
      </c>
      <c r="D13671">
        <v>1</v>
      </c>
    </row>
    <row r="13676" spans="2:4">
      <c r="B13676">
        <v>1</v>
      </c>
      <c r="C13676">
        <v>102</v>
      </c>
      <c r="D13676">
        <v>1</v>
      </c>
    </row>
    <row r="13677" spans="2:4">
      <c r="B13677">
        <v>1</v>
      </c>
      <c r="C13677">
        <v>102</v>
      </c>
      <c r="D13677">
        <v>1</v>
      </c>
    </row>
    <row r="13680" spans="2:4">
      <c r="B13680">
        <v>1</v>
      </c>
      <c r="C13680">
        <v>102</v>
      </c>
      <c r="D13680">
        <v>1</v>
      </c>
    </row>
    <row r="13682" spans="2:4">
      <c r="B13682">
        <v>1</v>
      </c>
      <c r="C13682">
        <v>102</v>
      </c>
      <c r="D13682">
        <v>1</v>
      </c>
    </row>
    <row r="13684" spans="2:4">
      <c r="B13684">
        <v>1</v>
      </c>
      <c r="C13684">
        <v>102</v>
      </c>
      <c r="D13684">
        <v>1</v>
      </c>
    </row>
    <row r="13689" spans="2:4">
      <c r="B13689">
        <v>1</v>
      </c>
      <c r="C13689">
        <v>102</v>
      </c>
      <c r="D13689">
        <v>1</v>
      </c>
    </row>
    <row r="13692" spans="2:4">
      <c r="B13692">
        <v>1</v>
      </c>
      <c r="C13692">
        <v>102</v>
      </c>
      <c r="D13692">
        <v>1</v>
      </c>
    </row>
    <row r="13695" spans="2:4">
      <c r="B13695">
        <v>1</v>
      </c>
      <c r="C13695">
        <v>102</v>
      </c>
      <c r="D13695">
        <v>1</v>
      </c>
    </row>
    <row r="13696" spans="2:4">
      <c r="B13696">
        <v>1</v>
      </c>
      <c r="C13696">
        <v>102</v>
      </c>
      <c r="D13696">
        <v>1</v>
      </c>
    </row>
    <row r="13697" spans="2:4">
      <c r="B13697">
        <v>1</v>
      </c>
      <c r="C13697">
        <v>102</v>
      </c>
      <c r="D13697">
        <v>1</v>
      </c>
    </row>
    <row r="13701" spans="2:4">
      <c r="B13701">
        <v>1</v>
      </c>
      <c r="C13701">
        <v>102</v>
      </c>
      <c r="D13701">
        <v>1</v>
      </c>
    </row>
    <row r="13702" spans="2:4">
      <c r="B13702">
        <v>1</v>
      </c>
      <c r="C13702">
        <v>102</v>
      </c>
      <c r="D13702">
        <v>1</v>
      </c>
    </row>
    <row r="13704" spans="2:4">
      <c r="B13704">
        <v>1</v>
      </c>
      <c r="C13704">
        <v>102</v>
      </c>
      <c r="D13704">
        <v>1</v>
      </c>
    </row>
    <row r="13706" spans="2:4">
      <c r="B13706">
        <v>1</v>
      </c>
      <c r="C13706">
        <v>102</v>
      </c>
      <c r="D13706">
        <v>1</v>
      </c>
    </row>
    <row r="13709" spans="2:4">
      <c r="B13709">
        <v>1</v>
      </c>
      <c r="C13709">
        <v>102</v>
      </c>
      <c r="D13709">
        <v>1</v>
      </c>
    </row>
    <row r="13711" spans="2:4">
      <c r="B13711">
        <v>1</v>
      </c>
      <c r="C13711">
        <v>102</v>
      </c>
      <c r="D13711">
        <v>1</v>
      </c>
    </row>
    <row r="13720" spans="2:4">
      <c r="B13720">
        <v>1</v>
      </c>
      <c r="C13720">
        <v>102</v>
      </c>
      <c r="D13720">
        <v>1</v>
      </c>
    </row>
    <row r="13722" spans="2:4">
      <c r="B13722">
        <v>1</v>
      </c>
      <c r="C13722">
        <v>102</v>
      </c>
      <c r="D13722">
        <v>1</v>
      </c>
    </row>
    <row r="13727" spans="2:4">
      <c r="B13727">
        <v>1</v>
      </c>
      <c r="C13727">
        <v>102</v>
      </c>
      <c r="D13727">
        <v>1</v>
      </c>
    </row>
    <row r="13729" spans="2:4">
      <c r="B13729">
        <v>1</v>
      </c>
      <c r="C13729">
        <v>102</v>
      </c>
      <c r="D13729">
        <v>1</v>
      </c>
    </row>
    <row r="13733" spans="2:4">
      <c r="B13733">
        <v>1</v>
      </c>
      <c r="C13733">
        <v>102</v>
      </c>
      <c r="D13733">
        <v>1</v>
      </c>
    </row>
    <row r="13737" spans="2:4">
      <c r="B13737">
        <v>1</v>
      </c>
      <c r="C13737">
        <v>102</v>
      </c>
      <c r="D13737">
        <v>1</v>
      </c>
    </row>
    <row r="13741" spans="2:4">
      <c r="B13741">
        <v>1</v>
      </c>
      <c r="C13741">
        <v>102</v>
      </c>
      <c r="D13741">
        <v>1</v>
      </c>
    </row>
    <row r="13743" spans="2:4">
      <c r="B13743">
        <v>1</v>
      </c>
      <c r="C13743">
        <v>102</v>
      </c>
      <c r="D13743">
        <v>1</v>
      </c>
    </row>
    <row r="13750" spans="2:4">
      <c r="B13750">
        <v>1</v>
      </c>
      <c r="C13750">
        <v>102</v>
      </c>
      <c r="D13750">
        <v>1</v>
      </c>
    </row>
    <row r="13754" spans="2:4">
      <c r="B13754">
        <v>1</v>
      </c>
      <c r="C13754">
        <v>102</v>
      </c>
      <c r="D13754">
        <v>1</v>
      </c>
    </row>
    <row r="13758" spans="2:4">
      <c r="B13758">
        <v>1</v>
      </c>
      <c r="C13758">
        <v>102</v>
      </c>
      <c r="D13758">
        <v>1</v>
      </c>
    </row>
    <row r="13760" spans="2:4">
      <c r="B13760">
        <v>1</v>
      </c>
      <c r="C13760">
        <v>102</v>
      </c>
      <c r="D13760">
        <v>1</v>
      </c>
    </row>
    <row r="13764" spans="2:4">
      <c r="B13764">
        <v>1</v>
      </c>
      <c r="C13764">
        <v>102</v>
      </c>
      <c r="D13764">
        <v>1</v>
      </c>
    </row>
    <row r="13765" spans="2:4">
      <c r="B13765">
        <v>1</v>
      </c>
      <c r="C13765">
        <v>102</v>
      </c>
      <c r="D13765">
        <v>1</v>
      </c>
    </row>
    <row r="13769" spans="2:4">
      <c r="B13769">
        <v>1</v>
      </c>
      <c r="C13769">
        <v>102</v>
      </c>
      <c r="D13769">
        <v>1</v>
      </c>
    </row>
    <row r="13772" spans="2:4">
      <c r="B13772">
        <v>1</v>
      </c>
      <c r="C13772">
        <v>102</v>
      </c>
      <c r="D13772">
        <v>1</v>
      </c>
    </row>
    <row r="13775" spans="2:4">
      <c r="B13775">
        <v>1</v>
      </c>
      <c r="C13775">
        <v>102</v>
      </c>
      <c r="D13775">
        <v>1</v>
      </c>
    </row>
    <row r="13777" spans="2:4">
      <c r="B13777">
        <v>1</v>
      </c>
      <c r="C13777">
        <v>102</v>
      </c>
      <c r="D13777">
        <v>1</v>
      </c>
    </row>
    <row r="13778" spans="2:4">
      <c r="B13778">
        <v>1</v>
      </c>
      <c r="C13778">
        <v>102</v>
      </c>
      <c r="D13778">
        <v>1</v>
      </c>
    </row>
    <row r="13779" spans="2:4">
      <c r="B13779">
        <v>1</v>
      </c>
      <c r="C13779">
        <v>102</v>
      </c>
      <c r="D13779">
        <v>1</v>
      </c>
    </row>
    <row r="13780" spans="2:4">
      <c r="B13780">
        <v>1</v>
      </c>
      <c r="C13780">
        <v>102</v>
      </c>
      <c r="D13780">
        <v>1</v>
      </c>
    </row>
    <row r="13788" spans="2:4">
      <c r="B13788">
        <v>1</v>
      </c>
      <c r="C13788">
        <v>102</v>
      </c>
      <c r="D13788">
        <v>1</v>
      </c>
    </row>
    <row r="13789" spans="2:4">
      <c r="B13789">
        <v>1</v>
      </c>
      <c r="C13789">
        <v>102</v>
      </c>
      <c r="D13789">
        <v>1</v>
      </c>
    </row>
    <row r="13794" spans="2:4">
      <c r="B13794">
        <v>1</v>
      </c>
      <c r="C13794">
        <v>102</v>
      </c>
      <c r="D13794">
        <v>1</v>
      </c>
    </row>
    <row r="13797" spans="2:4">
      <c r="B13797">
        <v>1</v>
      </c>
      <c r="C13797">
        <v>102</v>
      </c>
      <c r="D13797">
        <v>1</v>
      </c>
    </row>
    <row r="13800" spans="2:4">
      <c r="B13800">
        <v>1</v>
      </c>
      <c r="C13800">
        <v>102</v>
      </c>
      <c r="D13800">
        <v>1</v>
      </c>
    </row>
    <row r="13803" spans="2:4">
      <c r="B13803">
        <v>1</v>
      </c>
      <c r="C13803">
        <v>102</v>
      </c>
      <c r="D13803">
        <v>1</v>
      </c>
    </row>
    <row r="13806" spans="2:4">
      <c r="B13806">
        <v>1</v>
      </c>
      <c r="C13806">
        <v>102</v>
      </c>
      <c r="D13806">
        <v>1</v>
      </c>
    </row>
    <row r="13809" spans="2:4">
      <c r="B13809">
        <v>1</v>
      </c>
      <c r="C13809">
        <v>102</v>
      </c>
      <c r="D13809">
        <v>1</v>
      </c>
    </row>
    <row r="13811" spans="2:4">
      <c r="B13811">
        <v>1</v>
      </c>
      <c r="C13811">
        <v>102</v>
      </c>
      <c r="D13811">
        <v>1</v>
      </c>
    </row>
    <row r="13814" spans="2:4">
      <c r="B13814">
        <v>1</v>
      </c>
      <c r="C13814">
        <v>102</v>
      </c>
      <c r="D13814">
        <v>1</v>
      </c>
    </row>
    <row r="13816" spans="2:4">
      <c r="B13816">
        <v>1</v>
      </c>
      <c r="C13816">
        <v>102</v>
      </c>
      <c r="D13816">
        <v>1</v>
      </c>
    </row>
    <row r="13818" spans="2:4">
      <c r="B13818">
        <v>1</v>
      </c>
      <c r="C13818">
        <v>102</v>
      </c>
      <c r="D13818">
        <v>1</v>
      </c>
    </row>
    <row r="13819" spans="2:4">
      <c r="B13819">
        <v>1</v>
      </c>
      <c r="C13819">
        <v>102</v>
      </c>
      <c r="D13819">
        <v>1</v>
      </c>
    </row>
    <row r="13821" spans="2:4">
      <c r="B13821">
        <v>1</v>
      </c>
      <c r="C13821">
        <v>102</v>
      </c>
      <c r="D13821">
        <v>1</v>
      </c>
    </row>
    <row r="13827" spans="2:4">
      <c r="B13827">
        <v>1</v>
      </c>
      <c r="C13827">
        <v>102</v>
      </c>
      <c r="D13827">
        <v>1</v>
      </c>
    </row>
    <row r="13831" spans="2:4">
      <c r="B13831">
        <v>1</v>
      </c>
      <c r="C13831">
        <v>102</v>
      </c>
      <c r="D13831">
        <v>1</v>
      </c>
    </row>
    <row r="13835" spans="2:4">
      <c r="B13835">
        <v>1</v>
      </c>
      <c r="C13835">
        <v>102</v>
      </c>
      <c r="D13835">
        <v>1</v>
      </c>
    </row>
    <row r="13840" spans="2:4">
      <c r="B13840">
        <v>1</v>
      </c>
      <c r="C13840">
        <v>102</v>
      </c>
      <c r="D13840">
        <v>1</v>
      </c>
    </row>
    <row r="13843" spans="2:4">
      <c r="B13843">
        <v>1</v>
      </c>
      <c r="C13843">
        <v>102</v>
      </c>
      <c r="D13843">
        <v>1</v>
      </c>
    </row>
    <row r="13846" spans="2:4">
      <c r="B13846">
        <v>1</v>
      </c>
      <c r="C13846">
        <v>102</v>
      </c>
      <c r="D13846">
        <v>1</v>
      </c>
    </row>
    <row r="13847" spans="2:4">
      <c r="B13847">
        <v>1</v>
      </c>
      <c r="C13847">
        <v>102</v>
      </c>
      <c r="D13847">
        <v>1</v>
      </c>
    </row>
    <row r="13849" spans="2:4">
      <c r="B13849">
        <v>1</v>
      </c>
      <c r="C13849">
        <v>102</v>
      </c>
      <c r="D13849">
        <v>1</v>
      </c>
    </row>
    <row r="13851" spans="2:4">
      <c r="B13851">
        <v>1</v>
      </c>
      <c r="C13851">
        <v>102</v>
      </c>
      <c r="D13851">
        <v>1</v>
      </c>
    </row>
    <row r="13852" spans="2:4">
      <c r="B13852">
        <v>1</v>
      </c>
      <c r="C13852">
        <v>102</v>
      </c>
      <c r="D13852">
        <v>1</v>
      </c>
    </row>
    <row r="13854" spans="2:4">
      <c r="B13854">
        <v>1</v>
      </c>
      <c r="C13854">
        <v>102</v>
      </c>
      <c r="D13854">
        <v>1</v>
      </c>
    </row>
    <row r="13856" spans="2:4">
      <c r="B13856">
        <v>1</v>
      </c>
      <c r="C13856">
        <v>102</v>
      </c>
      <c r="D13856">
        <v>1</v>
      </c>
    </row>
    <row r="13859" spans="2:4">
      <c r="B13859">
        <v>1</v>
      </c>
      <c r="C13859">
        <v>102</v>
      </c>
      <c r="D13859">
        <v>1</v>
      </c>
    </row>
    <row r="13860" spans="2:4">
      <c r="B13860">
        <v>1</v>
      </c>
      <c r="C13860">
        <v>102</v>
      </c>
      <c r="D13860">
        <v>1</v>
      </c>
    </row>
    <row r="13862" spans="2:4">
      <c r="B13862">
        <v>1</v>
      </c>
      <c r="C13862">
        <v>102</v>
      </c>
      <c r="D13862">
        <v>1</v>
      </c>
    </row>
    <row r="13863" spans="2:4">
      <c r="B13863">
        <v>1</v>
      </c>
      <c r="C13863">
        <v>102</v>
      </c>
      <c r="D13863">
        <v>1</v>
      </c>
    </row>
    <row r="13866" spans="2:4">
      <c r="B13866">
        <v>1</v>
      </c>
      <c r="C13866">
        <v>102</v>
      </c>
      <c r="D13866">
        <v>1</v>
      </c>
    </row>
    <row r="13877" spans="2:4">
      <c r="B13877">
        <v>1</v>
      </c>
      <c r="C13877">
        <v>102</v>
      </c>
      <c r="D13877">
        <v>1</v>
      </c>
    </row>
    <row r="13879" spans="2:4">
      <c r="B13879">
        <v>1</v>
      </c>
      <c r="C13879">
        <v>102</v>
      </c>
      <c r="D13879">
        <v>1</v>
      </c>
    </row>
    <row r="13881" spans="2:4">
      <c r="B13881">
        <v>1</v>
      </c>
      <c r="C13881">
        <v>102</v>
      </c>
      <c r="D13881">
        <v>1</v>
      </c>
    </row>
    <row r="13883" spans="2:4">
      <c r="B13883">
        <v>1</v>
      </c>
      <c r="C13883">
        <v>102</v>
      </c>
      <c r="D13883">
        <v>1</v>
      </c>
    </row>
    <row r="13890" spans="2:4">
      <c r="B13890">
        <v>1</v>
      </c>
      <c r="C13890">
        <v>102</v>
      </c>
      <c r="D13890">
        <v>1</v>
      </c>
    </row>
    <row r="13895" spans="2:4">
      <c r="B13895">
        <v>1</v>
      </c>
      <c r="C13895">
        <v>102</v>
      </c>
      <c r="D13895">
        <v>1</v>
      </c>
    </row>
    <row r="13896" spans="2:4">
      <c r="B13896">
        <v>1</v>
      </c>
      <c r="C13896">
        <v>102</v>
      </c>
      <c r="D13896">
        <v>1</v>
      </c>
    </row>
    <row r="13902" spans="2:4">
      <c r="B13902">
        <v>1</v>
      </c>
      <c r="C13902">
        <v>102</v>
      </c>
      <c r="D13902">
        <v>1</v>
      </c>
    </row>
    <row r="13909" spans="2:4">
      <c r="B13909">
        <v>1</v>
      </c>
      <c r="C13909">
        <v>102</v>
      </c>
      <c r="D13909">
        <v>1</v>
      </c>
    </row>
    <row r="13910" spans="2:4">
      <c r="B13910">
        <v>1</v>
      </c>
      <c r="C13910">
        <v>102</v>
      </c>
      <c r="D13910">
        <v>1</v>
      </c>
    </row>
    <row r="13913" spans="2:4">
      <c r="B13913">
        <v>1</v>
      </c>
      <c r="C13913">
        <v>102</v>
      </c>
      <c r="D13913">
        <v>1</v>
      </c>
    </row>
    <row r="13914" spans="2:4">
      <c r="B13914">
        <v>1</v>
      </c>
      <c r="C13914">
        <v>102</v>
      </c>
      <c r="D13914">
        <v>1</v>
      </c>
    </row>
    <row r="13918" spans="2:4">
      <c r="B13918">
        <v>1</v>
      </c>
      <c r="C13918">
        <v>102</v>
      </c>
      <c r="D13918">
        <v>1</v>
      </c>
    </row>
    <row r="13920" spans="2:4">
      <c r="B13920">
        <v>1</v>
      </c>
      <c r="C13920">
        <v>102</v>
      </c>
      <c r="D13920">
        <v>1</v>
      </c>
    </row>
    <row r="13924" spans="2:4">
      <c r="B13924">
        <v>1</v>
      </c>
      <c r="C13924">
        <v>102</v>
      </c>
      <c r="D13924">
        <v>1</v>
      </c>
    </row>
    <row r="13927" spans="2:4">
      <c r="B13927">
        <v>1</v>
      </c>
      <c r="C13927">
        <v>102</v>
      </c>
      <c r="D13927">
        <v>1</v>
      </c>
    </row>
    <row r="13932" spans="2:4">
      <c r="B13932">
        <v>1</v>
      </c>
      <c r="C13932">
        <v>102</v>
      </c>
      <c r="D13932">
        <v>1</v>
      </c>
    </row>
    <row r="13933" spans="2:4">
      <c r="B13933">
        <v>1</v>
      </c>
      <c r="C13933">
        <v>102</v>
      </c>
      <c r="D13933">
        <v>1</v>
      </c>
    </row>
    <row r="13936" spans="2:4">
      <c r="B13936">
        <v>1</v>
      </c>
      <c r="C13936">
        <v>102</v>
      </c>
      <c r="D13936">
        <v>1</v>
      </c>
    </row>
    <row r="13938" spans="2:4">
      <c r="B13938">
        <v>1</v>
      </c>
      <c r="C13938">
        <v>102</v>
      </c>
      <c r="D13938">
        <v>1</v>
      </c>
    </row>
    <row r="13940" spans="2:4">
      <c r="B13940">
        <v>1</v>
      </c>
      <c r="C13940">
        <v>102</v>
      </c>
      <c r="D13940">
        <v>1</v>
      </c>
    </row>
    <row r="13945" spans="2:4">
      <c r="B13945">
        <v>1</v>
      </c>
      <c r="C13945">
        <v>102</v>
      </c>
      <c r="D13945">
        <v>1</v>
      </c>
    </row>
    <row r="13948" spans="2:4">
      <c r="B13948">
        <v>1</v>
      </c>
      <c r="C13948">
        <v>102</v>
      </c>
      <c r="D13948">
        <v>1</v>
      </c>
    </row>
    <row r="13951" spans="2:4">
      <c r="B13951">
        <v>1</v>
      </c>
      <c r="C13951">
        <v>102</v>
      </c>
      <c r="D13951">
        <v>1</v>
      </c>
    </row>
    <row r="13952" spans="2:4">
      <c r="B13952">
        <v>1</v>
      </c>
      <c r="C13952">
        <v>102</v>
      </c>
      <c r="D13952">
        <v>1</v>
      </c>
    </row>
    <row r="13953" spans="2:4">
      <c r="B13953">
        <v>1</v>
      </c>
      <c r="C13953">
        <v>102</v>
      </c>
      <c r="D13953">
        <v>1</v>
      </c>
    </row>
    <row r="13957" spans="2:4">
      <c r="B13957">
        <v>1</v>
      </c>
      <c r="C13957">
        <v>102</v>
      </c>
      <c r="D13957">
        <v>1</v>
      </c>
    </row>
    <row r="13958" spans="2:4">
      <c r="B13958">
        <v>1</v>
      </c>
      <c r="C13958">
        <v>102</v>
      </c>
      <c r="D13958">
        <v>1</v>
      </c>
    </row>
    <row r="13960" spans="2:4">
      <c r="B13960">
        <v>1</v>
      </c>
      <c r="C13960">
        <v>102</v>
      </c>
      <c r="D13960">
        <v>1</v>
      </c>
    </row>
    <row r="13962" spans="2:4">
      <c r="B13962">
        <v>1</v>
      </c>
      <c r="C13962">
        <v>102</v>
      </c>
      <c r="D13962">
        <v>1</v>
      </c>
    </row>
    <row r="13965" spans="2:4">
      <c r="B13965">
        <v>1</v>
      </c>
      <c r="C13965">
        <v>102</v>
      </c>
      <c r="D13965">
        <v>1</v>
      </c>
    </row>
    <row r="13967" spans="2:4">
      <c r="B13967">
        <v>1</v>
      </c>
      <c r="C13967">
        <v>102</v>
      </c>
      <c r="D13967">
        <v>1</v>
      </c>
    </row>
    <row r="13976" spans="2:4">
      <c r="B13976">
        <v>1</v>
      </c>
      <c r="C13976">
        <v>102</v>
      </c>
      <c r="D13976">
        <v>1</v>
      </c>
    </row>
    <row r="13978" spans="2:4">
      <c r="B13978">
        <v>1</v>
      </c>
      <c r="C13978">
        <v>102</v>
      </c>
      <c r="D13978">
        <v>1</v>
      </c>
    </row>
    <row r="13983" spans="2:4">
      <c r="B13983">
        <v>1</v>
      </c>
      <c r="C13983">
        <v>102</v>
      </c>
      <c r="D13983">
        <v>1</v>
      </c>
    </row>
    <row r="13985" spans="2:4">
      <c r="B13985">
        <v>1</v>
      </c>
      <c r="C13985">
        <v>102</v>
      </c>
      <c r="D13985">
        <v>1</v>
      </c>
    </row>
    <row r="13989" spans="2:4">
      <c r="B13989">
        <v>1</v>
      </c>
      <c r="C13989">
        <v>102</v>
      </c>
      <c r="D13989">
        <v>1</v>
      </c>
    </row>
    <row r="13993" spans="2:4">
      <c r="B13993">
        <v>1</v>
      </c>
      <c r="C13993">
        <v>102</v>
      </c>
      <c r="D13993">
        <v>1</v>
      </c>
    </row>
    <row r="13997" spans="2:4">
      <c r="B13997">
        <v>1</v>
      </c>
      <c r="C13997">
        <v>102</v>
      </c>
      <c r="D13997">
        <v>1</v>
      </c>
    </row>
    <row r="13999" spans="2:4">
      <c r="B13999">
        <v>1</v>
      </c>
      <c r="C13999">
        <v>102</v>
      </c>
      <c r="D13999">
        <v>1</v>
      </c>
    </row>
    <row r="14006" spans="2:4">
      <c r="B14006">
        <v>1</v>
      </c>
      <c r="C14006">
        <v>102</v>
      </c>
      <c r="D14006">
        <v>1</v>
      </c>
    </row>
    <row r="14010" spans="2:4">
      <c r="B14010">
        <v>1</v>
      </c>
      <c r="C14010">
        <v>102</v>
      </c>
      <c r="D14010">
        <v>1</v>
      </c>
    </row>
    <row r="14014" spans="2:4">
      <c r="B14014">
        <v>1</v>
      </c>
      <c r="C14014">
        <v>102</v>
      </c>
      <c r="D14014">
        <v>1</v>
      </c>
    </row>
    <row r="14016" spans="2:4">
      <c r="B14016">
        <v>1</v>
      </c>
      <c r="C14016">
        <v>102</v>
      </c>
      <c r="D14016">
        <v>1</v>
      </c>
    </row>
    <row r="14020" spans="2:4">
      <c r="B14020">
        <v>1</v>
      </c>
      <c r="C14020">
        <v>102</v>
      </c>
      <c r="D14020">
        <v>1</v>
      </c>
    </row>
    <row r="14021" spans="2:4">
      <c r="B14021">
        <v>1</v>
      </c>
      <c r="C14021">
        <v>102</v>
      </c>
      <c r="D14021">
        <v>1</v>
      </c>
    </row>
    <row r="14025" spans="2:4">
      <c r="B14025">
        <v>1</v>
      </c>
      <c r="C14025">
        <v>102</v>
      </c>
      <c r="D14025">
        <v>1</v>
      </c>
    </row>
    <row r="14028" spans="2:4">
      <c r="B14028">
        <v>1</v>
      </c>
      <c r="C14028">
        <v>102</v>
      </c>
      <c r="D14028">
        <v>1</v>
      </c>
    </row>
    <row r="14031" spans="2:4">
      <c r="B14031">
        <v>1</v>
      </c>
      <c r="C14031">
        <v>102</v>
      </c>
      <c r="D14031">
        <v>1</v>
      </c>
    </row>
    <row r="14033" spans="2:4">
      <c r="B14033">
        <v>1</v>
      </c>
      <c r="C14033">
        <v>102</v>
      </c>
      <c r="D14033">
        <v>1</v>
      </c>
    </row>
    <row r="14034" spans="2:4">
      <c r="B14034">
        <v>1</v>
      </c>
      <c r="C14034">
        <v>102</v>
      </c>
      <c r="D14034">
        <v>1</v>
      </c>
    </row>
    <row r="14035" spans="2:4">
      <c r="B14035">
        <v>1</v>
      </c>
      <c r="C14035">
        <v>102</v>
      </c>
      <c r="D14035">
        <v>1</v>
      </c>
    </row>
    <row r="14036" spans="2:4">
      <c r="B14036">
        <v>1</v>
      </c>
      <c r="C14036">
        <v>102</v>
      </c>
      <c r="D14036">
        <v>1</v>
      </c>
    </row>
    <row r="14044" spans="2:4">
      <c r="B14044">
        <v>1</v>
      </c>
      <c r="C14044">
        <v>102</v>
      </c>
      <c r="D14044">
        <v>1</v>
      </c>
    </row>
    <row r="14045" spans="2:4">
      <c r="B14045">
        <v>1</v>
      </c>
      <c r="C14045">
        <v>102</v>
      </c>
      <c r="D14045">
        <v>1</v>
      </c>
    </row>
    <row r="14050" spans="2:4">
      <c r="B14050">
        <v>1</v>
      </c>
      <c r="C14050">
        <v>102</v>
      </c>
      <c r="D14050">
        <v>1</v>
      </c>
    </row>
    <row r="14053" spans="2:4">
      <c r="B14053">
        <v>1</v>
      </c>
      <c r="C14053">
        <v>102</v>
      </c>
      <c r="D14053">
        <v>1</v>
      </c>
    </row>
    <row r="14056" spans="2:4">
      <c r="B14056">
        <v>1</v>
      </c>
      <c r="C14056">
        <v>102</v>
      </c>
      <c r="D14056">
        <v>1</v>
      </c>
    </row>
    <row r="14059" spans="2:4">
      <c r="B14059">
        <v>1</v>
      </c>
      <c r="C14059">
        <v>102</v>
      </c>
      <c r="D14059">
        <v>1</v>
      </c>
    </row>
    <row r="14062" spans="2:4">
      <c r="B14062">
        <v>1</v>
      </c>
      <c r="C14062">
        <v>102</v>
      </c>
      <c r="D14062">
        <v>1</v>
      </c>
    </row>
    <row r="14065" spans="2:4">
      <c r="B14065">
        <v>1</v>
      </c>
      <c r="C14065">
        <v>102</v>
      </c>
      <c r="D14065">
        <v>1</v>
      </c>
    </row>
    <row r="14067" spans="2:4">
      <c r="B14067">
        <v>1</v>
      </c>
      <c r="C14067">
        <v>102</v>
      </c>
      <c r="D14067">
        <v>1</v>
      </c>
    </row>
    <row r="14070" spans="2:4">
      <c r="B14070">
        <v>1</v>
      </c>
      <c r="C14070">
        <v>102</v>
      </c>
      <c r="D14070">
        <v>1</v>
      </c>
    </row>
    <row r="14072" spans="2:4">
      <c r="B14072">
        <v>1</v>
      </c>
      <c r="C14072">
        <v>102</v>
      </c>
      <c r="D14072">
        <v>1</v>
      </c>
    </row>
    <row r="14074" spans="2:4">
      <c r="B14074">
        <v>1</v>
      </c>
      <c r="C14074">
        <v>102</v>
      </c>
      <c r="D14074">
        <v>1</v>
      </c>
    </row>
    <row r="14075" spans="2:4">
      <c r="B14075">
        <v>1</v>
      </c>
      <c r="C14075">
        <v>102</v>
      </c>
      <c r="D14075">
        <v>1</v>
      </c>
    </row>
    <row r="14077" spans="2:4">
      <c r="B14077">
        <v>1</v>
      </c>
      <c r="C14077">
        <v>102</v>
      </c>
      <c r="D14077">
        <v>1</v>
      </c>
    </row>
    <row r="14083" spans="2:4">
      <c r="B14083">
        <v>1</v>
      </c>
      <c r="C14083">
        <v>102</v>
      </c>
      <c r="D14083">
        <v>1</v>
      </c>
    </row>
    <row r="14087" spans="2:4">
      <c r="B14087">
        <v>1</v>
      </c>
      <c r="C14087">
        <v>102</v>
      </c>
      <c r="D14087">
        <v>1</v>
      </c>
    </row>
    <row r="14091" spans="2:4">
      <c r="B14091">
        <v>1</v>
      </c>
      <c r="C14091">
        <v>102</v>
      </c>
      <c r="D14091">
        <v>1</v>
      </c>
    </row>
    <row r="14096" spans="2:4">
      <c r="B14096">
        <v>1</v>
      </c>
      <c r="C14096">
        <v>102</v>
      </c>
      <c r="D14096">
        <v>1</v>
      </c>
    </row>
    <row r="14099" spans="2:4">
      <c r="B14099">
        <v>1</v>
      </c>
      <c r="C14099">
        <v>102</v>
      </c>
      <c r="D14099">
        <v>1</v>
      </c>
    </row>
    <row r="14102" spans="2:4">
      <c r="B14102">
        <v>1</v>
      </c>
      <c r="C14102">
        <v>102</v>
      </c>
      <c r="D14102">
        <v>1</v>
      </c>
    </row>
    <row r="14103" spans="2:4">
      <c r="B14103">
        <v>1</v>
      </c>
      <c r="C14103">
        <v>102</v>
      </c>
      <c r="D14103">
        <v>1</v>
      </c>
    </row>
    <row r="14105" spans="2:4">
      <c r="B14105">
        <v>1</v>
      </c>
      <c r="C14105">
        <v>102</v>
      </c>
      <c r="D14105">
        <v>1</v>
      </c>
    </row>
    <row r="14107" spans="2:4">
      <c r="B14107">
        <v>1</v>
      </c>
      <c r="C14107">
        <v>102</v>
      </c>
      <c r="D14107">
        <v>1</v>
      </c>
    </row>
    <row r="14108" spans="2:4">
      <c r="B14108">
        <v>1</v>
      </c>
      <c r="C14108">
        <v>102</v>
      </c>
      <c r="D14108">
        <v>1</v>
      </c>
    </row>
    <row r="14110" spans="2:4">
      <c r="B14110">
        <v>1</v>
      </c>
      <c r="C14110">
        <v>102</v>
      </c>
      <c r="D14110">
        <v>1</v>
      </c>
    </row>
    <row r="14112" spans="2:4">
      <c r="B14112">
        <v>1</v>
      </c>
      <c r="C14112">
        <v>102</v>
      </c>
      <c r="D14112">
        <v>1</v>
      </c>
    </row>
    <row r="14115" spans="2:4">
      <c r="B14115">
        <v>1</v>
      </c>
      <c r="C14115">
        <v>102</v>
      </c>
      <c r="D14115">
        <v>1</v>
      </c>
    </row>
    <row r="14116" spans="2:4">
      <c r="B14116">
        <v>1</v>
      </c>
      <c r="C14116">
        <v>102</v>
      </c>
      <c r="D14116">
        <v>1</v>
      </c>
    </row>
    <row r="14118" spans="2:4">
      <c r="B14118">
        <v>1</v>
      </c>
      <c r="C14118">
        <v>102</v>
      </c>
      <c r="D14118">
        <v>1</v>
      </c>
    </row>
    <row r="14119" spans="2:4">
      <c r="B14119">
        <v>1</v>
      </c>
      <c r="C14119">
        <v>102</v>
      </c>
      <c r="D14119">
        <v>1</v>
      </c>
    </row>
    <row r="14122" spans="2:4">
      <c r="B14122">
        <v>1</v>
      </c>
      <c r="C14122">
        <v>102</v>
      </c>
      <c r="D14122">
        <v>1</v>
      </c>
    </row>
    <row r="14133" spans="2:4">
      <c r="B14133">
        <v>1</v>
      </c>
      <c r="C14133">
        <v>102</v>
      </c>
      <c r="D14133">
        <v>1</v>
      </c>
    </row>
    <row r="14135" spans="2:4">
      <c r="B14135">
        <v>1</v>
      </c>
      <c r="C14135">
        <v>102</v>
      </c>
      <c r="D14135">
        <v>1</v>
      </c>
    </row>
    <row r="14137" spans="2:4">
      <c r="B14137">
        <v>1</v>
      </c>
      <c r="C14137">
        <v>102</v>
      </c>
      <c r="D14137">
        <v>1</v>
      </c>
    </row>
    <row r="14139" spans="2:4">
      <c r="B14139">
        <v>1</v>
      </c>
      <c r="C14139">
        <v>102</v>
      </c>
      <c r="D14139">
        <v>1</v>
      </c>
    </row>
    <row r="14146" spans="2:4">
      <c r="B14146">
        <v>1</v>
      </c>
      <c r="C14146">
        <v>102</v>
      </c>
      <c r="D14146">
        <v>1</v>
      </c>
    </row>
    <row r="14151" spans="2:4">
      <c r="B14151">
        <v>1</v>
      </c>
      <c r="C14151">
        <v>102</v>
      </c>
      <c r="D14151">
        <v>1</v>
      </c>
    </row>
    <row r="14152" spans="2:4">
      <c r="B14152">
        <v>1</v>
      </c>
      <c r="C14152">
        <v>102</v>
      </c>
      <c r="D14152">
        <v>1</v>
      </c>
    </row>
    <row r="14158" spans="2:4">
      <c r="B14158">
        <v>1</v>
      </c>
      <c r="C14158">
        <v>102</v>
      </c>
      <c r="D14158">
        <v>1</v>
      </c>
    </row>
    <row r="14165" spans="2:4">
      <c r="B14165">
        <v>1</v>
      </c>
      <c r="C14165">
        <v>102</v>
      </c>
      <c r="D14165">
        <v>1</v>
      </c>
    </row>
    <row r="14166" spans="2:4">
      <c r="B14166">
        <v>1</v>
      </c>
      <c r="C14166">
        <v>102</v>
      </c>
      <c r="D14166">
        <v>1</v>
      </c>
    </row>
    <row r="14169" spans="2:4">
      <c r="B14169">
        <v>1</v>
      </c>
      <c r="C14169">
        <v>102</v>
      </c>
      <c r="D14169">
        <v>1</v>
      </c>
    </row>
    <row r="14170" spans="2:4">
      <c r="B14170">
        <v>1</v>
      </c>
      <c r="C14170">
        <v>102</v>
      </c>
      <c r="D14170">
        <v>1</v>
      </c>
    </row>
    <row r="14174" spans="2:4">
      <c r="B14174">
        <v>1</v>
      </c>
      <c r="C14174">
        <v>102</v>
      </c>
      <c r="D14174">
        <v>1</v>
      </c>
    </row>
    <row r="14176" spans="2:4">
      <c r="B14176">
        <v>1</v>
      </c>
      <c r="C14176">
        <v>102</v>
      </c>
      <c r="D14176">
        <v>1</v>
      </c>
    </row>
    <row r="14180" spans="2:4">
      <c r="B14180">
        <v>1</v>
      </c>
      <c r="C14180">
        <v>102</v>
      </c>
      <c r="D14180">
        <v>1</v>
      </c>
    </row>
    <row r="14183" spans="2:4">
      <c r="B14183">
        <v>1</v>
      </c>
      <c r="C14183">
        <v>102</v>
      </c>
      <c r="D14183">
        <v>1</v>
      </c>
    </row>
    <row r="14188" spans="2:4">
      <c r="B14188">
        <v>1</v>
      </c>
      <c r="C14188">
        <v>102</v>
      </c>
      <c r="D14188">
        <v>1</v>
      </c>
    </row>
    <row r="14189" spans="2:4">
      <c r="B14189">
        <v>1</v>
      </c>
      <c r="C14189">
        <v>102</v>
      </c>
      <c r="D14189">
        <v>1</v>
      </c>
    </row>
    <row r="14192" spans="2:4">
      <c r="B14192">
        <v>1</v>
      </c>
      <c r="C14192">
        <v>102</v>
      </c>
      <c r="D14192">
        <v>1</v>
      </c>
    </row>
    <row r="14194" spans="2:4">
      <c r="B14194">
        <v>1</v>
      </c>
      <c r="C14194">
        <v>102</v>
      </c>
      <c r="D14194">
        <v>1</v>
      </c>
    </row>
    <row r="14196" spans="2:4">
      <c r="B14196">
        <v>1</v>
      </c>
      <c r="C14196">
        <v>102</v>
      </c>
      <c r="D14196">
        <v>1</v>
      </c>
    </row>
    <row r="14201" spans="2:4">
      <c r="B14201">
        <v>1</v>
      </c>
      <c r="C14201">
        <v>102</v>
      </c>
      <c r="D14201">
        <v>1</v>
      </c>
    </row>
    <row r="14204" spans="2:4">
      <c r="B14204">
        <v>1</v>
      </c>
      <c r="C14204">
        <v>102</v>
      </c>
      <c r="D14204">
        <v>1</v>
      </c>
    </row>
    <row r="14207" spans="2:4">
      <c r="B14207">
        <v>1</v>
      </c>
      <c r="C14207">
        <v>102</v>
      </c>
      <c r="D14207">
        <v>1</v>
      </c>
    </row>
    <row r="14208" spans="2:4">
      <c r="B14208">
        <v>1</v>
      </c>
      <c r="C14208">
        <v>102</v>
      </c>
      <c r="D14208">
        <v>1</v>
      </c>
    </row>
    <row r="14209" spans="2:4">
      <c r="B14209">
        <v>1</v>
      </c>
      <c r="C14209">
        <v>102</v>
      </c>
      <c r="D14209">
        <v>1</v>
      </c>
    </row>
    <row r="14213" spans="2:4">
      <c r="B14213">
        <v>1</v>
      </c>
      <c r="C14213">
        <v>102</v>
      </c>
      <c r="D14213">
        <v>1</v>
      </c>
    </row>
    <row r="14214" spans="2:4">
      <c r="B14214">
        <v>1</v>
      </c>
      <c r="C14214">
        <v>102</v>
      </c>
      <c r="D14214">
        <v>1</v>
      </c>
    </row>
    <row r="14216" spans="2:4">
      <c r="B14216">
        <v>1</v>
      </c>
      <c r="C14216">
        <v>102</v>
      </c>
      <c r="D14216">
        <v>1</v>
      </c>
    </row>
    <row r="14218" spans="2:4">
      <c r="B14218">
        <v>1</v>
      </c>
      <c r="C14218">
        <v>102</v>
      </c>
      <c r="D14218">
        <v>1</v>
      </c>
    </row>
    <row r="14221" spans="2:4">
      <c r="B14221">
        <v>1</v>
      </c>
      <c r="C14221">
        <v>102</v>
      </c>
      <c r="D14221">
        <v>1</v>
      </c>
    </row>
    <row r="14223" spans="2:4">
      <c r="B14223">
        <v>1</v>
      </c>
      <c r="C14223">
        <v>102</v>
      </c>
      <c r="D14223">
        <v>1</v>
      </c>
    </row>
    <row r="14232" spans="2:4">
      <c r="B14232">
        <v>1</v>
      </c>
      <c r="C14232">
        <v>102</v>
      </c>
      <c r="D14232">
        <v>1</v>
      </c>
    </row>
    <row r="14234" spans="2:4">
      <c r="B14234">
        <v>1</v>
      </c>
      <c r="C14234">
        <v>102</v>
      </c>
      <c r="D14234">
        <v>1</v>
      </c>
    </row>
    <row r="14239" spans="2:4">
      <c r="B14239">
        <v>1</v>
      </c>
      <c r="C14239">
        <v>102</v>
      </c>
      <c r="D14239">
        <v>1</v>
      </c>
    </row>
    <row r="14241" spans="2:4">
      <c r="B14241">
        <v>1</v>
      </c>
      <c r="C14241">
        <v>102</v>
      </c>
      <c r="D14241">
        <v>1</v>
      </c>
    </row>
    <row r="14245" spans="2:4">
      <c r="B14245">
        <v>1</v>
      </c>
      <c r="C14245">
        <v>102</v>
      </c>
      <c r="D14245">
        <v>1</v>
      </c>
    </row>
    <row r="14249" spans="2:4">
      <c r="B14249">
        <v>1</v>
      </c>
      <c r="C14249">
        <v>102</v>
      </c>
      <c r="D14249">
        <v>1</v>
      </c>
    </row>
    <row r="14253" spans="2:4">
      <c r="B14253">
        <v>1</v>
      </c>
      <c r="C14253">
        <v>102</v>
      </c>
      <c r="D14253">
        <v>1</v>
      </c>
    </row>
    <row r="14255" spans="2:4">
      <c r="B14255">
        <v>1</v>
      </c>
      <c r="C14255">
        <v>102</v>
      </c>
      <c r="D14255">
        <v>1</v>
      </c>
    </row>
    <row r="14262" spans="2:4">
      <c r="B14262">
        <v>1</v>
      </c>
      <c r="C14262">
        <v>102</v>
      </c>
      <c r="D14262">
        <v>1</v>
      </c>
    </row>
    <row r="14266" spans="2:4">
      <c r="B14266">
        <v>1</v>
      </c>
      <c r="C14266">
        <v>102</v>
      </c>
      <c r="D14266">
        <v>1</v>
      </c>
    </row>
    <row r="14270" spans="2:4">
      <c r="B14270">
        <v>1</v>
      </c>
      <c r="C14270">
        <v>102</v>
      </c>
      <c r="D14270">
        <v>1</v>
      </c>
    </row>
    <row r="14272" spans="2:4">
      <c r="B14272">
        <v>1</v>
      </c>
      <c r="C14272">
        <v>102</v>
      </c>
      <c r="D14272">
        <v>1</v>
      </c>
    </row>
    <row r="14276" spans="2:4">
      <c r="B14276">
        <v>1</v>
      </c>
      <c r="C14276">
        <v>102</v>
      </c>
      <c r="D14276">
        <v>1</v>
      </c>
    </row>
    <row r="14277" spans="2:4">
      <c r="B14277">
        <v>1</v>
      </c>
      <c r="C14277">
        <v>102</v>
      </c>
      <c r="D14277">
        <v>1</v>
      </c>
    </row>
    <row r="14281" spans="2:4">
      <c r="B14281">
        <v>1</v>
      </c>
      <c r="C14281">
        <v>102</v>
      </c>
      <c r="D14281">
        <v>1</v>
      </c>
    </row>
    <row r="14284" spans="2:4">
      <c r="B14284">
        <v>1</v>
      </c>
      <c r="C14284">
        <v>102</v>
      </c>
      <c r="D14284">
        <v>1</v>
      </c>
    </row>
    <row r="14287" spans="2:4">
      <c r="B14287">
        <v>1</v>
      </c>
      <c r="C14287">
        <v>102</v>
      </c>
      <c r="D14287">
        <v>1</v>
      </c>
    </row>
    <row r="14289" spans="2:4">
      <c r="B14289">
        <v>1</v>
      </c>
      <c r="C14289">
        <v>102</v>
      </c>
      <c r="D14289">
        <v>1</v>
      </c>
    </row>
    <row r="14290" spans="2:4">
      <c r="B14290">
        <v>1</v>
      </c>
      <c r="C14290">
        <v>102</v>
      </c>
      <c r="D14290">
        <v>1</v>
      </c>
    </row>
    <row r="14291" spans="2:4">
      <c r="B14291">
        <v>1</v>
      </c>
      <c r="C14291">
        <v>102</v>
      </c>
      <c r="D14291">
        <v>1</v>
      </c>
    </row>
    <row r="14292" spans="2:4">
      <c r="B14292">
        <v>1</v>
      </c>
      <c r="C14292">
        <v>102</v>
      </c>
      <c r="D14292">
        <v>1</v>
      </c>
    </row>
    <row r="14300" spans="2:4">
      <c r="B14300">
        <v>1</v>
      </c>
      <c r="C14300">
        <v>102</v>
      </c>
      <c r="D14300">
        <v>1</v>
      </c>
    </row>
    <row r="14301" spans="2:4">
      <c r="B14301">
        <v>1</v>
      </c>
      <c r="C14301">
        <v>102</v>
      </c>
      <c r="D14301">
        <v>1</v>
      </c>
    </row>
    <row r="14306" spans="2:4">
      <c r="B14306">
        <v>1</v>
      </c>
      <c r="C14306">
        <v>102</v>
      </c>
      <c r="D14306">
        <v>1</v>
      </c>
    </row>
    <row r="14309" spans="2:4">
      <c r="B14309">
        <v>1</v>
      </c>
      <c r="C14309">
        <v>102</v>
      </c>
      <c r="D14309">
        <v>1</v>
      </c>
    </row>
    <row r="14312" spans="2:4">
      <c r="B14312">
        <v>1</v>
      </c>
      <c r="C14312">
        <v>102</v>
      </c>
      <c r="D14312">
        <v>1</v>
      </c>
    </row>
    <row r="14315" spans="2:4">
      <c r="B14315">
        <v>1</v>
      </c>
      <c r="C14315">
        <v>102</v>
      </c>
      <c r="D14315">
        <v>1</v>
      </c>
    </row>
    <row r="14318" spans="2:4">
      <c r="B14318">
        <v>1</v>
      </c>
      <c r="C14318">
        <v>102</v>
      </c>
      <c r="D14318">
        <v>1</v>
      </c>
    </row>
    <row r="14321" spans="2:4">
      <c r="B14321">
        <v>1</v>
      </c>
      <c r="C14321">
        <v>102</v>
      </c>
      <c r="D14321">
        <v>1</v>
      </c>
    </row>
    <row r="14323" spans="2:4">
      <c r="B14323">
        <v>1</v>
      </c>
      <c r="C14323">
        <v>102</v>
      </c>
      <c r="D14323">
        <v>1</v>
      </c>
    </row>
    <row r="14326" spans="2:4">
      <c r="B14326">
        <v>1</v>
      </c>
      <c r="C14326">
        <v>102</v>
      </c>
      <c r="D14326">
        <v>1</v>
      </c>
    </row>
    <row r="14328" spans="2:4">
      <c r="B14328">
        <v>1</v>
      </c>
      <c r="C14328">
        <v>102</v>
      </c>
      <c r="D14328">
        <v>1</v>
      </c>
    </row>
    <row r="14330" spans="2:4">
      <c r="B14330">
        <v>1</v>
      </c>
      <c r="C14330">
        <v>102</v>
      </c>
      <c r="D14330">
        <v>1</v>
      </c>
    </row>
    <row r="14331" spans="2:4">
      <c r="B14331">
        <v>1</v>
      </c>
      <c r="C14331">
        <v>102</v>
      </c>
      <c r="D14331">
        <v>1</v>
      </c>
    </row>
    <row r="14333" spans="2:4">
      <c r="B14333">
        <v>1</v>
      </c>
      <c r="C14333">
        <v>102</v>
      </c>
      <c r="D14333">
        <v>1</v>
      </c>
    </row>
    <row r="14339" spans="2:4">
      <c r="B14339">
        <v>1</v>
      </c>
      <c r="C14339">
        <v>102</v>
      </c>
      <c r="D14339">
        <v>1</v>
      </c>
    </row>
    <row r="14343" spans="2:4">
      <c r="B14343">
        <v>1</v>
      </c>
      <c r="C14343">
        <v>102</v>
      </c>
      <c r="D14343">
        <v>1</v>
      </c>
    </row>
    <row r="14347" spans="2:4">
      <c r="B14347">
        <v>1</v>
      </c>
      <c r="C14347">
        <v>102</v>
      </c>
      <c r="D14347">
        <v>1</v>
      </c>
    </row>
    <row r="14352" spans="2:4">
      <c r="B14352">
        <v>1</v>
      </c>
      <c r="C14352">
        <v>102</v>
      </c>
      <c r="D14352">
        <v>1</v>
      </c>
    </row>
    <row r="14355" spans="2:4">
      <c r="B14355">
        <v>1</v>
      </c>
      <c r="C14355">
        <v>102</v>
      </c>
      <c r="D14355">
        <v>1</v>
      </c>
    </row>
    <row r="14358" spans="2:4">
      <c r="B14358">
        <v>1</v>
      </c>
      <c r="C14358">
        <v>102</v>
      </c>
      <c r="D14358">
        <v>1</v>
      </c>
    </row>
    <row r="14359" spans="2:4">
      <c r="B14359">
        <v>1</v>
      </c>
      <c r="C14359">
        <v>102</v>
      </c>
      <c r="D14359">
        <v>1</v>
      </c>
    </row>
    <row r="14361" spans="2:4">
      <c r="B14361">
        <v>1</v>
      </c>
      <c r="C14361">
        <v>102</v>
      </c>
      <c r="D14361">
        <v>1</v>
      </c>
    </row>
    <row r="14363" spans="2:4">
      <c r="B14363">
        <v>1</v>
      </c>
      <c r="C14363">
        <v>102</v>
      </c>
      <c r="D14363">
        <v>1</v>
      </c>
    </row>
    <row r="14364" spans="2:4">
      <c r="B14364">
        <v>1</v>
      </c>
      <c r="C14364">
        <v>102</v>
      </c>
      <c r="D14364">
        <v>1</v>
      </c>
    </row>
    <row r="14366" spans="2:4">
      <c r="B14366">
        <v>1</v>
      </c>
      <c r="C14366">
        <v>102</v>
      </c>
      <c r="D14366">
        <v>1</v>
      </c>
    </row>
    <row r="14368" spans="2:4">
      <c r="B14368">
        <v>1</v>
      </c>
      <c r="C14368">
        <v>102</v>
      </c>
      <c r="D14368">
        <v>1</v>
      </c>
    </row>
    <row r="14371" spans="2:4">
      <c r="B14371">
        <v>1</v>
      </c>
      <c r="C14371">
        <v>102</v>
      </c>
      <c r="D14371">
        <v>1</v>
      </c>
    </row>
    <row r="14372" spans="2:4">
      <c r="B14372">
        <v>1</v>
      </c>
      <c r="C14372">
        <v>102</v>
      </c>
      <c r="D14372">
        <v>1</v>
      </c>
    </row>
    <row r="14374" spans="2:4">
      <c r="B14374">
        <v>1</v>
      </c>
      <c r="C14374">
        <v>102</v>
      </c>
      <c r="D14374">
        <v>1</v>
      </c>
    </row>
    <row r="14375" spans="2:4">
      <c r="B14375">
        <v>1</v>
      </c>
      <c r="C14375">
        <v>102</v>
      </c>
      <c r="D14375">
        <v>1</v>
      </c>
    </row>
    <row r="14378" spans="2:4">
      <c r="B14378">
        <v>1</v>
      </c>
      <c r="C14378">
        <v>102</v>
      </c>
      <c r="D14378">
        <v>1</v>
      </c>
    </row>
    <row r="14389" spans="2:4">
      <c r="B14389">
        <v>1</v>
      </c>
      <c r="C14389">
        <v>102</v>
      </c>
      <c r="D14389">
        <v>1</v>
      </c>
    </row>
    <row r="14391" spans="2:4">
      <c r="B14391">
        <v>1</v>
      </c>
      <c r="C14391">
        <v>102</v>
      </c>
      <c r="D14391">
        <v>1</v>
      </c>
    </row>
    <row r="14393" spans="2:4">
      <c r="B14393">
        <v>1</v>
      </c>
      <c r="C14393">
        <v>102</v>
      </c>
      <c r="D14393">
        <v>1</v>
      </c>
    </row>
    <row r="14395" spans="2:4">
      <c r="B14395">
        <v>1</v>
      </c>
      <c r="C14395">
        <v>102</v>
      </c>
      <c r="D14395">
        <v>1</v>
      </c>
    </row>
    <row r="14402" spans="2:4">
      <c r="B14402">
        <v>1</v>
      </c>
      <c r="C14402">
        <v>102</v>
      </c>
      <c r="D14402">
        <v>1</v>
      </c>
    </row>
    <row r="14407" spans="2:4">
      <c r="B14407">
        <v>1</v>
      </c>
      <c r="C14407">
        <v>102</v>
      </c>
      <c r="D14407">
        <v>1</v>
      </c>
    </row>
    <row r="14408" spans="2:4">
      <c r="B14408">
        <v>1</v>
      </c>
      <c r="C14408">
        <v>102</v>
      </c>
      <c r="D14408">
        <v>1</v>
      </c>
    </row>
    <row r="14414" spans="2:4">
      <c r="B14414">
        <v>1</v>
      </c>
      <c r="C14414">
        <v>102</v>
      </c>
      <c r="D14414">
        <v>1</v>
      </c>
    </row>
    <row r="14421" spans="2:4">
      <c r="B14421">
        <v>1</v>
      </c>
      <c r="C14421">
        <v>102</v>
      </c>
      <c r="D14421">
        <v>1</v>
      </c>
    </row>
    <row r="14422" spans="2:4">
      <c r="B14422">
        <v>1</v>
      </c>
      <c r="C14422">
        <v>102</v>
      </c>
      <c r="D14422">
        <v>1</v>
      </c>
    </row>
    <row r="14425" spans="2:4">
      <c r="B14425">
        <v>1</v>
      </c>
      <c r="C14425">
        <v>102</v>
      </c>
      <c r="D14425">
        <v>1</v>
      </c>
    </row>
    <row r="14426" spans="2:4">
      <c r="B14426">
        <v>1</v>
      </c>
      <c r="C14426">
        <v>102</v>
      </c>
      <c r="D14426">
        <v>1</v>
      </c>
    </row>
    <row r="14430" spans="2:4">
      <c r="B14430">
        <v>1</v>
      </c>
      <c r="C14430">
        <v>102</v>
      </c>
      <c r="D14430">
        <v>1</v>
      </c>
    </row>
    <row r="14432" spans="2:4">
      <c r="B14432">
        <v>1</v>
      </c>
      <c r="C14432">
        <v>102</v>
      </c>
      <c r="D14432">
        <v>1</v>
      </c>
    </row>
    <row r="14436" spans="2:4">
      <c r="B14436">
        <v>1</v>
      </c>
      <c r="C14436">
        <v>102</v>
      </c>
      <c r="D14436">
        <v>1</v>
      </c>
    </row>
    <row r="14439" spans="2:4">
      <c r="B14439">
        <v>1</v>
      </c>
      <c r="C14439">
        <v>102</v>
      </c>
      <c r="D14439">
        <v>1</v>
      </c>
    </row>
    <row r="14444" spans="2:4">
      <c r="B14444">
        <v>1</v>
      </c>
      <c r="C14444">
        <v>102</v>
      </c>
      <c r="D14444">
        <v>1</v>
      </c>
    </row>
    <row r="14445" spans="2:4">
      <c r="B14445">
        <v>1</v>
      </c>
      <c r="C14445">
        <v>102</v>
      </c>
      <c r="D14445">
        <v>1</v>
      </c>
    </row>
    <row r="14448" spans="2:4">
      <c r="B14448">
        <v>1</v>
      </c>
      <c r="C14448">
        <v>102</v>
      </c>
      <c r="D14448">
        <v>1</v>
      </c>
    </row>
    <row r="14450" spans="2:4">
      <c r="B14450">
        <v>1</v>
      </c>
      <c r="C14450">
        <v>102</v>
      </c>
      <c r="D14450">
        <v>1</v>
      </c>
    </row>
    <row r="14452" spans="2:4">
      <c r="B14452">
        <v>1</v>
      </c>
      <c r="C14452">
        <v>102</v>
      </c>
      <c r="D14452">
        <v>1</v>
      </c>
    </row>
    <row r="14457" spans="2:4">
      <c r="B14457">
        <v>1</v>
      </c>
      <c r="C14457">
        <v>102</v>
      </c>
      <c r="D14457">
        <v>1</v>
      </c>
    </row>
    <row r="14460" spans="2:4">
      <c r="B14460">
        <v>1</v>
      </c>
      <c r="C14460">
        <v>102</v>
      </c>
      <c r="D14460">
        <v>1</v>
      </c>
    </row>
    <row r="14463" spans="2:4">
      <c r="B14463">
        <v>1</v>
      </c>
      <c r="C14463">
        <v>102</v>
      </c>
      <c r="D14463">
        <v>1</v>
      </c>
    </row>
    <row r="14464" spans="2:4">
      <c r="B14464">
        <v>1</v>
      </c>
      <c r="C14464">
        <v>102</v>
      </c>
      <c r="D14464">
        <v>1</v>
      </c>
    </row>
    <row r="14465" spans="2:4">
      <c r="B14465">
        <v>1</v>
      </c>
      <c r="C14465">
        <v>102</v>
      </c>
      <c r="D14465">
        <v>1</v>
      </c>
    </row>
    <row r="14469" spans="2:4">
      <c r="B14469">
        <v>1</v>
      </c>
      <c r="C14469">
        <v>102</v>
      </c>
      <c r="D14469">
        <v>1</v>
      </c>
    </row>
    <row r="14470" spans="2:4">
      <c r="B14470">
        <v>1</v>
      </c>
      <c r="C14470">
        <v>102</v>
      </c>
      <c r="D14470">
        <v>1</v>
      </c>
    </row>
    <row r="14472" spans="2:4">
      <c r="B14472">
        <v>1</v>
      </c>
      <c r="C14472">
        <v>102</v>
      </c>
      <c r="D14472">
        <v>1</v>
      </c>
    </row>
    <row r="14474" spans="2:4">
      <c r="B14474">
        <v>1</v>
      </c>
      <c r="C14474">
        <v>102</v>
      </c>
      <c r="D14474">
        <v>1</v>
      </c>
    </row>
    <row r="14477" spans="2:4">
      <c r="B14477">
        <v>1</v>
      </c>
      <c r="C14477">
        <v>102</v>
      </c>
      <c r="D14477">
        <v>1</v>
      </c>
    </row>
    <row r="14479" spans="2:4">
      <c r="B14479">
        <v>1</v>
      </c>
      <c r="C14479">
        <v>102</v>
      </c>
      <c r="D14479">
        <v>1</v>
      </c>
    </row>
    <row r="14488" spans="2:4">
      <c r="B14488">
        <v>1</v>
      </c>
      <c r="C14488">
        <v>102</v>
      </c>
      <c r="D14488">
        <v>1</v>
      </c>
    </row>
    <row r="14490" spans="2:4">
      <c r="B14490">
        <v>1</v>
      </c>
      <c r="C14490">
        <v>102</v>
      </c>
      <c r="D14490">
        <v>1</v>
      </c>
    </row>
    <row r="14495" spans="2:4">
      <c r="B14495">
        <v>1</v>
      </c>
      <c r="C14495">
        <v>102</v>
      </c>
      <c r="D14495">
        <v>1</v>
      </c>
    </row>
    <row r="14497" spans="2:4">
      <c r="B14497">
        <v>1</v>
      </c>
      <c r="C14497">
        <v>102</v>
      </c>
      <c r="D14497">
        <v>1</v>
      </c>
    </row>
    <row r="14501" spans="2:4">
      <c r="B14501">
        <v>1</v>
      </c>
      <c r="C14501">
        <v>102</v>
      </c>
      <c r="D14501">
        <v>1</v>
      </c>
    </row>
    <row r="14505" spans="2:4">
      <c r="B14505">
        <v>1</v>
      </c>
      <c r="C14505">
        <v>102</v>
      </c>
      <c r="D14505">
        <v>1</v>
      </c>
    </row>
    <row r="14509" spans="2:4">
      <c r="B14509">
        <v>1</v>
      </c>
      <c r="C14509">
        <v>102</v>
      </c>
      <c r="D14509">
        <v>1</v>
      </c>
    </row>
    <row r="14511" spans="2:4">
      <c r="B14511">
        <v>1</v>
      </c>
      <c r="C14511">
        <v>102</v>
      </c>
      <c r="D14511">
        <v>1</v>
      </c>
    </row>
    <row r="14518" spans="2:4">
      <c r="B14518">
        <v>1</v>
      </c>
      <c r="C14518">
        <v>102</v>
      </c>
      <c r="D14518">
        <v>1</v>
      </c>
    </row>
    <row r="14522" spans="2:4">
      <c r="B14522">
        <v>1</v>
      </c>
      <c r="C14522">
        <v>102</v>
      </c>
      <c r="D14522">
        <v>1</v>
      </c>
    </row>
    <row r="14526" spans="2:4">
      <c r="B14526">
        <v>1</v>
      </c>
      <c r="C14526">
        <v>102</v>
      </c>
      <c r="D14526">
        <v>1</v>
      </c>
    </row>
    <row r="14528" spans="2:4">
      <c r="B14528">
        <v>1</v>
      </c>
      <c r="C14528">
        <v>102</v>
      </c>
      <c r="D14528">
        <v>1</v>
      </c>
    </row>
    <row r="14532" spans="2:4">
      <c r="B14532">
        <v>1</v>
      </c>
      <c r="C14532">
        <v>102</v>
      </c>
      <c r="D14532">
        <v>1</v>
      </c>
    </row>
    <row r="14533" spans="2:4">
      <c r="B14533">
        <v>1</v>
      </c>
      <c r="C14533">
        <v>102</v>
      </c>
      <c r="D14533">
        <v>1</v>
      </c>
    </row>
    <row r="14537" spans="2:4">
      <c r="B14537">
        <v>1</v>
      </c>
      <c r="C14537">
        <v>102</v>
      </c>
      <c r="D14537">
        <v>1</v>
      </c>
    </row>
    <row r="14540" spans="2:4">
      <c r="B14540">
        <v>1</v>
      </c>
      <c r="C14540">
        <v>102</v>
      </c>
      <c r="D14540">
        <v>1</v>
      </c>
    </row>
    <row r="14543" spans="2:4">
      <c r="B14543">
        <v>1</v>
      </c>
      <c r="C14543">
        <v>102</v>
      </c>
      <c r="D14543">
        <v>1</v>
      </c>
    </row>
    <row r="14545" spans="2:4">
      <c r="B14545">
        <v>1</v>
      </c>
      <c r="C14545">
        <v>102</v>
      </c>
      <c r="D14545">
        <v>1</v>
      </c>
    </row>
    <row r="14546" spans="2:4">
      <c r="B14546">
        <v>1</v>
      </c>
      <c r="C14546">
        <v>102</v>
      </c>
      <c r="D14546">
        <v>1</v>
      </c>
    </row>
    <row r="14547" spans="2:4">
      <c r="B14547">
        <v>1</v>
      </c>
      <c r="C14547">
        <v>102</v>
      </c>
      <c r="D14547">
        <v>1</v>
      </c>
    </row>
    <row r="14548" spans="2:4">
      <c r="B14548">
        <v>1</v>
      </c>
      <c r="C14548">
        <v>102</v>
      </c>
      <c r="D14548">
        <v>1</v>
      </c>
    </row>
    <row r="14556" spans="2:4">
      <c r="B14556">
        <v>1</v>
      </c>
      <c r="C14556">
        <v>102</v>
      </c>
      <c r="D14556">
        <v>1</v>
      </c>
    </row>
    <row r="14557" spans="2:4">
      <c r="B14557">
        <v>1</v>
      </c>
      <c r="C14557">
        <v>102</v>
      </c>
      <c r="D14557">
        <v>1</v>
      </c>
    </row>
    <row r="14562" spans="2:4">
      <c r="B14562">
        <v>1</v>
      </c>
      <c r="C14562">
        <v>102</v>
      </c>
      <c r="D14562">
        <v>1</v>
      </c>
    </row>
    <row r="14565" spans="2:4">
      <c r="B14565">
        <v>1</v>
      </c>
      <c r="C14565">
        <v>102</v>
      </c>
      <c r="D14565">
        <v>1</v>
      </c>
    </row>
    <row r="14568" spans="2:4">
      <c r="B14568">
        <v>1</v>
      </c>
      <c r="C14568">
        <v>102</v>
      </c>
      <c r="D14568">
        <v>1</v>
      </c>
    </row>
    <row r="14571" spans="2:4">
      <c r="B14571">
        <v>1</v>
      </c>
      <c r="C14571">
        <v>102</v>
      </c>
      <c r="D14571">
        <v>1</v>
      </c>
    </row>
    <row r="14574" spans="2:4">
      <c r="B14574">
        <v>1</v>
      </c>
      <c r="C14574">
        <v>102</v>
      </c>
      <c r="D14574">
        <v>1</v>
      </c>
    </row>
    <row r="14577" spans="2:4">
      <c r="B14577">
        <v>1</v>
      </c>
      <c r="C14577">
        <v>102</v>
      </c>
      <c r="D14577">
        <v>1</v>
      </c>
    </row>
    <row r="14579" spans="2:4">
      <c r="B14579">
        <v>1</v>
      </c>
      <c r="C14579">
        <v>102</v>
      </c>
      <c r="D14579">
        <v>1</v>
      </c>
    </row>
    <row r="14582" spans="2:4">
      <c r="B14582">
        <v>1</v>
      </c>
      <c r="C14582">
        <v>102</v>
      </c>
      <c r="D14582">
        <v>1</v>
      </c>
    </row>
    <row r="14584" spans="2:4">
      <c r="B14584">
        <v>1</v>
      </c>
      <c r="C14584">
        <v>102</v>
      </c>
      <c r="D14584">
        <v>1</v>
      </c>
    </row>
    <row r="14586" spans="2:4">
      <c r="B14586">
        <v>1</v>
      </c>
      <c r="C14586">
        <v>102</v>
      </c>
      <c r="D14586">
        <v>1</v>
      </c>
    </row>
    <row r="14587" spans="2:4">
      <c r="B14587">
        <v>1</v>
      </c>
      <c r="C14587">
        <v>102</v>
      </c>
      <c r="D14587">
        <v>1</v>
      </c>
    </row>
    <row r="14589" spans="2:4">
      <c r="B14589">
        <v>1</v>
      </c>
      <c r="C14589">
        <v>102</v>
      </c>
      <c r="D14589">
        <v>1</v>
      </c>
    </row>
    <row r="14595" spans="2:4">
      <c r="B14595">
        <v>1</v>
      </c>
      <c r="C14595">
        <v>102</v>
      </c>
      <c r="D14595">
        <v>1</v>
      </c>
    </row>
    <row r="14599" spans="2:4">
      <c r="B14599">
        <v>1</v>
      </c>
      <c r="C14599">
        <v>102</v>
      </c>
      <c r="D14599">
        <v>1</v>
      </c>
    </row>
    <row r="14603" spans="2:4">
      <c r="B14603">
        <v>1</v>
      </c>
      <c r="C14603">
        <v>102</v>
      </c>
      <c r="D14603">
        <v>1</v>
      </c>
    </row>
    <row r="14608" spans="2:4">
      <c r="B14608">
        <v>1</v>
      </c>
      <c r="C14608">
        <v>102</v>
      </c>
      <c r="D14608">
        <v>1</v>
      </c>
    </row>
    <row r="14611" spans="2:4">
      <c r="B14611">
        <v>1</v>
      </c>
      <c r="C14611">
        <v>102</v>
      </c>
      <c r="D14611">
        <v>1</v>
      </c>
    </row>
    <row r="14614" spans="2:4">
      <c r="B14614">
        <v>1</v>
      </c>
      <c r="C14614">
        <v>102</v>
      </c>
      <c r="D14614">
        <v>1</v>
      </c>
    </row>
    <row r="14615" spans="2:4">
      <c r="B14615">
        <v>1</v>
      </c>
      <c r="C14615">
        <v>102</v>
      </c>
      <c r="D14615">
        <v>1</v>
      </c>
    </row>
    <row r="14617" spans="2:4">
      <c r="B14617">
        <v>1</v>
      </c>
      <c r="C14617">
        <v>102</v>
      </c>
      <c r="D14617">
        <v>1</v>
      </c>
    </row>
    <row r="14619" spans="2:4">
      <c r="B14619">
        <v>1</v>
      </c>
      <c r="C14619">
        <v>102</v>
      </c>
      <c r="D14619">
        <v>1</v>
      </c>
    </row>
    <row r="14620" spans="2:4">
      <c r="B14620">
        <v>1</v>
      </c>
      <c r="C14620">
        <v>102</v>
      </c>
      <c r="D14620">
        <v>1</v>
      </c>
    </row>
    <row r="14622" spans="2:4">
      <c r="B14622">
        <v>1</v>
      </c>
      <c r="C14622">
        <v>102</v>
      </c>
      <c r="D14622">
        <v>1</v>
      </c>
    </row>
    <row r="14624" spans="2:4">
      <c r="B14624">
        <v>1</v>
      </c>
      <c r="C14624">
        <v>102</v>
      </c>
      <c r="D14624">
        <v>1</v>
      </c>
    </row>
    <row r="14627" spans="2:4">
      <c r="B14627">
        <v>1</v>
      </c>
      <c r="C14627">
        <v>102</v>
      </c>
      <c r="D14627">
        <v>1</v>
      </c>
    </row>
    <row r="14628" spans="2:4">
      <c r="B14628">
        <v>1</v>
      </c>
      <c r="C14628">
        <v>102</v>
      </c>
      <c r="D14628">
        <v>1</v>
      </c>
    </row>
    <row r="14630" spans="2:4">
      <c r="B14630">
        <v>1</v>
      </c>
      <c r="C14630">
        <v>102</v>
      </c>
      <c r="D14630">
        <v>1</v>
      </c>
    </row>
    <row r="14631" spans="2:4">
      <c r="B14631">
        <v>1</v>
      </c>
      <c r="C14631">
        <v>102</v>
      </c>
      <c r="D14631">
        <v>1</v>
      </c>
    </row>
    <row r="14634" spans="2:4">
      <c r="B14634">
        <v>1</v>
      </c>
      <c r="C14634">
        <v>102</v>
      </c>
      <c r="D14634">
        <v>1</v>
      </c>
    </row>
    <row r="14645" spans="2:4">
      <c r="B14645">
        <v>1</v>
      </c>
      <c r="C14645">
        <v>102</v>
      </c>
      <c r="D14645">
        <v>1</v>
      </c>
    </row>
    <row r="14647" spans="2:4">
      <c r="B14647">
        <v>1</v>
      </c>
      <c r="C14647">
        <v>102</v>
      </c>
      <c r="D14647">
        <v>1</v>
      </c>
    </row>
    <row r="14649" spans="2:4">
      <c r="B14649">
        <v>1</v>
      </c>
      <c r="C14649">
        <v>102</v>
      </c>
      <c r="D14649">
        <v>1</v>
      </c>
    </row>
    <row r="14651" spans="2:4">
      <c r="B14651">
        <v>1</v>
      </c>
      <c r="C14651">
        <v>102</v>
      </c>
      <c r="D14651">
        <v>1</v>
      </c>
    </row>
    <row r="14658" spans="2:4">
      <c r="B14658">
        <v>1</v>
      </c>
      <c r="C14658">
        <v>102</v>
      </c>
      <c r="D14658">
        <v>1</v>
      </c>
    </row>
    <row r="14663" spans="2:4">
      <c r="B14663">
        <v>1</v>
      </c>
      <c r="C14663">
        <v>102</v>
      </c>
      <c r="D14663">
        <v>1</v>
      </c>
    </row>
    <row r="14664" spans="2:4">
      <c r="B14664">
        <v>1</v>
      </c>
      <c r="C14664">
        <v>102</v>
      </c>
      <c r="D14664">
        <v>1</v>
      </c>
    </row>
    <row r="14670" spans="2:4">
      <c r="B14670">
        <v>1</v>
      </c>
      <c r="C14670">
        <v>102</v>
      </c>
      <c r="D14670">
        <v>1</v>
      </c>
    </row>
    <row r="14677" spans="2:4">
      <c r="B14677">
        <v>1</v>
      </c>
      <c r="C14677">
        <v>102</v>
      </c>
      <c r="D14677">
        <v>1</v>
      </c>
    </row>
    <row r="14678" spans="2:4">
      <c r="B14678">
        <v>1</v>
      </c>
      <c r="C14678">
        <v>102</v>
      </c>
      <c r="D14678">
        <v>1</v>
      </c>
    </row>
    <row r="14681" spans="2:4">
      <c r="B14681">
        <v>1</v>
      </c>
      <c r="C14681">
        <v>102</v>
      </c>
      <c r="D14681">
        <v>1</v>
      </c>
    </row>
    <row r="14682" spans="2:4">
      <c r="B14682">
        <v>1</v>
      </c>
      <c r="C14682">
        <v>102</v>
      </c>
      <c r="D14682">
        <v>1</v>
      </c>
    </row>
    <row r="14686" spans="2:4">
      <c r="B14686">
        <v>1</v>
      </c>
      <c r="C14686">
        <v>102</v>
      </c>
      <c r="D14686">
        <v>1</v>
      </c>
    </row>
    <row r="14688" spans="2:4">
      <c r="B14688">
        <v>1</v>
      </c>
      <c r="C14688">
        <v>102</v>
      </c>
      <c r="D14688">
        <v>1</v>
      </c>
    </row>
    <row r="14692" spans="2:4">
      <c r="B14692">
        <v>1</v>
      </c>
      <c r="C14692">
        <v>102</v>
      </c>
      <c r="D14692">
        <v>1</v>
      </c>
    </row>
    <row r="14695" spans="2:4">
      <c r="B14695">
        <v>1</v>
      </c>
      <c r="C14695">
        <v>102</v>
      </c>
      <c r="D14695">
        <v>1</v>
      </c>
    </row>
    <row r="14700" spans="2:4">
      <c r="B14700">
        <v>1</v>
      </c>
      <c r="C14700">
        <v>102</v>
      </c>
      <c r="D14700">
        <v>1</v>
      </c>
    </row>
    <row r="14701" spans="2:4">
      <c r="B14701">
        <v>1</v>
      </c>
      <c r="C14701">
        <v>102</v>
      </c>
      <c r="D14701">
        <v>1</v>
      </c>
    </row>
    <row r="14704" spans="2:4">
      <c r="B14704">
        <v>1</v>
      </c>
      <c r="C14704">
        <v>102</v>
      </c>
      <c r="D14704">
        <v>1</v>
      </c>
    </row>
    <row r="14706" spans="2:4">
      <c r="B14706">
        <v>1</v>
      </c>
      <c r="C14706">
        <v>102</v>
      </c>
      <c r="D14706">
        <v>1</v>
      </c>
    </row>
    <row r="14708" spans="2:4">
      <c r="B14708">
        <v>1</v>
      </c>
      <c r="C14708">
        <v>102</v>
      </c>
      <c r="D14708">
        <v>1</v>
      </c>
    </row>
    <row r="14713" spans="2:4">
      <c r="B14713">
        <v>1</v>
      </c>
      <c r="C14713">
        <v>102</v>
      </c>
      <c r="D14713">
        <v>1</v>
      </c>
    </row>
    <row r="14716" spans="2:4">
      <c r="B14716">
        <v>1</v>
      </c>
      <c r="C14716">
        <v>102</v>
      </c>
      <c r="D14716">
        <v>1</v>
      </c>
    </row>
    <row r="14719" spans="2:4">
      <c r="B14719">
        <v>1</v>
      </c>
      <c r="C14719">
        <v>102</v>
      </c>
      <c r="D14719">
        <v>1</v>
      </c>
    </row>
    <row r="14720" spans="2:4">
      <c r="B14720">
        <v>1</v>
      </c>
      <c r="C14720">
        <v>102</v>
      </c>
      <c r="D14720">
        <v>1</v>
      </c>
    </row>
    <row r="14721" spans="2:4">
      <c r="B14721">
        <v>1</v>
      </c>
      <c r="C14721">
        <v>102</v>
      </c>
      <c r="D14721">
        <v>1</v>
      </c>
    </row>
    <row r="14725" spans="2:4">
      <c r="B14725">
        <v>1</v>
      </c>
      <c r="C14725">
        <v>102</v>
      </c>
      <c r="D14725">
        <v>1</v>
      </c>
    </row>
    <row r="14726" spans="2:4">
      <c r="B14726">
        <v>1</v>
      </c>
      <c r="C14726">
        <v>102</v>
      </c>
      <c r="D14726">
        <v>1</v>
      </c>
    </row>
    <row r="14728" spans="2:4">
      <c r="B14728">
        <v>1</v>
      </c>
      <c r="C14728">
        <v>102</v>
      </c>
      <c r="D14728">
        <v>1</v>
      </c>
    </row>
    <row r="14730" spans="2:4">
      <c r="B14730">
        <v>1</v>
      </c>
      <c r="C14730">
        <v>102</v>
      </c>
      <c r="D14730">
        <v>1</v>
      </c>
    </row>
    <row r="14733" spans="2:4">
      <c r="B14733">
        <v>1</v>
      </c>
      <c r="C14733">
        <v>102</v>
      </c>
      <c r="D14733">
        <v>1</v>
      </c>
    </row>
    <row r="14735" spans="2:4">
      <c r="B14735">
        <v>1</v>
      </c>
      <c r="C14735">
        <v>102</v>
      </c>
      <c r="D14735">
        <v>1</v>
      </c>
    </row>
    <row r="14744" spans="2:4">
      <c r="B14744">
        <v>1</v>
      </c>
      <c r="C14744">
        <v>102</v>
      </c>
      <c r="D14744">
        <v>1</v>
      </c>
    </row>
    <row r="14746" spans="2:4">
      <c r="B14746">
        <v>1</v>
      </c>
      <c r="C14746">
        <v>102</v>
      </c>
      <c r="D14746">
        <v>1</v>
      </c>
    </row>
    <row r="14751" spans="2:4">
      <c r="B14751">
        <v>1</v>
      </c>
      <c r="C14751">
        <v>102</v>
      </c>
      <c r="D14751">
        <v>1</v>
      </c>
    </row>
    <row r="14753" spans="2:4">
      <c r="B14753">
        <v>1</v>
      </c>
      <c r="C14753">
        <v>102</v>
      </c>
      <c r="D14753">
        <v>1</v>
      </c>
    </row>
    <row r="14757" spans="2:4">
      <c r="B14757">
        <v>1</v>
      </c>
      <c r="C14757">
        <v>102</v>
      </c>
      <c r="D14757">
        <v>1</v>
      </c>
    </row>
    <row r="14761" spans="2:4">
      <c r="B14761">
        <v>1</v>
      </c>
      <c r="C14761">
        <v>102</v>
      </c>
      <c r="D14761">
        <v>1</v>
      </c>
    </row>
    <row r="14765" spans="2:4">
      <c r="B14765">
        <v>1</v>
      </c>
      <c r="C14765">
        <v>102</v>
      </c>
      <c r="D14765">
        <v>1</v>
      </c>
    </row>
    <row r="14767" spans="2:4">
      <c r="B14767">
        <v>1</v>
      </c>
      <c r="C14767">
        <v>102</v>
      </c>
      <c r="D14767">
        <v>1</v>
      </c>
    </row>
    <row r="14774" spans="2:4">
      <c r="B14774">
        <v>1</v>
      </c>
      <c r="C14774">
        <v>102</v>
      </c>
      <c r="D14774">
        <v>1</v>
      </c>
    </row>
    <row r="14778" spans="2:4">
      <c r="B14778">
        <v>1</v>
      </c>
      <c r="C14778">
        <v>102</v>
      </c>
      <c r="D14778">
        <v>1</v>
      </c>
    </row>
    <row r="14782" spans="2:4">
      <c r="B14782">
        <v>1</v>
      </c>
      <c r="C14782">
        <v>102</v>
      </c>
      <c r="D14782">
        <v>1</v>
      </c>
    </row>
    <row r="14784" spans="2:4">
      <c r="B14784">
        <v>1</v>
      </c>
      <c r="C14784">
        <v>102</v>
      </c>
      <c r="D14784">
        <v>1</v>
      </c>
    </row>
    <row r="14788" spans="2:4">
      <c r="B14788">
        <v>1</v>
      </c>
      <c r="C14788">
        <v>102</v>
      </c>
      <c r="D14788">
        <v>1</v>
      </c>
    </row>
    <row r="14789" spans="2:4">
      <c r="B14789">
        <v>1</v>
      </c>
      <c r="C14789">
        <v>102</v>
      </c>
      <c r="D14789">
        <v>1</v>
      </c>
    </row>
    <row r="14793" spans="2:4">
      <c r="B14793">
        <v>1</v>
      </c>
      <c r="C14793">
        <v>102</v>
      </c>
      <c r="D14793">
        <v>1</v>
      </c>
    </row>
    <row r="14796" spans="2:4">
      <c r="B14796">
        <v>1</v>
      </c>
      <c r="C14796">
        <v>102</v>
      </c>
      <c r="D14796">
        <v>1</v>
      </c>
    </row>
    <row r="14799" spans="2:4">
      <c r="B14799">
        <v>1</v>
      </c>
      <c r="C14799">
        <v>102</v>
      </c>
      <c r="D14799">
        <v>1</v>
      </c>
    </row>
    <row r="14801" spans="2:4">
      <c r="B14801">
        <v>1</v>
      </c>
      <c r="C14801">
        <v>102</v>
      </c>
      <c r="D14801">
        <v>1</v>
      </c>
    </row>
    <row r="14802" spans="2:4">
      <c r="B14802">
        <v>1</v>
      </c>
      <c r="C14802">
        <v>102</v>
      </c>
      <c r="D14802">
        <v>1</v>
      </c>
    </row>
    <row r="14803" spans="2:4">
      <c r="B14803">
        <v>1</v>
      </c>
      <c r="C14803">
        <v>102</v>
      </c>
      <c r="D14803">
        <v>1</v>
      </c>
    </row>
    <row r="14804" spans="2:4">
      <c r="B14804">
        <v>1</v>
      </c>
      <c r="C14804">
        <v>102</v>
      </c>
      <c r="D14804">
        <v>1</v>
      </c>
    </row>
    <row r="14812" spans="2:4">
      <c r="B14812">
        <v>1</v>
      </c>
      <c r="C14812">
        <v>102</v>
      </c>
      <c r="D14812">
        <v>1</v>
      </c>
    </row>
    <row r="14813" spans="2:4">
      <c r="B14813">
        <v>1</v>
      </c>
      <c r="C14813">
        <v>102</v>
      </c>
      <c r="D14813">
        <v>1</v>
      </c>
    </row>
    <row r="14818" spans="2:4">
      <c r="B14818">
        <v>1</v>
      </c>
      <c r="C14818">
        <v>102</v>
      </c>
      <c r="D14818">
        <v>1</v>
      </c>
    </row>
    <row r="14820" spans="2:4">
      <c r="B14820">
        <v>1</v>
      </c>
      <c r="C14820">
        <v>102</v>
      </c>
      <c r="D14820">
        <v>1</v>
      </c>
    </row>
    <row r="14822" spans="2:4">
      <c r="B14822">
        <v>1</v>
      </c>
      <c r="C14822">
        <v>102</v>
      </c>
      <c r="D14822">
        <v>1</v>
      </c>
    </row>
    <row r="14823" spans="2:4">
      <c r="B14823">
        <v>1</v>
      </c>
      <c r="C14823">
        <v>102</v>
      </c>
      <c r="D14823">
        <v>1</v>
      </c>
    </row>
    <row r="14826" spans="2:4">
      <c r="B14826">
        <v>1</v>
      </c>
      <c r="C14826">
        <v>102</v>
      </c>
      <c r="D14826">
        <v>1</v>
      </c>
    </row>
    <row r="14828" spans="2:4">
      <c r="B14828">
        <v>1</v>
      </c>
      <c r="C14828">
        <v>102</v>
      </c>
      <c r="D14828">
        <v>1</v>
      </c>
    </row>
    <row r="14833" spans="2:4">
      <c r="B14833">
        <v>1</v>
      </c>
      <c r="C14833">
        <v>102</v>
      </c>
      <c r="D14833">
        <v>1</v>
      </c>
    </row>
    <row r="14835" spans="2:4">
      <c r="B14835">
        <v>1</v>
      </c>
      <c r="C14835">
        <v>102</v>
      </c>
      <c r="D14835">
        <v>1</v>
      </c>
    </row>
    <row r="14836" spans="2:4">
      <c r="B14836">
        <v>1</v>
      </c>
      <c r="C14836">
        <v>102</v>
      </c>
      <c r="D14836">
        <v>1</v>
      </c>
    </row>
    <row r="14837" spans="2:4">
      <c r="B14837">
        <v>1</v>
      </c>
      <c r="C14837">
        <v>102</v>
      </c>
      <c r="D14837">
        <v>1</v>
      </c>
    </row>
    <row r="14839" spans="2:4">
      <c r="B14839">
        <v>1</v>
      </c>
      <c r="C14839">
        <v>102</v>
      </c>
      <c r="D14839">
        <v>1</v>
      </c>
    </row>
    <row r="14840" spans="2:4">
      <c r="B14840">
        <v>1</v>
      </c>
      <c r="C14840">
        <v>102</v>
      </c>
      <c r="D14840">
        <v>1</v>
      </c>
    </row>
    <row r="14841" spans="2:4">
      <c r="B14841">
        <v>1</v>
      </c>
      <c r="C14841">
        <v>102</v>
      </c>
      <c r="D14841">
        <v>1</v>
      </c>
    </row>
    <row r="14850" spans="2:4">
      <c r="B14850">
        <v>1</v>
      </c>
      <c r="C14850">
        <v>102</v>
      </c>
      <c r="D14850">
        <v>1</v>
      </c>
    </row>
    <row r="14855" spans="2:4">
      <c r="B14855">
        <v>1</v>
      </c>
      <c r="C14855">
        <v>102</v>
      </c>
      <c r="D14855">
        <v>1</v>
      </c>
    </row>
    <row r="14856" spans="2:4">
      <c r="B14856">
        <v>1</v>
      </c>
      <c r="C14856">
        <v>102</v>
      </c>
      <c r="D14856">
        <v>1</v>
      </c>
    </row>
    <row r="14862" spans="2:4">
      <c r="B14862">
        <v>1</v>
      </c>
      <c r="C14862">
        <v>102</v>
      </c>
      <c r="D14862">
        <v>1</v>
      </c>
    </row>
    <row r="14869" spans="2:4">
      <c r="B14869">
        <v>1</v>
      </c>
      <c r="C14869">
        <v>102</v>
      </c>
      <c r="D14869">
        <v>1</v>
      </c>
    </row>
    <row r="14870" spans="2:4">
      <c r="B14870">
        <v>1</v>
      </c>
      <c r="C14870">
        <v>102</v>
      </c>
      <c r="D14870">
        <v>1</v>
      </c>
    </row>
    <row r="14872" spans="2:4">
      <c r="B14872">
        <v>1</v>
      </c>
      <c r="C14872">
        <v>102</v>
      </c>
      <c r="D14872">
        <v>1</v>
      </c>
    </row>
    <row r="14873" spans="2:4">
      <c r="B14873">
        <v>1</v>
      </c>
      <c r="C14873">
        <v>102</v>
      </c>
      <c r="D14873">
        <v>1</v>
      </c>
    </row>
    <row r="14874" spans="2:4">
      <c r="B14874">
        <v>1</v>
      </c>
      <c r="C14874">
        <v>102</v>
      </c>
      <c r="D14874">
        <v>1</v>
      </c>
    </row>
    <row r="14879" spans="2:4">
      <c r="B14879">
        <v>1</v>
      </c>
      <c r="C14879">
        <v>102</v>
      </c>
      <c r="D14879">
        <v>1</v>
      </c>
    </row>
    <row r="14880" spans="2:4">
      <c r="B14880">
        <v>1</v>
      </c>
      <c r="C14880">
        <v>102</v>
      </c>
      <c r="D14880">
        <v>1</v>
      </c>
    </row>
    <row r="14881" spans="2:4">
      <c r="B14881">
        <v>1</v>
      </c>
      <c r="C14881">
        <v>102</v>
      </c>
      <c r="D14881">
        <v>1</v>
      </c>
    </row>
    <row r="14892" spans="2:4">
      <c r="B14892">
        <v>1</v>
      </c>
      <c r="C14892">
        <v>102</v>
      </c>
      <c r="D14892">
        <v>1</v>
      </c>
    </row>
    <row r="14893" spans="2:4">
      <c r="B14893">
        <v>1</v>
      </c>
      <c r="C14893">
        <v>102</v>
      </c>
      <c r="D14893">
        <v>1</v>
      </c>
    </row>
    <row r="14896" spans="2:4">
      <c r="B14896">
        <v>1</v>
      </c>
      <c r="C14896">
        <v>102</v>
      </c>
      <c r="D14896">
        <v>1</v>
      </c>
    </row>
    <row r="14898" spans="2:4">
      <c r="B14898">
        <v>1</v>
      </c>
      <c r="C14898">
        <v>102</v>
      </c>
      <c r="D14898">
        <v>1</v>
      </c>
    </row>
    <row r="14900" spans="2:4">
      <c r="B14900">
        <v>1</v>
      </c>
      <c r="C14900">
        <v>102</v>
      </c>
      <c r="D14900">
        <v>1</v>
      </c>
    </row>
    <row r="14908" spans="2:4">
      <c r="B14908">
        <v>1</v>
      </c>
      <c r="C14908">
        <v>102</v>
      </c>
      <c r="D14908">
        <v>1</v>
      </c>
    </row>
    <row r="14911" spans="2:4">
      <c r="B14911">
        <v>1</v>
      </c>
      <c r="C14911">
        <v>102</v>
      </c>
      <c r="D14911">
        <v>1</v>
      </c>
    </row>
    <row r="14913" spans="2:4">
      <c r="B14913">
        <v>1</v>
      </c>
      <c r="C14913">
        <v>102</v>
      </c>
      <c r="D14913">
        <v>1</v>
      </c>
    </row>
    <row r="14918" spans="2:4">
      <c r="B14918">
        <v>1</v>
      </c>
      <c r="C14918">
        <v>102</v>
      </c>
      <c r="D14918">
        <v>1</v>
      </c>
    </row>
    <row r="14921" spans="2:4">
      <c r="B14921">
        <v>1</v>
      </c>
      <c r="C14921">
        <v>102</v>
      </c>
      <c r="D14921">
        <v>1</v>
      </c>
    </row>
    <row r="14922" spans="2:4">
      <c r="B14922">
        <v>1</v>
      </c>
      <c r="C14922">
        <v>102</v>
      </c>
      <c r="D14922">
        <v>1</v>
      </c>
    </row>
    <row r="14925" spans="2:4">
      <c r="B14925">
        <v>1</v>
      </c>
      <c r="C14925">
        <v>102</v>
      </c>
      <c r="D14925">
        <v>1</v>
      </c>
    </row>
    <row r="14927" spans="2:4">
      <c r="B14927">
        <v>1</v>
      </c>
      <c r="C14927">
        <v>102</v>
      </c>
      <c r="D14927">
        <v>1</v>
      </c>
    </row>
    <row r="14936" spans="2:4">
      <c r="B14936">
        <v>1</v>
      </c>
      <c r="C14936">
        <v>102</v>
      </c>
      <c r="D14936">
        <v>1</v>
      </c>
    </row>
    <row r="14943" spans="2:4">
      <c r="B14943">
        <v>1</v>
      </c>
      <c r="C14943">
        <v>102</v>
      </c>
      <c r="D14943">
        <v>1</v>
      </c>
    </row>
    <row r="14945" spans="2:4">
      <c r="B14945">
        <v>1</v>
      </c>
      <c r="C14945">
        <v>102</v>
      </c>
      <c r="D14945">
        <v>1</v>
      </c>
    </row>
    <row r="14946" spans="2:4">
      <c r="B14946">
        <v>1</v>
      </c>
      <c r="C14946">
        <v>102</v>
      </c>
      <c r="D14946">
        <v>1</v>
      </c>
    </row>
    <row r="14953" spans="2:4">
      <c r="B14953">
        <v>1</v>
      </c>
      <c r="C14953">
        <v>102</v>
      </c>
      <c r="D14953">
        <v>1</v>
      </c>
    </row>
    <row r="14958" spans="2:4">
      <c r="B14958">
        <v>1</v>
      </c>
      <c r="C14958">
        <v>102</v>
      </c>
      <c r="D14958">
        <v>1</v>
      </c>
    </row>
    <row r="14959" spans="2:4">
      <c r="B14959">
        <v>1</v>
      </c>
      <c r="C14959">
        <v>102</v>
      </c>
      <c r="D14959">
        <v>1</v>
      </c>
    </row>
    <row r="14962" spans="2:4">
      <c r="B14962">
        <v>1</v>
      </c>
      <c r="C14962">
        <v>102</v>
      </c>
      <c r="D14962">
        <v>1</v>
      </c>
    </row>
    <row r="14966" spans="2:4">
      <c r="B14966">
        <v>1</v>
      </c>
      <c r="C14966">
        <v>102</v>
      </c>
      <c r="D14966">
        <v>1</v>
      </c>
    </row>
    <row r="14972" spans="2:4">
      <c r="B14972">
        <v>1</v>
      </c>
      <c r="C14972">
        <v>102</v>
      </c>
      <c r="D14972">
        <v>1</v>
      </c>
    </row>
    <row r="14973" spans="2:4">
      <c r="B14973">
        <v>1</v>
      </c>
      <c r="C14973">
        <v>102</v>
      </c>
      <c r="D14973">
        <v>1</v>
      </c>
    </row>
    <row r="14974" spans="2:4">
      <c r="B14974">
        <v>1</v>
      </c>
      <c r="C14974">
        <v>102</v>
      </c>
      <c r="D14974">
        <v>1</v>
      </c>
    </row>
    <row r="14975" spans="2:4">
      <c r="B14975">
        <v>1</v>
      </c>
      <c r="C14975">
        <v>102</v>
      </c>
      <c r="D14975">
        <v>1</v>
      </c>
    </row>
    <row r="14976" spans="2:4">
      <c r="B14976">
        <v>1</v>
      </c>
      <c r="C14976">
        <v>102</v>
      </c>
      <c r="D14976">
        <v>1</v>
      </c>
    </row>
    <row r="14980" spans="2:4">
      <c r="B14980">
        <v>1</v>
      </c>
      <c r="C14980">
        <v>102</v>
      </c>
      <c r="D14980">
        <v>1</v>
      </c>
    </row>
    <row r="14981" spans="2:4">
      <c r="B14981">
        <v>1</v>
      </c>
      <c r="C14981">
        <v>102</v>
      </c>
      <c r="D14981">
        <v>1</v>
      </c>
    </row>
    <row r="14985" spans="2:4">
      <c r="B14985">
        <v>1</v>
      </c>
      <c r="C14985">
        <v>102</v>
      </c>
      <c r="D14985">
        <v>1</v>
      </c>
    </row>
    <row r="14987" spans="2:4">
      <c r="B14987">
        <v>1</v>
      </c>
      <c r="C14987">
        <v>102</v>
      </c>
      <c r="D14987">
        <v>1</v>
      </c>
    </row>
    <row r="14988" spans="2:4">
      <c r="B14988">
        <v>1</v>
      </c>
      <c r="C14988">
        <v>102</v>
      </c>
      <c r="D14988">
        <v>1</v>
      </c>
    </row>
    <row r="14992" spans="2:4">
      <c r="B14992">
        <v>1</v>
      </c>
      <c r="C14992">
        <v>102</v>
      </c>
      <c r="D14992">
        <v>1</v>
      </c>
    </row>
    <row r="14993" spans="2:4">
      <c r="B14993">
        <v>1</v>
      </c>
      <c r="C14993">
        <v>102</v>
      </c>
      <c r="D14993">
        <v>1</v>
      </c>
    </row>
    <row r="14994" spans="2:4">
      <c r="B14994">
        <v>1</v>
      </c>
      <c r="C14994">
        <v>102</v>
      </c>
      <c r="D14994">
        <v>1</v>
      </c>
    </row>
    <row r="14996" spans="2:4">
      <c r="B14996">
        <v>1</v>
      </c>
      <c r="C14996">
        <v>102</v>
      </c>
      <c r="D14996">
        <v>1</v>
      </c>
    </row>
    <row r="15005" spans="2:4">
      <c r="B15005">
        <v>1</v>
      </c>
      <c r="C15005">
        <v>102</v>
      </c>
      <c r="D15005">
        <v>1</v>
      </c>
    </row>
    <row r="15010" spans="2:4">
      <c r="B15010">
        <v>1</v>
      </c>
      <c r="C15010">
        <v>102</v>
      </c>
      <c r="D15010">
        <v>1</v>
      </c>
    </row>
    <row r="15011" spans="2:4">
      <c r="B15011">
        <v>1</v>
      </c>
      <c r="C15011">
        <v>102</v>
      </c>
      <c r="D15011">
        <v>1</v>
      </c>
    </row>
    <row r="15013" spans="2:4">
      <c r="B15013">
        <v>1</v>
      </c>
      <c r="C15013">
        <v>102</v>
      </c>
      <c r="D15013">
        <v>1</v>
      </c>
    </row>
    <row r="15014" spans="2:4">
      <c r="B15014">
        <v>1</v>
      </c>
      <c r="C15014">
        <v>102</v>
      </c>
      <c r="D15014">
        <v>1</v>
      </c>
    </row>
    <row r="15016" spans="2:4">
      <c r="B15016">
        <v>1</v>
      </c>
      <c r="C15016">
        <v>102</v>
      </c>
      <c r="D15016">
        <v>1</v>
      </c>
    </row>
    <row r="15018" spans="2:4">
      <c r="B15018">
        <v>1</v>
      </c>
      <c r="C15018">
        <v>102</v>
      </c>
      <c r="D15018">
        <v>1</v>
      </c>
    </row>
    <row r="15019" spans="2:4">
      <c r="B15019">
        <v>1</v>
      </c>
      <c r="C15019">
        <v>102</v>
      </c>
      <c r="D15019">
        <v>1</v>
      </c>
    </row>
    <row r="15022" spans="2:4">
      <c r="B15022">
        <v>1</v>
      </c>
      <c r="C15022">
        <v>102</v>
      </c>
      <c r="D15022">
        <v>1</v>
      </c>
    </row>
    <row r="15025" spans="2:4">
      <c r="B15025">
        <v>1</v>
      </c>
      <c r="C15025">
        <v>102</v>
      </c>
      <c r="D15025">
        <v>1</v>
      </c>
    </row>
    <row r="15027" spans="2:4">
      <c r="B15027">
        <v>1</v>
      </c>
      <c r="C15027">
        <v>102</v>
      </c>
      <c r="D15027">
        <v>1</v>
      </c>
    </row>
    <row r="15030" spans="2:4">
      <c r="B15030">
        <v>1</v>
      </c>
      <c r="C15030">
        <v>102</v>
      </c>
      <c r="D15030">
        <v>1</v>
      </c>
    </row>
    <row r="15031" spans="2:4">
      <c r="B15031">
        <v>1</v>
      </c>
      <c r="C15031">
        <v>102</v>
      </c>
      <c r="D15031">
        <v>1</v>
      </c>
    </row>
    <row r="15032" spans="2:4">
      <c r="B15032">
        <v>1</v>
      </c>
      <c r="C15032">
        <v>102</v>
      </c>
      <c r="D15032">
        <v>1</v>
      </c>
    </row>
    <row r="15034" spans="2:4">
      <c r="B15034">
        <v>1</v>
      </c>
      <c r="C15034">
        <v>102</v>
      </c>
      <c r="D15034">
        <v>1</v>
      </c>
    </row>
    <row r="15035" spans="2:4">
      <c r="B15035">
        <v>1</v>
      </c>
      <c r="C15035">
        <v>102</v>
      </c>
      <c r="D15035">
        <v>1</v>
      </c>
    </row>
    <row r="15037" spans="2:4">
      <c r="B15037">
        <v>1</v>
      </c>
      <c r="C15037">
        <v>102</v>
      </c>
      <c r="D15037">
        <v>1</v>
      </c>
    </row>
    <row r="15043" spans="2:4">
      <c r="B15043">
        <v>1</v>
      </c>
      <c r="C15043">
        <v>102</v>
      </c>
      <c r="D15043">
        <v>1</v>
      </c>
    </row>
    <row r="15051" spans="2:4">
      <c r="B15051">
        <v>1</v>
      </c>
      <c r="C15051">
        <v>102</v>
      </c>
      <c r="D15051">
        <v>1</v>
      </c>
    </row>
    <row r="15056" spans="2:4">
      <c r="B15056">
        <v>1</v>
      </c>
      <c r="C15056">
        <v>102</v>
      </c>
      <c r="D15056">
        <v>1</v>
      </c>
    </row>
    <row r="15057" spans="2:4">
      <c r="B15057">
        <v>1</v>
      </c>
      <c r="C15057">
        <v>102</v>
      </c>
      <c r="D15057">
        <v>1</v>
      </c>
    </row>
    <row r="15058" spans="2:4">
      <c r="B15058">
        <v>1</v>
      </c>
      <c r="C15058">
        <v>102</v>
      </c>
      <c r="D15058">
        <v>1</v>
      </c>
    </row>
    <row r="15059" spans="2:4">
      <c r="B15059">
        <v>1</v>
      </c>
      <c r="C15059">
        <v>102</v>
      </c>
      <c r="D15059">
        <v>1</v>
      </c>
    </row>
    <row r="15061" spans="2:4">
      <c r="B15061">
        <v>1</v>
      </c>
      <c r="C15061">
        <v>102</v>
      </c>
      <c r="D15061">
        <v>1</v>
      </c>
    </row>
    <row r="15063" spans="2:4">
      <c r="B15063">
        <v>1</v>
      </c>
      <c r="C15063">
        <v>102</v>
      </c>
      <c r="D15063">
        <v>1</v>
      </c>
    </row>
    <row r="15067" spans="2:4">
      <c r="B15067">
        <v>1</v>
      </c>
      <c r="C15067">
        <v>102</v>
      </c>
      <c r="D15067">
        <v>1</v>
      </c>
    </row>
    <row r="15068" spans="2:4">
      <c r="B15068">
        <v>1</v>
      </c>
      <c r="C15068">
        <v>102</v>
      </c>
      <c r="D15068">
        <v>1</v>
      </c>
    </row>
    <row r="15069" spans="2:4">
      <c r="B15069">
        <v>1</v>
      </c>
      <c r="C15069">
        <v>102</v>
      </c>
      <c r="D15069">
        <v>1</v>
      </c>
    </row>
    <row r="15070" spans="2:4">
      <c r="B15070">
        <v>1</v>
      </c>
      <c r="C15070">
        <v>102</v>
      </c>
      <c r="D15070">
        <v>1</v>
      </c>
    </row>
    <row r="15075" spans="2:4">
      <c r="B15075">
        <v>1</v>
      </c>
      <c r="C15075">
        <v>102</v>
      </c>
      <c r="D15075">
        <v>1</v>
      </c>
    </row>
    <row r="15076" spans="2:4">
      <c r="B15076">
        <v>1</v>
      </c>
      <c r="C15076">
        <v>102</v>
      </c>
      <c r="D15076">
        <v>1</v>
      </c>
    </row>
    <row r="15078" spans="2:4">
      <c r="B15078">
        <v>1</v>
      </c>
      <c r="C15078">
        <v>102</v>
      </c>
      <c r="D15078">
        <v>1</v>
      </c>
    </row>
    <row r="15079" spans="2:4">
      <c r="B15079">
        <v>1</v>
      </c>
      <c r="C15079">
        <v>102</v>
      </c>
      <c r="D15079">
        <v>1</v>
      </c>
    </row>
    <row r="15082" spans="2:4">
      <c r="B15082">
        <v>1</v>
      </c>
      <c r="C15082">
        <v>102</v>
      </c>
      <c r="D15082">
        <v>1</v>
      </c>
    </row>
    <row r="15084" spans="2:4">
      <c r="B15084">
        <v>1</v>
      </c>
      <c r="C15084">
        <v>102</v>
      </c>
      <c r="D15084">
        <v>1</v>
      </c>
    </row>
    <row r="15089" spans="2:4">
      <c r="B15089">
        <v>1</v>
      </c>
      <c r="C15089">
        <v>102</v>
      </c>
      <c r="D15089">
        <v>1</v>
      </c>
    </row>
    <row r="15091" spans="2:4">
      <c r="B15091">
        <v>1</v>
      </c>
      <c r="C15091">
        <v>102</v>
      </c>
      <c r="D15091">
        <v>1</v>
      </c>
    </row>
    <row r="15092" spans="2:4">
      <c r="B15092">
        <v>1</v>
      </c>
      <c r="C15092">
        <v>102</v>
      </c>
      <c r="D15092">
        <v>1</v>
      </c>
    </row>
    <row r="15093" spans="2:4">
      <c r="B15093">
        <v>1</v>
      </c>
      <c r="C15093">
        <v>102</v>
      </c>
      <c r="D15093">
        <v>1</v>
      </c>
    </row>
    <row r="15095" spans="2:4">
      <c r="B15095">
        <v>1</v>
      </c>
      <c r="C15095">
        <v>102</v>
      </c>
      <c r="D15095">
        <v>1</v>
      </c>
    </row>
    <row r="15096" spans="2:4">
      <c r="B15096">
        <v>1</v>
      </c>
      <c r="C15096">
        <v>102</v>
      </c>
      <c r="D15096">
        <v>1</v>
      </c>
    </row>
    <row r="15097" spans="2:4">
      <c r="B15097">
        <v>1</v>
      </c>
      <c r="C15097">
        <v>102</v>
      </c>
      <c r="D15097">
        <v>1</v>
      </c>
    </row>
    <row r="15106" spans="2:4">
      <c r="B15106">
        <v>1</v>
      </c>
      <c r="C15106">
        <v>102</v>
      </c>
      <c r="D15106">
        <v>1</v>
      </c>
    </row>
    <row r="15111" spans="2:4">
      <c r="B15111">
        <v>1</v>
      </c>
      <c r="C15111">
        <v>102</v>
      </c>
      <c r="D15111">
        <v>1</v>
      </c>
    </row>
    <row r="15112" spans="2:4">
      <c r="B15112">
        <v>1</v>
      </c>
      <c r="C15112">
        <v>102</v>
      </c>
      <c r="D15112">
        <v>1</v>
      </c>
    </row>
    <row r="15118" spans="2:4">
      <c r="B15118">
        <v>1</v>
      </c>
      <c r="C15118">
        <v>102</v>
      </c>
      <c r="D15118">
        <v>1</v>
      </c>
    </row>
    <row r="15125" spans="2:4">
      <c r="B15125">
        <v>1</v>
      </c>
      <c r="C15125">
        <v>102</v>
      </c>
      <c r="D15125">
        <v>1</v>
      </c>
    </row>
    <row r="15126" spans="2:4">
      <c r="B15126">
        <v>1</v>
      </c>
      <c r="C15126">
        <v>102</v>
      </c>
      <c r="D15126">
        <v>1</v>
      </c>
    </row>
    <row r="15128" spans="2:4">
      <c r="B15128">
        <v>1</v>
      </c>
      <c r="C15128">
        <v>102</v>
      </c>
      <c r="D15128">
        <v>1</v>
      </c>
    </row>
    <row r="15129" spans="2:4">
      <c r="B15129">
        <v>1</v>
      </c>
      <c r="C15129">
        <v>102</v>
      </c>
      <c r="D15129">
        <v>1</v>
      </c>
    </row>
    <row r="15130" spans="2:4">
      <c r="B15130">
        <v>1</v>
      </c>
      <c r="C15130">
        <v>102</v>
      </c>
      <c r="D15130">
        <v>1</v>
      </c>
    </row>
    <row r="15135" spans="2:4">
      <c r="B15135">
        <v>1</v>
      </c>
      <c r="C15135">
        <v>102</v>
      </c>
      <c r="D15135">
        <v>1</v>
      </c>
    </row>
    <row r="15136" spans="2:4">
      <c r="B15136">
        <v>1</v>
      </c>
      <c r="C15136">
        <v>102</v>
      </c>
      <c r="D15136">
        <v>1</v>
      </c>
    </row>
    <row r="15137" spans="2:4">
      <c r="B15137">
        <v>1</v>
      </c>
      <c r="C15137">
        <v>102</v>
      </c>
      <c r="D15137">
        <v>1</v>
      </c>
    </row>
    <row r="15148" spans="2:4">
      <c r="B15148">
        <v>1</v>
      </c>
      <c r="C15148">
        <v>102</v>
      </c>
      <c r="D15148">
        <v>1</v>
      </c>
    </row>
    <row r="15149" spans="2:4">
      <c r="B15149">
        <v>1</v>
      </c>
      <c r="C15149">
        <v>102</v>
      </c>
      <c r="D15149">
        <v>1</v>
      </c>
    </row>
    <row r="15152" spans="2:4">
      <c r="B15152">
        <v>1</v>
      </c>
      <c r="C15152">
        <v>102</v>
      </c>
      <c r="D15152">
        <v>1</v>
      </c>
    </row>
    <row r="15154" spans="2:4">
      <c r="B15154">
        <v>1</v>
      </c>
      <c r="C15154">
        <v>102</v>
      </c>
      <c r="D15154">
        <v>1</v>
      </c>
    </row>
    <row r="15156" spans="2:4">
      <c r="B15156">
        <v>1</v>
      </c>
      <c r="C15156">
        <v>102</v>
      </c>
      <c r="D15156">
        <v>1</v>
      </c>
    </row>
    <row r="15164" spans="2:4">
      <c r="B15164">
        <v>1</v>
      </c>
      <c r="C15164">
        <v>102</v>
      </c>
      <c r="D15164">
        <v>1</v>
      </c>
    </row>
    <row r="15167" spans="2:4">
      <c r="B15167">
        <v>1</v>
      </c>
      <c r="C15167">
        <v>102</v>
      </c>
      <c r="D15167">
        <v>1</v>
      </c>
    </row>
    <row r="15169" spans="2:4">
      <c r="B15169">
        <v>1</v>
      </c>
      <c r="C15169">
        <v>102</v>
      </c>
      <c r="D15169">
        <v>1</v>
      </c>
    </row>
    <row r="15174" spans="2:4">
      <c r="B15174">
        <v>1</v>
      </c>
      <c r="C15174">
        <v>102</v>
      </c>
      <c r="D15174">
        <v>1</v>
      </c>
    </row>
    <row r="15177" spans="2:4">
      <c r="B15177">
        <v>1</v>
      </c>
      <c r="C15177">
        <v>102</v>
      </c>
      <c r="D15177">
        <v>1</v>
      </c>
    </row>
    <row r="15178" spans="2:4">
      <c r="B15178">
        <v>1</v>
      </c>
      <c r="C15178">
        <v>102</v>
      </c>
      <c r="D15178">
        <v>1</v>
      </c>
    </row>
    <row r="15181" spans="2:4">
      <c r="B15181">
        <v>1</v>
      </c>
      <c r="C15181">
        <v>102</v>
      </c>
      <c r="D15181">
        <v>1</v>
      </c>
    </row>
    <row r="15183" spans="2:4">
      <c r="B15183">
        <v>1</v>
      </c>
      <c r="C15183">
        <v>102</v>
      </c>
      <c r="D15183">
        <v>1</v>
      </c>
    </row>
    <row r="15192" spans="2:4">
      <c r="B15192">
        <v>1</v>
      </c>
      <c r="C15192">
        <v>102</v>
      </c>
      <c r="D15192">
        <v>1</v>
      </c>
    </row>
    <row r="15199" spans="2:4">
      <c r="B15199">
        <v>1</v>
      </c>
      <c r="C15199">
        <v>102</v>
      </c>
      <c r="D15199">
        <v>1</v>
      </c>
    </row>
    <row r="15201" spans="2:4">
      <c r="B15201">
        <v>1</v>
      </c>
      <c r="C15201">
        <v>102</v>
      </c>
      <c r="D15201">
        <v>1</v>
      </c>
    </row>
    <row r="15202" spans="2:4">
      <c r="B15202">
        <v>1</v>
      </c>
      <c r="C15202">
        <v>102</v>
      </c>
      <c r="D15202">
        <v>1</v>
      </c>
    </row>
    <row r="15209" spans="2:4">
      <c r="B15209">
        <v>1</v>
      </c>
      <c r="C15209">
        <v>102</v>
      </c>
      <c r="D15209">
        <v>1</v>
      </c>
    </row>
    <row r="15214" spans="2:4">
      <c r="B15214">
        <v>1</v>
      </c>
      <c r="C15214">
        <v>102</v>
      </c>
      <c r="D15214">
        <v>1</v>
      </c>
    </row>
    <row r="15215" spans="2:4">
      <c r="B15215">
        <v>1</v>
      </c>
      <c r="C15215">
        <v>102</v>
      </c>
      <c r="D15215">
        <v>1</v>
      </c>
    </row>
    <row r="15218" spans="2:4">
      <c r="B15218">
        <v>1</v>
      </c>
      <c r="C15218">
        <v>102</v>
      </c>
      <c r="D15218">
        <v>1</v>
      </c>
    </row>
    <row r="15222" spans="2:4">
      <c r="B15222">
        <v>1</v>
      </c>
      <c r="C15222">
        <v>102</v>
      </c>
      <c r="D15222">
        <v>1</v>
      </c>
    </row>
    <row r="15228" spans="2:4">
      <c r="B15228">
        <v>1</v>
      </c>
      <c r="C15228">
        <v>102</v>
      </c>
      <c r="D15228">
        <v>1</v>
      </c>
    </row>
    <row r="15229" spans="2:4">
      <c r="B15229">
        <v>1</v>
      </c>
      <c r="C15229">
        <v>102</v>
      </c>
      <c r="D15229">
        <v>1</v>
      </c>
    </row>
    <row r="15230" spans="2:4">
      <c r="B15230">
        <v>1</v>
      </c>
      <c r="C15230">
        <v>102</v>
      </c>
      <c r="D15230">
        <v>1</v>
      </c>
    </row>
    <row r="15231" spans="2:4">
      <c r="B15231">
        <v>1</v>
      </c>
      <c r="C15231">
        <v>102</v>
      </c>
      <c r="D15231">
        <v>1</v>
      </c>
    </row>
    <row r="15232" spans="2:4">
      <c r="B15232">
        <v>1</v>
      </c>
      <c r="C15232">
        <v>102</v>
      </c>
      <c r="D15232">
        <v>1</v>
      </c>
    </row>
    <row r="15236" spans="2:4">
      <c r="B15236">
        <v>1</v>
      </c>
      <c r="C15236">
        <v>102</v>
      </c>
      <c r="D15236">
        <v>1</v>
      </c>
    </row>
    <row r="15237" spans="2:4">
      <c r="B15237">
        <v>1</v>
      </c>
      <c r="C15237">
        <v>102</v>
      </c>
      <c r="D15237">
        <v>1</v>
      </c>
    </row>
    <row r="15241" spans="2:4">
      <c r="B15241">
        <v>1</v>
      </c>
      <c r="C15241">
        <v>102</v>
      </c>
      <c r="D15241">
        <v>1</v>
      </c>
    </row>
    <row r="15243" spans="2:4">
      <c r="B15243">
        <v>1</v>
      </c>
      <c r="C15243">
        <v>102</v>
      </c>
      <c r="D15243">
        <v>1</v>
      </c>
    </row>
    <row r="15244" spans="2:4">
      <c r="B15244">
        <v>1</v>
      </c>
      <c r="C15244">
        <v>102</v>
      </c>
      <c r="D15244">
        <v>1</v>
      </c>
    </row>
    <row r="15248" spans="2:4">
      <c r="B15248">
        <v>1</v>
      </c>
      <c r="C15248">
        <v>102</v>
      </c>
      <c r="D15248">
        <v>1</v>
      </c>
    </row>
    <row r="15249" spans="2:4">
      <c r="B15249">
        <v>1</v>
      </c>
      <c r="C15249">
        <v>102</v>
      </c>
      <c r="D15249">
        <v>1</v>
      </c>
    </row>
    <row r="15250" spans="2:4">
      <c r="B15250">
        <v>1</v>
      </c>
      <c r="C15250">
        <v>102</v>
      </c>
      <c r="D15250">
        <v>1</v>
      </c>
    </row>
    <row r="15252" spans="2:4">
      <c r="B15252">
        <v>1</v>
      </c>
      <c r="C15252">
        <v>102</v>
      </c>
      <c r="D15252">
        <v>1</v>
      </c>
    </row>
    <row r="15261" spans="2:4">
      <c r="B15261">
        <v>1</v>
      </c>
      <c r="C15261">
        <v>102</v>
      </c>
      <c r="D15261">
        <v>1</v>
      </c>
    </row>
    <row r="15266" spans="2:4">
      <c r="B15266">
        <v>1</v>
      </c>
      <c r="C15266">
        <v>102</v>
      </c>
      <c r="D15266">
        <v>1</v>
      </c>
    </row>
    <row r="15267" spans="2:4">
      <c r="B15267">
        <v>1</v>
      </c>
      <c r="C15267">
        <v>102</v>
      </c>
      <c r="D15267">
        <v>1</v>
      </c>
    </row>
    <row r="15269" spans="2:4">
      <c r="B15269">
        <v>1</v>
      </c>
      <c r="C15269">
        <v>102</v>
      </c>
      <c r="D15269">
        <v>1</v>
      </c>
    </row>
    <row r="15270" spans="2:4">
      <c r="B15270">
        <v>1</v>
      </c>
      <c r="C15270">
        <v>102</v>
      </c>
      <c r="D15270">
        <v>1</v>
      </c>
    </row>
    <row r="15272" spans="2:4">
      <c r="B15272">
        <v>1</v>
      </c>
      <c r="C15272">
        <v>102</v>
      </c>
      <c r="D15272">
        <v>1</v>
      </c>
    </row>
    <row r="15274" spans="2:4">
      <c r="B15274">
        <v>1</v>
      </c>
      <c r="C15274">
        <v>102</v>
      </c>
      <c r="D15274">
        <v>1</v>
      </c>
    </row>
    <row r="15275" spans="2:4">
      <c r="B15275">
        <v>1</v>
      </c>
      <c r="C15275">
        <v>102</v>
      </c>
      <c r="D15275">
        <v>1</v>
      </c>
    </row>
    <row r="15278" spans="2:4">
      <c r="B15278">
        <v>1</v>
      </c>
      <c r="C15278">
        <v>102</v>
      </c>
      <c r="D15278">
        <v>1</v>
      </c>
    </row>
    <row r="15281" spans="2:4">
      <c r="B15281">
        <v>1</v>
      </c>
      <c r="C15281">
        <v>102</v>
      </c>
      <c r="D15281">
        <v>1</v>
      </c>
    </row>
    <row r="15283" spans="2:4">
      <c r="B15283">
        <v>1</v>
      </c>
      <c r="C15283">
        <v>102</v>
      </c>
      <c r="D15283">
        <v>1</v>
      </c>
    </row>
    <row r="15286" spans="2:4">
      <c r="B15286">
        <v>1</v>
      </c>
      <c r="C15286">
        <v>102</v>
      </c>
      <c r="D15286">
        <v>1</v>
      </c>
    </row>
    <row r="15287" spans="2:4">
      <c r="B15287">
        <v>1</v>
      </c>
      <c r="C15287">
        <v>102</v>
      </c>
      <c r="D15287">
        <v>1</v>
      </c>
    </row>
    <row r="15288" spans="2:4">
      <c r="B15288">
        <v>1</v>
      </c>
      <c r="C15288">
        <v>102</v>
      </c>
      <c r="D15288">
        <v>1</v>
      </c>
    </row>
    <row r="15290" spans="2:4">
      <c r="B15290">
        <v>1</v>
      </c>
      <c r="C15290">
        <v>102</v>
      </c>
      <c r="D15290">
        <v>1</v>
      </c>
    </row>
    <row r="15291" spans="2:4">
      <c r="B15291">
        <v>1</v>
      </c>
      <c r="C15291">
        <v>102</v>
      </c>
      <c r="D15291">
        <v>1</v>
      </c>
    </row>
    <row r="15293" spans="2:4">
      <c r="B15293">
        <v>1</v>
      </c>
      <c r="C15293">
        <v>102</v>
      </c>
      <c r="D15293">
        <v>1</v>
      </c>
    </row>
    <row r="15299" spans="2:4">
      <c r="B15299">
        <v>1</v>
      </c>
      <c r="C15299">
        <v>102</v>
      </c>
      <c r="D15299">
        <v>1</v>
      </c>
    </row>
    <row r="15307" spans="2:4">
      <c r="B15307">
        <v>1</v>
      </c>
      <c r="C15307">
        <v>102</v>
      </c>
      <c r="D15307">
        <v>1</v>
      </c>
    </row>
    <row r="15312" spans="2:4">
      <c r="B15312">
        <v>1</v>
      </c>
      <c r="C15312">
        <v>102</v>
      </c>
      <c r="D15312">
        <v>1</v>
      </c>
    </row>
    <row r="15313" spans="2:4">
      <c r="B15313">
        <v>1</v>
      </c>
      <c r="C15313">
        <v>102</v>
      </c>
      <c r="D15313">
        <v>1</v>
      </c>
    </row>
    <row r="15314" spans="2:4">
      <c r="B15314">
        <v>1</v>
      </c>
      <c r="C15314">
        <v>102</v>
      </c>
      <c r="D15314">
        <v>1</v>
      </c>
    </row>
    <row r="15315" spans="2:4">
      <c r="B15315">
        <v>1</v>
      </c>
      <c r="C15315">
        <v>102</v>
      </c>
      <c r="D15315">
        <v>1</v>
      </c>
    </row>
    <row r="15317" spans="2:4">
      <c r="B15317">
        <v>1</v>
      </c>
      <c r="C15317">
        <v>102</v>
      </c>
      <c r="D15317">
        <v>1</v>
      </c>
    </row>
    <row r="15319" spans="2:4">
      <c r="B15319">
        <v>1</v>
      </c>
      <c r="C15319">
        <v>102</v>
      </c>
      <c r="D15319">
        <v>1</v>
      </c>
    </row>
    <row r="15323" spans="2:4">
      <c r="B15323">
        <v>1</v>
      </c>
      <c r="C15323">
        <v>102</v>
      </c>
      <c r="D15323">
        <v>1</v>
      </c>
    </row>
    <row r="15324" spans="2:4">
      <c r="B15324">
        <v>1</v>
      </c>
      <c r="C15324">
        <v>102</v>
      </c>
      <c r="D15324">
        <v>1</v>
      </c>
    </row>
    <row r="15325" spans="2:4">
      <c r="B15325">
        <v>1</v>
      </c>
      <c r="C15325">
        <v>102</v>
      </c>
      <c r="D15325">
        <v>1</v>
      </c>
    </row>
    <row r="15326" spans="2:4">
      <c r="B15326">
        <v>1</v>
      </c>
      <c r="C15326">
        <v>102</v>
      </c>
      <c r="D15326">
        <v>1</v>
      </c>
    </row>
    <row r="15331" spans="2:4">
      <c r="B15331">
        <v>1</v>
      </c>
      <c r="C15331">
        <v>102</v>
      </c>
      <c r="D15331">
        <v>1</v>
      </c>
    </row>
    <row r="15332" spans="2:4">
      <c r="B15332">
        <v>1</v>
      </c>
      <c r="C15332">
        <v>102</v>
      </c>
      <c r="D15332">
        <v>1</v>
      </c>
    </row>
    <row r="15334" spans="2:4">
      <c r="B15334">
        <v>1</v>
      </c>
      <c r="C15334">
        <v>102</v>
      </c>
      <c r="D15334">
        <v>1</v>
      </c>
    </row>
    <row r="15335" spans="2:4">
      <c r="B15335">
        <v>1</v>
      </c>
      <c r="C15335">
        <v>102</v>
      </c>
      <c r="D15335">
        <v>1</v>
      </c>
    </row>
    <row r="15338" spans="2:4">
      <c r="B15338">
        <v>1</v>
      </c>
      <c r="C15338">
        <v>102</v>
      </c>
      <c r="D15338">
        <v>1</v>
      </c>
    </row>
    <row r="15340" spans="2:4">
      <c r="B15340">
        <v>1</v>
      </c>
      <c r="C15340">
        <v>102</v>
      </c>
      <c r="D15340">
        <v>1</v>
      </c>
    </row>
    <row r="15345" spans="2:4">
      <c r="B15345">
        <v>1</v>
      </c>
      <c r="C15345">
        <v>102</v>
      </c>
      <c r="D15345">
        <v>1</v>
      </c>
    </row>
    <row r="15347" spans="2:4">
      <c r="B15347">
        <v>1</v>
      </c>
      <c r="C15347">
        <v>102</v>
      </c>
      <c r="D15347">
        <v>1</v>
      </c>
    </row>
    <row r="15348" spans="2:4">
      <c r="B15348">
        <v>1</v>
      </c>
      <c r="C15348">
        <v>102</v>
      </c>
      <c r="D15348">
        <v>1</v>
      </c>
    </row>
    <row r="15349" spans="2:4">
      <c r="B15349">
        <v>1</v>
      </c>
      <c r="C15349">
        <v>102</v>
      </c>
      <c r="D15349">
        <v>1</v>
      </c>
    </row>
    <row r="15351" spans="2:4">
      <c r="B15351">
        <v>1</v>
      </c>
      <c r="C15351">
        <v>102</v>
      </c>
      <c r="D15351">
        <v>1</v>
      </c>
    </row>
    <row r="15352" spans="2:4">
      <c r="B15352">
        <v>1</v>
      </c>
      <c r="C15352">
        <v>102</v>
      </c>
      <c r="D15352">
        <v>1</v>
      </c>
    </row>
    <row r="15353" spans="2:4">
      <c r="B15353">
        <v>1</v>
      </c>
      <c r="C15353">
        <v>102</v>
      </c>
      <c r="D15353">
        <v>1</v>
      </c>
    </row>
    <row r="15362" spans="2:4">
      <c r="B15362">
        <v>1</v>
      </c>
      <c r="C15362">
        <v>102</v>
      </c>
      <c r="D15362">
        <v>1</v>
      </c>
    </row>
    <row r="15367" spans="2:4">
      <c r="B15367">
        <v>1</v>
      </c>
      <c r="C15367">
        <v>102</v>
      </c>
      <c r="D15367">
        <v>1</v>
      </c>
    </row>
    <row r="15368" spans="2:4">
      <c r="B15368">
        <v>1</v>
      </c>
      <c r="C15368">
        <v>102</v>
      </c>
      <c r="D15368">
        <v>1</v>
      </c>
    </row>
    <row r="15374" spans="2:4">
      <c r="B15374">
        <v>1</v>
      </c>
      <c r="C15374">
        <v>102</v>
      </c>
      <c r="D15374">
        <v>1</v>
      </c>
    </row>
    <row r="15381" spans="2:4">
      <c r="B15381">
        <v>1</v>
      </c>
      <c r="C15381">
        <v>102</v>
      </c>
      <c r="D15381">
        <v>1</v>
      </c>
    </row>
    <row r="15382" spans="2:4">
      <c r="B15382">
        <v>1</v>
      </c>
      <c r="C15382">
        <v>102</v>
      </c>
      <c r="D15382">
        <v>1</v>
      </c>
    </row>
    <row r="15384" spans="2:4">
      <c r="B15384">
        <v>1</v>
      </c>
      <c r="C15384">
        <v>102</v>
      </c>
      <c r="D15384">
        <v>1</v>
      </c>
    </row>
    <row r="15385" spans="2:4">
      <c r="B15385">
        <v>1</v>
      </c>
      <c r="C15385">
        <v>102</v>
      </c>
      <c r="D15385">
        <v>1</v>
      </c>
    </row>
    <row r="15386" spans="2:4">
      <c r="B15386">
        <v>1</v>
      </c>
      <c r="C15386">
        <v>102</v>
      </c>
      <c r="D15386">
        <v>1</v>
      </c>
    </row>
    <row r="15391" spans="2:4">
      <c r="B15391">
        <v>1</v>
      </c>
      <c r="C15391">
        <v>102</v>
      </c>
      <c r="D15391">
        <v>1</v>
      </c>
    </row>
    <row r="15392" spans="2:4">
      <c r="B15392">
        <v>1</v>
      </c>
      <c r="C15392">
        <v>102</v>
      </c>
      <c r="D15392">
        <v>1</v>
      </c>
    </row>
    <row r="15393" spans="2:4">
      <c r="B15393">
        <v>1</v>
      </c>
      <c r="C15393">
        <v>102</v>
      </c>
      <c r="D15393">
        <v>1</v>
      </c>
    </row>
    <row r="15404" spans="2:4">
      <c r="B15404">
        <v>1</v>
      </c>
      <c r="C15404">
        <v>102</v>
      </c>
      <c r="D15404">
        <v>1</v>
      </c>
    </row>
    <row r="15405" spans="2:4">
      <c r="B15405">
        <v>1</v>
      </c>
      <c r="C15405">
        <v>102</v>
      </c>
      <c r="D15405">
        <v>1</v>
      </c>
    </row>
    <row r="15408" spans="2:4">
      <c r="B15408">
        <v>1</v>
      </c>
      <c r="C15408">
        <v>102</v>
      </c>
      <c r="D15408">
        <v>1</v>
      </c>
    </row>
    <row r="15410" spans="2:4">
      <c r="B15410">
        <v>1</v>
      </c>
      <c r="C15410">
        <v>102</v>
      </c>
      <c r="D15410">
        <v>1</v>
      </c>
    </row>
    <row r="15412" spans="2:4">
      <c r="B15412">
        <v>1</v>
      </c>
      <c r="C15412">
        <v>102</v>
      </c>
      <c r="D15412">
        <v>1</v>
      </c>
    </row>
    <row r="15420" spans="2:4">
      <c r="B15420">
        <v>1</v>
      </c>
      <c r="C15420">
        <v>102</v>
      </c>
      <c r="D15420">
        <v>1</v>
      </c>
    </row>
    <row r="15423" spans="2:4">
      <c r="B15423">
        <v>1</v>
      </c>
      <c r="C15423">
        <v>102</v>
      </c>
      <c r="D15423">
        <v>1</v>
      </c>
    </row>
    <row r="15425" spans="2:4">
      <c r="B15425">
        <v>1</v>
      </c>
      <c r="C15425">
        <v>102</v>
      </c>
      <c r="D15425">
        <v>1</v>
      </c>
    </row>
    <row r="15430" spans="2:4">
      <c r="B15430">
        <v>1</v>
      </c>
      <c r="C15430">
        <v>102</v>
      </c>
      <c r="D15430">
        <v>1</v>
      </c>
    </row>
    <row r="15433" spans="2:4">
      <c r="B15433">
        <v>1</v>
      </c>
      <c r="C15433">
        <v>102</v>
      </c>
      <c r="D15433">
        <v>1</v>
      </c>
    </row>
    <row r="15434" spans="2:4">
      <c r="B15434">
        <v>1</v>
      </c>
      <c r="C15434">
        <v>102</v>
      </c>
      <c r="D15434">
        <v>1</v>
      </c>
    </row>
    <row r="15437" spans="2:4">
      <c r="B15437">
        <v>1</v>
      </c>
      <c r="C15437">
        <v>102</v>
      </c>
      <c r="D15437">
        <v>1</v>
      </c>
    </row>
    <row r="15439" spans="2:4">
      <c r="B15439">
        <v>1</v>
      </c>
      <c r="C15439">
        <v>102</v>
      </c>
      <c r="D15439">
        <v>1</v>
      </c>
    </row>
    <row r="15448" spans="2:4">
      <c r="B15448">
        <v>1</v>
      </c>
      <c r="C15448">
        <v>102</v>
      </c>
      <c r="D15448">
        <v>1</v>
      </c>
    </row>
    <row r="15455" spans="2:4">
      <c r="B15455">
        <v>1</v>
      </c>
      <c r="C15455">
        <v>102</v>
      </c>
      <c r="D15455">
        <v>1</v>
      </c>
    </row>
    <row r="15457" spans="2:4">
      <c r="B15457">
        <v>1</v>
      </c>
      <c r="C15457">
        <v>102</v>
      </c>
      <c r="D15457">
        <v>1</v>
      </c>
    </row>
    <row r="15458" spans="2:4">
      <c r="B15458">
        <v>1</v>
      </c>
      <c r="C15458">
        <v>102</v>
      </c>
      <c r="D15458">
        <v>1</v>
      </c>
    </row>
    <row r="15465" spans="2:4">
      <c r="B15465">
        <v>1</v>
      </c>
      <c r="C15465">
        <v>102</v>
      </c>
      <c r="D15465">
        <v>1</v>
      </c>
    </row>
    <row r="15470" spans="2:4">
      <c r="B15470">
        <v>1</v>
      </c>
      <c r="C15470">
        <v>102</v>
      </c>
      <c r="D15470">
        <v>1</v>
      </c>
    </row>
    <row r="15471" spans="2:4">
      <c r="B15471">
        <v>1</v>
      </c>
      <c r="C15471">
        <v>102</v>
      </c>
      <c r="D15471">
        <v>1</v>
      </c>
    </row>
    <row r="15474" spans="2:4">
      <c r="B15474">
        <v>1</v>
      </c>
      <c r="C15474">
        <v>102</v>
      </c>
      <c r="D15474">
        <v>1</v>
      </c>
    </row>
    <row r="15478" spans="2:4">
      <c r="B15478">
        <v>1</v>
      </c>
      <c r="C15478">
        <v>102</v>
      </c>
      <c r="D15478">
        <v>1</v>
      </c>
    </row>
    <row r="15484" spans="2:4">
      <c r="B15484">
        <v>1</v>
      </c>
      <c r="C15484">
        <v>102</v>
      </c>
      <c r="D15484">
        <v>1</v>
      </c>
    </row>
    <row r="15485" spans="2:4">
      <c r="B15485">
        <v>1</v>
      </c>
      <c r="C15485">
        <v>102</v>
      </c>
      <c r="D15485">
        <v>1</v>
      </c>
    </row>
    <row r="15486" spans="2:4">
      <c r="B15486">
        <v>1</v>
      </c>
      <c r="C15486">
        <v>102</v>
      </c>
      <c r="D15486">
        <v>1</v>
      </c>
    </row>
    <row r="15487" spans="2:4">
      <c r="B15487">
        <v>1</v>
      </c>
      <c r="C15487">
        <v>102</v>
      </c>
      <c r="D15487">
        <v>1</v>
      </c>
    </row>
    <row r="15488" spans="2:4">
      <c r="B15488">
        <v>1</v>
      </c>
      <c r="C15488">
        <v>102</v>
      </c>
      <c r="D15488">
        <v>1</v>
      </c>
    </row>
    <row r="15492" spans="2:4">
      <c r="B15492">
        <v>1</v>
      </c>
      <c r="C15492">
        <v>102</v>
      </c>
      <c r="D15492">
        <v>1</v>
      </c>
    </row>
    <row r="15493" spans="2:4">
      <c r="B15493">
        <v>1</v>
      </c>
      <c r="C15493">
        <v>102</v>
      </c>
      <c r="D15493">
        <v>1</v>
      </c>
    </row>
    <row r="15497" spans="2:4">
      <c r="B15497">
        <v>1</v>
      </c>
      <c r="C15497">
        <v>102</v>
      </c>
      <c r="D15497">
        <v>1</v>
      </c>
    </row>
    <row r="15499" spans="2:4">
      <c r="B15499">
        <v>1</v>
      </c>
      <c r="C15499">
        <v>102</v>
      </c>
      <c r="D15499">
        <v>1</v>
      </c>
    </row>
    <row r="15500" spans="2:4">
      <c r="B15500">
        <v>1</v>
      </c>
      <c r="C15500">
        <v>102</v>
      </c>
      <c r="D15500">
        <v>1</v>
      </c>
    </row>
    <row r="15504" spans="2:4">
      <c r="B15504">
        <v>1</v>
      </c>
      <c r="C15504">
        <v>102</v>
      </c>
      <c r="D15504">
        <v>1</v>
      </c>
    </row>
    <row r="15505" spans="2:4">
      <c r="B15505">
        <v>1</v>
      </c>
      <c r="C15505">
        <v>102</v>
      </c>
      <c r="D15505">
        <v>1</v>
      </c>
    </row>
    <row r="15506" spans="2:4">
      <c r="B15506">
        <v>1</v>
      </c>
      <c r="C15506">
        <v>102</v>
      </c>
      <c r="D15506">
        <v>1</v>
      </c>
    </row>
    <row r="15508" spans="2:4">
      <c r="B15508">
        <v>1</v>
      </c>
      <c r="C15508">
        <v>102</v>
      </c>
      <c r="D15508">
        <v>1</v>
      </c>
    </row>
    <row r="15517" spans="2:4">
      <c r="B15517">
        <v>1</v>
      </c>
      <c r="C15517">
        <v>102</v>
      </c>
      <c r="D15517">
        <v>1</v>
      </c>
    </row>
    <row r="15522" spans="2:4">
      <c r="B15522">
        <v>1</v>
      </c>
      <c r="C15522">
        <v>102</v>
      </c>
      <c r="D15522">
        <v>1</v>
      </c>
    </row>
    <row r="15523" spans="2:4">
      <c r="B15523">
        <v>1</v>
      </c>
      <c r="C15523">
        <v>102</v>
      </c>
      <c r="D15523">
        <v>1</v>
      </c>
    </row>
    <row r="15525" spans="2:4">
      <c r="B15525">
        <v>1</v>
      </c>
      <c r="C15525">
        <v>102</v>
      </c>
      <c r="D15525">
        <v>1</v>
      </c>
    </row>
    <row r="15526" spans="2:4">
      <c r="B15526">
        <v>1</v>
      </c>
      <c r="C15526">
        <v>102</v>
      </c>
      <c r="D15526">
        <v>1</v>
      </c>
    </row>
    <row r="15528" spans="2:4">
      <c r="B15528">
        <v>1</v>
      </c>
      <c r="C15528">
        <v>102</v>
      </c>
      <c r="D15528">
        <v>1</v>
      </c>
    </row>
    <row r="15530" spans="2:4">
      <c r="B15530">
        <v>1</v>
      </c>
      <c r="C15530">
        <v>102</v>
      </c>
      <c r="D15530">
        <v>1</v>
      </c>
    </row>
    <row r="15531" spans="2:4">
      <c r="B15531">
        <v>1</v>
      </c>
      <c r="C15531">
        <v>102</v>
      </c>
      <c r="D15531">
        <v>1</v>
      </c>
    </row>
    <row r="15534" spans="2:4">
      <c r="B15534">
        <v>1</v>
      </c>
      <c r="C15534">
        <v>102</v>
      </c>
      <c r="D15534">
        <v>1</v>
      </c>
    </row>
    <row r="15537" spans="2:4">
      <c r="B15537">
        <v>1</v>
      </c>
      <c r="C15537">
        <v>102</v>
      </c>
      <c r="D15537">
        <v>1</v>
      </c>
    </row>
    <row r="15539" spans="2:4">
      <c r="B15539">
        <v>1</v>
      </c>
      <c r="C15539">
        <v>102</v>
      </c>
      <c r="D15539">
        <v>1</v>
      </c>
    </row>
    <row r="15542" spans="2:4">
      <c r="B15542">
        <v>1</v>
      </c>
      <c r="C15542">
        <v>102</v>
      </c>
      <c r="D15542">
        <v>1</v>
      </c>
    </row>
    <row r="15543" spans="2:4">
      <c r="B15543">
        <v>1</v>
      </c>
      <c r="C15543">
        <v>102</v>
      </c>
      <c r="D15543">
        <v>1</v>
      </c>
    </row>
    <row r="15544" spans="2:4">
      <c r="B15544">
        <v>1</v>
      </c>
      <c r="C15544">
        <v>102</v>
      </c>
      <c r="D15544">
        <v>1</v>
      </c>
    </row>
    <row r="15546" spans="2:4">
      <c r="B15546">
        <v>1</v>
      </c>
      <c r="C15546">
        <v>102</v>
      </c>
      <c r="D15546">
        <v>1</v>
      </c>
    </row>
    <row r="15547" spans="2:4">
      <c r="B15547">
        <v>1</v>
      </c>
      <c r="C15547">
        <v>102</v>
      </c>
      <c r="D15547">
        <v>1</v>
      </c>
    </row>
    <row r="15549" spans="2:4">
      <c r="B15549">
        <v>1</v>
      </c>
      <c r="C15549">
        <v>102</v>
      </c>
      <c r="D15549">
        <v>1</v>
      </c>
    </row>
    <row r="15555" spans="2:4">
      <c r="B15555">
        <v>1</v>
      </c>
      <c r="C15555">
        <v>102</v>
      </c>
      <c r="D15555">
        <v>1</v>
      </c>
    </row>
    <row r="15563" spans="2:4">
      <c r="B15563">
        <v>1</v>
      </c>
      <c r="C15563">
        <v>102</v>
      </c>
      <c r="D15563">
        <v>1</v>
      </c>
    </row>
    <row r="15568" spans="2:4">
      <c r="B15568">
        <v>1</v>
      </c>
      <c r="C15568">
        <v>102</v>
      </c>
      <c r="D15568">
        <v>1</v>
      </c>
    </row>
    <row r="15569" spans="2:4">
      <c r="B15569">
        <v>1</v>
      </c>
      <c r="C15569">
        <v>102</v>
      </c>
      <c r="D15569">
        <v>1</v>
      </c>
    </row>
    <row r="15570" spans="2:4">
      <c r="B15570">
        <v>1</v>
      </c>
      <c r="C15570">
        <v>102</v>
      </c>
      <c r="D15570">
        <v>1</v>
      </c>
    </row>
    <row r="15571" spans="2:4">
      <c r="B15571">
        <v>1</v>
      </c>
      <c r="C15571">
        <v>102</v>
      </c>
      <c r="D15571">
        <v>1</v>
      </c>
    </row>
    <row r="15573" spans="2:4">
      <c r="B15573">
        <v>1</v>
      </c>
      <c r="C15573">
        <v>102</v>
      </c>
      <c r="D15573">
        <v>1</v>
      </c>
    </row>
    <row r="15575" spans="2:4">
      <c r="B15575">
        <v>1</v>
      </c>
      <c r="C15575">
        <v>102</v>
      </c>
      <c r="D15575">
        <v>1</v>
      </c>
    </row>
    <row r="15579" spans="2:4">
      <c r="B15579">
        <v>1</v>
      </c>
      <c r="C15579">
        <v>102</v>
      </c>
      <c r="D15579">
        <v>1</v>
      </c>
    </row>
    <row r="15580" spans="2:4">
      <c r="B15580">
        <v>1</v>
      </c>
      <c r="C15580">
        <v>102</v>
      </c>
      <c r="D15580">
        <v>1</v>
      </c>
    </row>
    <row r="15581" spans="2:4">
      <c r="B15581">
        <v>1</v>
      </c>
      <c r="C15581">
        <v>102</v>
      </c>
      <c r="D15581">
        <v>1</v>
      </c>
    </row>
    <row r="15582" spans="2:4">
      <c r="B15582">
        <v>1</v>
      </c>
      <c r="C15582">
        <v>102</v>
      </c>
      <c r="D15582">
        <v>1</v>
      </c>
    </row>
    <row r="15587" spans="2:4">
      <c r="B15587">
        <v>1</v>
      </c>
      <c r="C15587">
        <v>102</v>
      </c>
      <c r="D15587">
        <v>1</v>
      </c>
    </row>
    <row r="15588" spans="2:4">
      <c r="B15588">
        <v>1</v>
      </c>
      <c r="C15588">
        <v>102</v>
      </c>
      <c r="D15588">
        <v>1</v>
      </c>
    </row>
    <row r="15590" spans="2:4">
      <c r="B15590">
        <v>1</v>
      </c>
      <c r="C15590">
        <v>102</v>
      </c>
      <c r="D15590">
        <v>1</v>
      </c>
    </row>
    <row r="15591" spans="2:4">
      <c r="B15591">
        <v>1</v>
      </c>
      <c r="C15591">
        <v>102</v>
      </c>
      <c r="D15591">
        <v>1</v>
      </c>
    </row>
    <row r="15594" spans="2:4">
      <c r="B15594">
        <v>1</v>
      </c>
      <c r="C15594">
        <v>102</v>
      </c>
      <c r="D15594">
        <v>1</v>
      </c>
    </row>
    <row r="15596" spans="2:4">
      <c r="B15596">
        <v>1</v>
      </c>
      <c r="C15596">
        <v>102</v>
      </c>
      <c r="D15596">
        <v>1</v>
      </c>
    </row>
    <row r="15601" spans="2:4">
      <c r="B15601">
        <v>1</v>
      </c>
      <c r="C15601">
        <v>102</v>
      </c>
      <c r="D15601">
        <v>1</v>
      </c>
    </row>
    <row r="15603" spans="2:4">
      <c r="B15603">
        <v>1</v>
      </c>
      <c r="C15603">
        <v>102</v>
      </c>
      <c r="D15603">
        <v>1</v>
      </c>
    </row>
    <row r="15604" spans="2:4">
      <c r="B15604">
        <v>1</v>
      </c>
      <c r="C15604">
        <v>102</v>
      </c>
      <c r="D15604">
        <v>1</v>
      </c>
    </row>
    <row r="15605" spans="2:4">
      <c r="B15605">
        <v>1</v>
      </c>
      <c r="C15605">
        <v>102</v>
      </c>
      <c r="D15605">
        <v>1</v>
      </c>
    </row>
    <row r="15607" spans="2:4">
      <c r="B15607">
        <v>1</v>
      </c>
      <c r="C15607">
        <v>102</v>
      </c>
      <c r="D15607">
        <v>1</v>
      </c>
    </row>
    <row r="15608" spans="2:4">
      <c r="B15608">
        <v>1</v>
      </c>
      <c r="C15608">
        <v>102</v>
      </c>
      <c r="D15608">
        <v>1</v>
      </c>
    </row>
    <row r="15609" spans="2:4">
      <c r="B15609">
        <v>1</v>
      </c>
      <c r="C15609">
        <v>102</v>
      </c>
      <c r="D15609">
        <v>1</v>
      </c>
    </row>
    <row r="15618" spans="2:4">
      <c r="B15618">
        <v>1</v>
      </c>
      <c r="C15618">
        <v>102</v>
      </c>
      <c r="D15618">
        <v>1</v>
      </c>
    </row>
    <row r="15623" spans="2:4">
      <c r="B15623">
        <v>1</v>
      </c>
      <c r="C15623">
        <v>102</v>
      </c>
      <c r="D15623">
        <v>1</v>
      </c>
    </row>
    <row r="15624" spans="2:4">
      <c r="B15624">
        <v>1</v>
      </c>
      <c r="C15624">
        <v>102</v>
      </c>
      <c r="D15624">
        <v>1</v>
      </c>
    </row>
    <row r="15630" spans="2:4">
      <c r="B15630">
        <v>1</v>
      </c>
      <c r="C15630">
        <v>102</v>
      </c>
      <c r="D15630">
        <v>1</v>
      </c>
    </row>
    <row r="15637" spans="2:4">
      <c r="B15637">
        <v>1</v>
      </c>
      <c r="C15637">
        <v>102</v>
      </c>
      <c r="D15637">
        <v>1</v>
      </c>
    </row>
    <row r="15638" spans="2:4">
      <c r="B15638">
        <v>1</v>
      </c>
      <c r="C15638">
        <v>102</v>
      </c>
      <c r="D15638">
        <v>1</v>
      </c>
    </row>
    <row r="15640" spans="2:4">
      <c r="B15640">
        <v>1</v>
      </c>
      <c r="C15640">
        <v>102</v>
      </c>
      <c r="D15640">
        <v>1</v>
      </c>
    </row>
    <row r="15641" spans="2:4">
      <c r="B15641">
        <v>1</v>
      </c>
      <c r="C15641">
        <v>102</v>
      </c>
      <c r="D15641">
        <v>1</v>
      </c>
    </row>
    <row r="15642" spans="2:4">
      <c r="B15642">
        <v>1</v>
      </c>
      <c r="C15642">
        <v>102</v>
      </c>
      <c r="D15642">
        <v>1</v>
      </c>
    </row>
    <row r="15647" spans="2:4">
      <c r="B15647">
        <v>1</v>
      </c>
      <c r="C15647">
        <v>102</v>
      </c>
      <c r="D15647">
        <v>1</v>
      </c>
    </row>
    <row r="15648" spans="2:4">
      <c r="B15648">
        <v>1</v>
      </c>
      <c r="C15648">
        <v>102</v>
      </c>
      <c r="D15648">
        <v>1</v>
      </c>
    </row>
    <row r="15649" spans="2:4">
      <c r="B15649">
        <v>1</v>
      </c>
      <c r="C15649">
        <v>102</v>
      </c>
      <c r="D15649">
        <v>1</v>
      </c>
    </row>
    <row r="15660" spans="2:4">
      <c r="B15660">
        <v>1</v>
      </c>
      <c r="C15660">
        <v>102</v>
      </c>
      <c r="D15660">
        <v>1</v>
      </c>
    </row>
    <row r="15661" spans="2:4">
      <c r="B15661">
        <v>1</v>
      </c>
      <c r="C15661">
        <v>102</v>
      </c>
      <c r="D15661">
        <v>1</v>
      </c>
    </row>
    <row r="15664" spans="2:4">
      <c r="B15664">
        <v>1</v>
      </c>
      <c r="C15664">
        <v>102</v>
      </c>
      <c r="D15664">
        <v>1</v>
      </c>
    </row>
    <row r="15666" spans="2:4">
      <c r="B15666">
        <v>1</v>
      </c>
      <c r="C15666">
        <v>102</v>
      </c>
      <c r="D15666">
        <v>1</v>
      </c>
    </row>
    <row r="15668" spans="2:4">
      <c r="B15668">
        <v>1</v>
      </c>
      <c r="C15668">
        <v>102</v>
      </c>
      <c r="D15668">
        <v>1</v>
      </c>
    </row>
    <row r="15676" spans="2:4">
      <c r="B15676">
        <v>1</v>
      </c>
      <c r="C15676">
        <v>102</v>
      </c>
      <c r="D15676">
        <v>1</v>
      </c>
    </row>
    <row r="15679" spans="2:4">
      <c r="B15679">
        <v>1</v>
      </c>
      <c r="C15679">
        <v>102</v>
      </c>
      <c r="D15679">
        <v>1</v>
      </c>
    </row>
    <row r="15681" spans="2:4">
      <c r="B15681">
        <v>1</v>
      </c>
      <c r="C15681">
        <v>102</v>
      </c>
      <c r="D15681">
        <v>1</v>
      </c>
    </row>
    <row r="15686" spans="2:4">
      <c r="B15686">
        <v>1</v>
      </c>
      <c r="C15686">
        <v>102</v>
      </c>
      <c r="D15686">
        <v>1</v>
      </c>
    </row>
    <row r="15689" spans="2:4">
      <c r="B15689">
        <v>1</v>
      </c>
      <c r="C15689">
        <v>102</v>
      </c>
      <c r="D15689">
        <v>1</v>
      </c>
    </row>
    <row r="15690" spans="2:4">
      <c r="B15690">
        <v>1</v>
      </c>
      <c r="C15690">
        <v>102</v>
      </c>
      <c r="D15690">
        <v>1</v>
      </c>
    </row>
    <row r="15693" spans="2:4">
      <c r="B15693">
        <v>1</v>
      </c>
      <c r="C15693">
        <v>102</v>
      </c>
      <c r="D15693">
        <v>1</v>
      </c>
    </row>
    <row r="15695" spans="2:4">
      <c r="B15695">
        <v>1</v>
      </c>
      <c r="C15695">
        <v>102</v>
      </c>
      <c r="D15695">
        <v>1</v>
      </c>
    </row>
    <row r="15704" spans="2:4">
      <c r="B15704">
        <v>1</v>
      </c>
      <c r="C15704">
        <v>102</v>
      </c>
      <c r="D15704">
        <v>1</v>
      </c>
    </row>
    <row r="15711" spans="2:4">
      <c r="B15711">
        <v>1</v>
      </c>
      <c r="C15711">
        <v>102</v>
      </c>
      <c r="D15711">
        <v>1</v>
      </c>
    </row>
    <row r="15713" spans="2:4">
      <c r="B15713">
        <v>1</v>
      </c>
      <c r="C15713">
        <v>102</v>
      </c>
      <c r="D15713">
        <v>1</v>
      </c>
    </row>
    <row r="15714" spans="2:4">
      <c r="B15714">
        <v>1</v>
      </c>
      <c r="C15714">
        <v>102</v>
      </c>
      <c r="D15714">
        <v>1</v>
      </c>
    </row>
    <row r="15721" spans="2:4">
      <c r="B15721">
        <v>1</v>
      </c>
      <c r="C15721">
        <v>102</v>
      </c>
      <c r="D15721">
        <v>1</v>
      </c>
    </row>
    <row r="15726" spans="2:4">
      <c r="B15726">
        <v>1</v>
      </c>
      <c r="C15726">
        <v>102</v>
      </c>
      <c r="D15726">
        <v>1</v>
      </c>
    </row>
    <row r="15727" spans="2:4">
      <c r="B15727">
        <v>1</v>
      </c>
      <c r="C15727">
        <v>102</v>
      </c>
      <c r="D15727">
        <v>1</v>
      </c>
    </row>
    <row r="15730" spans="2:4">
      <c r="B15730">
        <v>1</v>
      </c>
      <c r="C15730">
        <v>102</v>
      </c>
      <c r="D15730">
        <v>1</v>
      </c>
    </row>
    <row r="15734" spans="2:4">
      <c r="B15734">
        <v>1</v>
      </c>
      <c r="C15734">
        <v>102</v>
      </c>
      <c r="D15734">
        <v>1</v>
      </c>
    </row>
    <row r="15740" spans="2:4">
      <c r="B15740">
        <v>1</v>
      </c>
      <c r="C15740">
        <v>102</v>
      </c>
      <c r="D15740">
        <v>1</v>
      </c>
    </row>
    <row r="15741" spans="2:4">
      <c r="B15741">
        <v>1</v>
      </c>
      <c r="C15741">
        <v>102</v>
      </c>
      <c r="D15741">
        <v>1</v>
      </c>
    </row>
    <row r="15742" spans="2:4">
      <c r="B15742">
        <v>1</v>
      </c>
      <c r="C15742">
        <v>102</v>
      </c>
      <c r="D15742">
        <v>1</v>
      </c>
    </row>
    <row r="15743" spans="2:4">
      <c r="B15743">
        <v>1</v>
      </c>
      <c r="C15743">
        <v>102</v>
      </c>
      <c r="D15743">
        <v>1</v>
      </c>
    </row>
    <row r="15744" spans="2:4">
      <c r="B15744">
        <v>1</v>
      </c>
      <c r="C15744">
        <v>102</v>
      </c>
      <c r="D15744">
        <v>1</v>
      </c>
    </row>
    <row r="15748" spans="2:4">
      <c r="B15748">
        <v>1</v>
      </c>
      <c r="C15748">
        <v>102</v>
      </c>
      <c r="D15748">
        <v>1</v>
      </c>
    </row>
    <row r="15749" spans="2:4">
      <c r="B15749">
        <v>1</v>
      </c>
      <c r="C15749">
        <v>102</v>
      </c>
      <c r="D15749">
        <v>1</v>
      </c>
    </row>
    <row r="15753" spans="2:4">
      <c r="B15753">
        <v>1</v>
      </c>
      <c r="C15753">
        <v>102</v>
      </c>
      <c r="D15753">
        <v>1</v>
      </c>
    </row>
    <row r="15755" spans="2:4">
      <c r="B15755">
        <v>1</v>
      </c>
      <c r="C15755">
        <v>102</v>
      </c>
      <c r="D15755">
        <v>1</v>
      </c>
    </row>
    <row r="15756" spans="2:4">
      <c r="B15756">
        <v>1</v>
      </c>
      <c r="C15756">
        <v>102</v>
      </c>
      <c r="D15756">
        <v>1</v>
      </c>
    </row>
    <row r="15760" spans="2:4">
      <c r="B15760">
        <v>1</v>
      </c>
      <c r="C15760">
        <v>102</v>
      </c>
      <c r="D15760">
        <v>1</v>
      </c>
    </row>
    <row r="15761" spans="2:4">
      <c r="B15761">
        <v>1</v>
      </c>
      <c r="C15761">
        <v>102</v>
      </c>
      <c r="D15761">
        <v>1</v>
      </c>
    </row>
    <row r="15762" spans="2:4">
      <c r="B15762">
        <v>1</v>
      </c>
      <c r="C15762">
        <v>102</v>
      </c>
      <c r="D15762">
        <v>1</v>
      </c>
    </row>
    <row r="15764" spans="2:4">
      <c r="B15764">
        <v>1</v>
      </c>
      <c r="C15764">
        <v>102</v>
      </c>
      <c r="D15764">
        <v>1</v>
      </c>
    </row>
    <row r="15773" spans="2:4">
      <c r="B15773">
        <v>1</v>
      </c>
      <c r="C15773">
        <v>102</v>
      </c>
      <c r="D15773">
        <v>1</v>
      </c>
    </row>
    <row r="15778" spans="2:4">
      <c r="B15778">
        <v>1</v>
      </c>
      <c r="C15778">
        <v>102</v>
      </c>
      <c r="D15778">
        <v>1</v>
      </c>
    </row>
    <row r="15779" spans="2:4">
      <c r="B15779">
        <v>1</v>
      </c>
      <c r="C15779">
        <v>102</v>
      </c>
      <c r="D15779">
        <v>1</v>
      </c>
    </row>
    <row r="15781" spans="2:4">
      <c r="B15781">
        <v>1</v>
      </c>
      <c r="C15781">
        <v>102</v>
      </c>
      <c r="D15781">
        <v>1</v>
      </c>
    </row>
    <row r="15782" spans="2:4">
      <c r="B15782">
        <v>1</v>
      </c>
      <c r="C15782">
        <v>102</v>
      </c>
      <c r="D15782">
        <v>1</v>
      </c>
    </row>
    <row r="15784" spans="2:4">
      <c r="B15784">
        <v>1</v>
      </c>
      <c r="C15784">
        <v>102</v>
      </c>
      <c r="D15784">
        <v>1</v>
      </c>
    </row>
    <row r="15786" spans="2:4">
      <c r="B15786">
        <v>1</v>
      </c>
      <c r="C15786">
        <v>102</v>
      </c>
      <c r="D15786">
        <v>1</v>
      </c>
    </row>
    <row r="15787" spans="2:4">
      <c r="B15787">
        <v>1</v>
      </c>
      <c r="C15787">
        <v>102</v>
      </c>
      <c r="D15787">
        <v>1</v>
      </c>
    </row>
    <row r="15790" spans="2:4">
      <c r="B15790">
        <v>1</v>
      </c>
      <c r="C15790">
        <v>102</v>
      </c>
      <c r="D15790">
        <v>1</v>
      </c>
    </row>
    <row r="15793" spans="2:4">
      <c r="B15793">
        <v>1</v>
      </c>
      <c r="C15793">
        <v>102</v>
      </c>
      <c r="D15793">
        <v>1</v>
      </c>
    </row>
    <row r="15795" spans="2:4">
      <c r="B15795">
        <v>1</v>
      </c>
      <c r="C15795">
        <v>102</v>
      </c>
      <c r="D15795">
        <v>1</v>
      </c>
    </row>
    <row r="15798" spans="2:4">
      <c r="B15798">
        <v>1</v>
      </c>
      <c r="C15798">
        <v>102</v>
      </c>
      <c r="D15798">
        <v>1</v>
      </c>
    </row>
    <row r="15799" spans="2:4">
      <c r="B15799">
        <v>1</v>
      </c>
      <c r="C15799">
        <v>102</v>
      </c>
      <c r="D15799">
        <v>1</v>
      </c>
    </row>
    <row r="15800" spans="2:4">
      <c r="B15800">
        <v>1</v>
      </c>
      <c r="C15800">
        <v>102</v>
      </c>
      <c r="D15800">
        <v>1</v>
      </c>
    </row>
    <row r="15802" spans="2:4">
      <c r="B15802">
        <v>1</v>
      </c>
      <c r="C15802">
        <v>102</v>
      </c>
      <c r="D15802">
        <v>1</v>
      </c>
    </row>
    <row r="15803" spans="2:4">
      <c r="B15803">
        <v>1</v>
      </c>
      <c r="C15803">
        <v>102</v>
      </c>
      <c r="D15803">
        <v>1</v>
      </c>
    </row>
    <row r="15805" spans="2:4">
      <c r="B15805">
        <v>1</v>
      </c>
      <c r="C15805">
        <v>102</v>
      </c>
      <c r="D15805">
        <v>1</v>
      </c>
    </row>
    <row r="15811" spans="2:4">
      <c r="B15811">
        <v>1</v>
      </c>
      <c r="C15811">
        <v>102</v>
      </c>
      <c r="D15811">
        <v>1</v>
      </c>
    </row>
    <row r="15819" spans="2:4">
      <c r="B15819">
        <v>1</v>
      </c>
      <c r="C15819">
        <v>102</v>
      </c>
      <c r="D15819">
        <v>1</v>
      </c>
    </row>
    <row r="15824" spans="2:4">
      <c r="B15824">
        <v>1</v>
      </c>
      <c r="C15824">
        <v>102</v>
      </c>
      <c r="D15824">
        <v>1</v>
      </c>
    </row>
    <row r="15825" spans="2:4">
      <c r="B15825">
        <v>1</v>
      </c>
      <c r="C15825">
        <v>102</v>
      </c>
      <c r="D15825">
        <v>1</v>
      </c>
    </row>
    <row r="15826" spans="2:4">
      <c r="B15826">
        <v>1</v>
      </c>
      <c r="C15826">
        <v>102</v>
      </c>
      <c r="D15826">
        <v>1</v>
      </c>
    </row>
    <row r="15827" spans="2:4">
      <c r="B15827">
        <v>1</v>
      </c>
      <c r="C15827">
        <v>102</v>
      </c>
      <c r="D15827">
        <v>1</v>
      </c>
    </row>
    <row r="15829" spans="2:4">
      <c r="B15829">
        <v>1</v>
      </c>
      <c r="C15829">
        <v>102</v>
      </c>
      <c r="D15829">
        <v>1</v>
      </c>
    </row>
    <row r="15831" spans="2:4">
      <c r="B15831">
        <v>1</v>
      </c>
      <c r="C15831">
        <v>102</v>
      </c>
      <c r="D15831">
        <v>1</v>
      </c>
    </row>
    <row r="15835" spans="2:4">
      <c r="B15835">
        <v>1</v>
      </c>
      <c r="C15835">
        <v>102</v>
      </c>
      <c r="D15835">
        <v>1</v>
      </c>
    </row>
    <row r="15836" spans="2:4">
      <c r="B15836">
        <v>1</v>
      </c>
      <c r="C15836">
        <v>102</v>
      </c>
      <c r="D15836">
        <v>1</v>
      </c>
    </row>
    <row r="15837" spans="2:4">
      <c r="B15837">
        <v>1</v>
      </c>
      <c r="C15837">
        <v>102</v>
      </c>
      <c r="D15837">
        <v>1</v>
      </c>
    </row>
    <row r="15838" spans="2:4">
      <c r="B15838">
        <v>1</v>
      </c>
      <c r="C15838">
        <v>102</v>
      </c>
      <c r="D15838">
        <v>1</v>
      </c>
    </row>
    <row r="15843" spans="2:4">
      <c r="B15843">
        <v>1</v>
      </c>
      <c r="C15843">
        <v>102</v>
      </c>
      <c r="D15843">
        <v>1</v>
      </c>
    </row>
    <row r="15844" spans="2:4">
      <c r="B15844">
        <v>1</v>
      </c>
      <c r="C15844">
        <v>102</v>
      </c>
      <c r="D15844">
        <v>1</v>
      </c>
    </row>
    <row r="15846" spans="2:4">
      <c r="B15846">
        <v>1</v>
      </c>
      <c r="C15846">
        <v>102</v>
      </c>
      <c r="D15846">
        <v>1</v>
      </c>
    </row>
    <row r="15847" spans="2:4">
      <c r="B15847">
        <v>1</v>
      </c>
      <c r="C15847">
        <v>102</v>
      </c>
      <c r="D15847">
        <v>1</v>
      </c>
    </row>
    <row r="15850" spans="2:4">
      <c r="B15850">
        <v>1</v>
      </c>
      <c r="C15850">
        <v>102</v>
      </c>
      <c r="D15850">
        <v>1</v>
      </c>
    </row>
    <row r="15852" spans="2:4">
      <c r="B15852">
        <v>1</v>
      </c>
      <c r="C15852">
        <v>102</v>
      </c>
      <c r="D15852">
        <v>1</v>
      </c>
    </row>
    <row r="15857" spans="2:4">
      <c r="B15857">
        <v>1</v>
      </c>
      <c r="C15857">
        <v>102</v>
      </c>
      <c r="D15857">
        <v>1</v>
      </c>
    </row>
    <row r="15859" spans="2:4">
      <c r="B15859">
        <v>1</v>
      </c>
      <c r="C15859">
        <v>102</v>
      </c>
      <c r="D15859">
        <v>1</v>
      </c>
    </row>
    <row r="15860" spans="2:4">
      <c r="B15860">
        <v>1</v>
      </c>
      <c r="C15860">
        <v>102</v>
      </c>
      <c r="D15860">
        <v>1</v>
      </c>
    </row>
    <row r="15861" spans="2:4">
      <c r="B15861">
        <v>1</v>
      </c>
      <c r="C15861">
        <v>102</v>
      </c>
      <c r="D15861">
        <v>1</v>
      </c>
    </row>
    <row r="15863" spans="2:4">
      <c r="B15863">
        <v>1</v>
      </c>
      <c r="C15863">
        <v>102</v>
      </c>
      <c r="D15863">
        <v>1</v>
      </c>
    </row>
    <row r="15864" spans="2:4">
      <c r="B15864">
        <v>1</v>
      </c>
      <c r="C15864">
        <v>102</v>
      </c>
      <c r="D15864">
        <v>1</v>
      </c>
    </row>
    <row r="15865" spans="2:4">
      <c r="B15865">
        <v>1</v>
      </c>
      <c r="C15865">
        <v>102</v>
      </c>
      <c r="D15865">
        <v>1</v>
      </c>
    </row>
    <row r="15874" spans="2:4">
      <c r="B15874">
        <v>1</v>
      </c>
      <c r="C15874">
        <v>102</v>
      </c>
      <c r="D15874">
        <v>1</v>
      </c>
    </row>
    <row r="15879" spans="2:4">
      <c r="B15879">
        <v>1</v>
      </c>
      <c r="C15879">
        <v>102</v>
      </c>
      <c r="D15879">
        <v>1</v>
      </c>
    </row>
    <row r="15880" spans="2:4">
      <c r="B15880">
        <v>1</v>
      </c>
      <c r="C15880">
        <v>102</v>
      </c>
      <c r="D15880">
        <v>1</v>
      </c>
    </row>
    <row r="15886" spans="2:4">
      <c r="B15886">
        <v>1</v>
      </c>
      <c r="C15886">
        <v>102</v>
      </c>
      <c r="D15886">
        <v>1</v>
      </c>
    </row>
    <row r="15893" spans="2:4">
      <c r="B15893">
        <v>1</v>
      </c>
      <c r="C15893">
        <v>102</v>
      </c>
      <c r="D15893">
        <v>1</v>
      </c>
    </row>
    <row r="15894" spans="2:4">
      <c r="B15894">
        <v>1</v>
      </c>
      <c r="C15894">
        <v>102</v>
      </c>
      <c r="D15894">
        <v>1</v>
      </c>
    </row>
    <row r="15896" spans="2:4">
      <c r="B15896">
        <v>1</v>
      </c>
      <c r="C15896">
        <v>102</v>
      </c>
      <c r="D15896">
        <v>1</v>
      </c>
    </row>
    <row r="15897" spans="2:4">
      <c r="B15897">
        <v>1</v>
      </c>
      <c r="C15897">
        <v>102</v>
      </c>
      <c r="D15897">
        <v>1</v>
      </c>
    </row>
    <row r="15898" spans="2:4">
      <c r="B15898">
        <v>1</v>
      </c>
      <c r="C15898">
        <v>102</v>
      </c>
      <c r="D15898">
        <v>1</v>
      </c>
    </row>
    <row r="15903" spans="2:4">
      <c r="B15903">
        <v>1</v>
      </c>
      <c r="C15903">
        <v>102</v>
      </c>
      <c r="D15903">
        <v>1</v>
      </c>
    </row>
    <row r="15904" spans="2:4">
      <c r="B15904">
        <v>1</v>
      </c>
      <c r="C15904">
        <v>102</v>
      </c>
      <c r="D15904">
        <v>1</v>
      </c>
    </row>
    <row r="15905" spans="2:4">
      <c r="B15905">
        <v>1</v>
      </c>
      <c r="C15905">
        <v>102</v>
      </c>
      <c r="D15905">
        <v>1</v>
      </c>
    </row>
    <row r="15916" spans="2:4">
      <c r="B15916">
        <v>1</v>
      </c>
      <c r="C15916">
        <v>102</v>
      </c>
      <c r="D15916">
        <v>1</v>
      </c>
    </row>
    <row r="15917" spans="2:4">
      <c r="B15917">
        <v>1</v>
      </c>
      <c r="C15917">
        <v>102</v>
      </c>
      <c r="D15917">
        <v>1</v>
      </c>
    </row>
    <row r="15920" spans="2:4">
      <c r="B15920">
        <v>1</v>
      </c>
      <c r="C15920">
        <v>102</v>
      </c>
      <c r="D15920">
        <v>1</v>
      </c>
    </row>
    <row r="15922" spans="2:4">
      <c r="B15922">
        <v>1</v>
      </c>
      <c r="C15922">
        <v>102</v>
      </c>
      <c r="D15922">
        <v>1</v>
      </c>
    </row>
    <row r="15924" spans="2:4">
      <c r="B15924">
        <v>1</v>
      </c>
      <c r="C15924">
        <v>102</v>
      </c>
      <c r="D15924">
        <v>1</v>
      </c>
    </row>
    <row r="15932" spans="2:4">
      <c r="B15932">
        <v>1</v>
      </c>
      <c r="C15932">
        <v>102</v>
      </c>
      <c r="D15932">
        <v>1</v>
      </c>
    </row>
    <row r="15935" spans="2:4">
      <c r="B15935">
        <v>1</v>
      </c>
      <c r="C15935">
        <v>102</v>
      </c>
      <c r="D15935">
        <v>1</v>
      </c>
    </row>
    <row r="15937" spans="2:4">
      <c r="B15937">
        <v>1</v>
      </c>
      <c r="C15937">
        <v>102</v>
      </c>
      <c r="D15937">
        <v>1</v>
      </c>
    </row>
    <row r="15942" spans="2:4">
      <c r="B15942">
        <v>1</v>
      </c>
      <c r="C15942">
        <v>102</v>
      </c>
      <c r="D15942">
        <v>1</v>
      </c>
    </row>
    <row r="15945" spans="2:4">
      <c r="B15945">
        <v>1</v>
      </c>
      <c r="C15945">
        <v>102</v>
      </c>
      <c r="D15945">
        <v>1</v>
      </c>
    </row>
    <row r="15946" spans="2:4">
      <c r="B15946">
        <v>1</v>
      </c>
      <c r="C15946">
        <v>102</v>
      </c>
      <c r="D15946">
        <v>1</v>
      </c>
    </row>
    <row r="15949" spans="2:4">
      <c r="B15949">
        <v>1</v>
      </c>
      <c r="C15949">
        <v>102</v>
      </c>
      <c r="D15949">
        <v>1</v>
      </c>
    </row>
    <row r="15951" spans="2:4">
      <c r="B15951">
        <v>1</v>
      </c>
      <c r="C15951">
        <v>102</v>
      </c>
      <c r="D15951">
        <v>1</v>
      </c>
    </row>
    <row r="15960" spans="2:4">
      <c r="B15960">
        <v>1</v>
      </c>
      <c r="C15960">
        <v>102</v>
      </c>
      <c r="D15960">
        <v>1</v>
      </c>
    </row>
    <row r="15967" spans="2:4">
      <c r="B15967">
        <v>1</v>
      </c>
      <c r="C15967">
        <v>102</v>
      </c>
      <c r="D15967">
        <v>1</v>
      </c>
    </row>
    <row r="15969" spans="2:4">
      <c r="B15969">
        <v>1</v>
      </c>
      <c r="C15969">
        <v>102</v>
      </c>
      <c r="D15969">
        <v>1</v>
      </c>
    </row>
    <row r="15970" spans="2:4">
      <c r="B15970">
        <v>1</v>
      </c>
      <c r="C15970">
        <v>102</v>
      </c>
      <c r="D15970">
        <v>1</v>
      </c>
    </row>
    <row r="15977" spans="2:4">
      <c r="B15977">
        <v>1</v>
      </c>
      <c r="C15977">
        <v>102</v>
      </c>
      <c r="D15977">
        <v>1</v>
      </c>
    </row>
    <row r="15982" spans="2:4">
      <c r="B15982">
        <v>1</v>
      </c>
      <c r="C15982">
        <v>102</v>
      </c>
      <c r="D15982">
        <v>1</v>
      </c>
    </row>
    <row r="15983" spans="2:4">
      <c r="B15983">
        <v>1</v>
      </c>
      <c r="C15983">
        <v>102</v>
      </c>
      <c r="D15983">
        <v>1</v>
      </c>
    </row>
    <row r="15986" spans="2:4">
      <c r="B15986">
        <v>1</v>
      </c>
      <c r="C15986">
        <v>102</v>
      </c>
      <c r="D15986">
        <v>1</v>
      </c>
    </row>
    <row r="15990" spans="2:4">
      <c r="B15990">
        <v>1</v>
      </c>
      <c r="C15990">
        <v>102</v>
      </c>
      <c r="D15990">
        <v>1</v>
      </c>
    </row>
    <row r="15996" spans="2:4">
      <c r="B15996">
        <v>1</v>
      </c>
      <c r="C15996">
        <v>102</v>
      </c>
      <c r="D15996">
        <v>1</v>
      </c>
    </row>
    <row r="15997" spans="2:4">
      <c r="B15997">
        <v>1</v>
      </c>
      <c r="C15997">
        <v>102</v>
      </c>
      <c r="D15997">
        <v>1</v>
      </c>
    </row>
    <row r="15998" spans="2:4">
      <c r="B15998">
        <v>1</v>
      </c>
      <c r="C15998">
        <v>102</v>
      </c>
      <c r="D15998">
        <v>1</v>
      </c>
    </row>
    <row r="15999" spans="2:4">
      <c r="B15999">
        <v>1</v>
      </c>
      <c r="C15999">
        <v>102</v>
      </c>
      <c r="D15999">
        <v>1</v>
      </c>
    </row>
    <row r="16000" spans="2:4">
      <c r="B16000">
        <v>1</v>
      </c>
      <c r="C16000">
        <v>102</v>
      </c>
      <c r="D16000">
        <v>1</v>
      </c>
    </row>
    <row r="16004" spans="2:4">
      <c r="B16004">
        <v>1</v>
      </c>
      <c r="C16004">
        <v>102</v>
      </c>
      <c r="D16004">
        <v>1</v>
      </c>
    </row>
    <row r="16005" spans="2:4">
      <c r="B16005">
        <v>1</v>
      </c>
      <c r="C16005">
        <v>102</v>
      </c>
      <c r="D16005">
        <v>1</v>
      </c>
    </row>
    <row r="16009" spans="2:4">
      <c r="B16009">
        <v>1</v>
      </c>
      <c r="C16009">
        <v>102</v>
      </c>
      <c r="D16009">
        <v>1</v>
      </c>
    </row>
    <row r="16011" spans="2:4">
      <c r="B16011">
        <v>1</v>
      </c>
      <c r="C16011">
        <v>102</v>
      </c>
      <c r="D16011">
        <v>1</v>
      </c>
    </row>
    <row r="16012" spans="2:4">
      <c r="B16012">
        <v>1</v>
      </c>
      <c r="C16012">
        <v>102</v>
      </c>
      <c r="D16012">
        <v>1</v>
      </c>
    </row>
    <row r="16016" spans="2:4">
      <c r="B16016">
        <v>1</v>
      </c>
      <c r="C16016">
        <v>102</v>
      </c>
      <c r="D16016">
        <v>1</v>
      </c>
    </row>
    <row r="16017" spans="2:4">
      <c r="B16017">
        <v>1</v>
      </c>
      <c r="C16017">
        <v>102</v>
      </c>
      <c r="D16017">
        <v>1</v>
      </c>
    </row>
    <row r="16018" spans="2:4">
      <c r="B16018">
        <v>1</v>
      </c>
      <c r="C16018">
        <v>102</v>
      </c>
      <c r="D16018">
        <v>1</v>
      </c>
    </row>
    <row r="16020" spans="2:4">
      <c r="B16020">
        <v>1</v>
      </c>
      <c r="C16020">
        <v>102</v>
      </c>
      <c r="D16020">
        <v>1</v>
      </c>
    </row>
    <row r="16029" spans="2:4">
      <c r="B16029">
        <v>1</v>
      </c>
      <c r="C16029">
        <v>102</v>
      </c>
      <c r="D16029">
        <v>1</v>
      </c>
    </row>
    <row r="16034" spans="2:4">
      <c r="B16034">
        <v>1</v>
      </c>
      <c r="C16034">
        <v>102</v>
      </c>
      <c r="D16034">
        <v>1</v>
      </c>
    </row>
    <row r="16035" spans="2:4">
      <c r="B16035">
        <v>1</v>
      </c>
      <c r="C16035">
        <v>102</v>
      </c>
      <c r="D16035">
        <v>1</v>
      </c>
    </row>
    <row r="16037" spans="2:4">
      <c r="B16037">
        <v>1</v>
      </c>
      <c r="C16037">
        <v>102</v>
      </c>
      <c r="D16037">
        <v>1</v>
      </c>
    </row>
    <row r="16038" spans="2:4">
      <c r="B16038">
        <v>1</v>
      </c>
      <c r="C16038">
        <v>102</v>
      </c>
      <c r="D16038">
        <v>1</v>
      </c>
    </row>
    <row r="16040" spans="2:4">
      <c r="B16040">
        <v>1</v>
      </c>
      <c r="C16040">
        <v>102</v>
      </c>
      <c r="D16040">
        <v>1</v>
      </c>
    </row>
    <row r="16042" spans="2:4">
      <c r="B16042">
        <v>1</v>
      </c>
      <c r="C16042">
        <v>102</v>
      </c>
      <c r="D16042">
        <v>1</v>
      </c>
    </row>
    <row r="16043" spans="2:4">
      <c r="B16043">
        <v>1</v>
      </c>
      <c r="C16043">
        <v>102</v>
      </c>
      <c r="D16043">
        <v>1</v>
      </c>
    </row>
    <row r="16046" spans="2:4">
      <c r="B16046">
        <v>1</v>
      </c>
      <c r="C16046">
        <v>102</v>
      </c>
      <c r="D16046">
        <v>1</v>
      </c>
    </row>
    <row r="16049" spans="2:4">
      <c r="B16049">
        <v>1</v>
      </c>
      <c r="C16049">
        <v>102</v>
      </c>
      <c r="D16049">
        <v>1</v>
      </c>
    </row>
    <row r="16051" spans="2:4">
      <c r="B16051">
        <v>1</v>
      </c>
      <c r="C16051">
        <v>102</v>
      </c>
      <c r="D16051">
        <v>1</v>
      </c>
    </row>
    <row r="16054" spans="2:4">
      <c r="B16054">
        <v>1</v>
      </c>
      <c r="C16054">
        <v>102</v>
      </c>
      <c r="D16054">
        <v>1</v>
      </c>
    </row>
    <row r="16055" spans="2:4">
      <c r="B16055">
        <v>1</v>
      </c>
      <c r="C16055">
        <v>102</v>
      </c>
      <c r="D16055">
        <v>1</v>
      </c>
    </row>
    <row r="16056" spans="2:4">
      <c r="B16056">
        <v>1</v>
      </c>
      <c r="C16056">
        <v>102</v>
      </c>
      <c r="D16056">
        <v>1</v>
      </c>
    </row>
    <row r="16058" spans="2:4">
      <c r="B16058">
        <v>1</v>
      </c>
      <c r="C16058">
        <v>102</v>
      </c>
      <c r="D16058">
        <v>1</v>
      </c>
    </row>
    <row r="16059" spans="2:4">
      <c r="B16059">
        <v>1</v>
      </c>
      <c r="C16059">
        <v>102</v>
      </c>
      <c r="D16059">
        <v>1</v>
      </c>
    </row>
    <row r="16061" spans="2:4">
      <c r="B16061">
        <v>1</v>
      </c>
      <c r="C16061">
        <v>102</v>
      </c>
      <c r="D16061">
        <v>1</v>
      </c>
    </row>
    <row r="16067" spans="2:4">
      <c r="B16067">
        <v>1</v>
      </c>
      <c r="C16067">
        <v>102</v>
      </c>
      <c r="D16067">
        <v>1</v>
      </c>
    </row>
    <row r="16075" spans="2:4">
      <c r="B16075">
        <v>1</v>
      </c>
      <c r="C16075">
        <v>102</v>
      </c>
      <c r="D16075">
        <v>1</v>
      </c>
    </row>
    <row r="16080" spans="2:4">
      <c r="B16080">
        <v>1</v>
      </c>
      <c r="C16080">
        <v>102</v>
      </c>
      <c r="D16080">
        <v>1</v>
      </c>
    </row>
    <row r="16081" spans="2:4">
      <c r="B16081">
        <v>1</v>
      </c>
      <c r="C16081">
        <v>102</v>
      </c>
      <c r="D16081">
        <v>1</v>
      </c>
    </row>
    <row r="16082" spans="2:4">
      <c r="B16082">
        <v>1</v>
      </c>
      <c r="C16082">
        <v>102</v>
      </c>
      <c r="D16082">
        <v>1</v>
      </c>
    </row>
    <row r="16083" spans="2:4">
      <c r="B16083">
        <v>1</v>
      </c>
      <c r="C16083">
        <v>102</v>
      </c>
      <c r="D16083">
        <v>1</v>
      </c>
    </row>
    <row r="16085" spans="2:4">
      <c r="B16085">
        <v>1</v>
      </c>
      <c r="C16085">
        <v>102</v>
      </c>
      <c r="D16085">
        <v>1</v>
      </c>
    </row>
    <row r="16087" spans="2:4">
      <c r="B16087">
        <v>1</v>
      </c>
      <c r="C16087">
        <v>102</v>
      </c>
      <c r="D16087">
        <v>1</v>
      </c>
    </row>
    <row r="16091" spans="2:4">
      <c r="B16091">
        <v>1</v>
      </c>
      <c r="C16091">
        <v>102</v>
      </c>
      <c r="D16091">
        <v>1</v>
      </c>
    </row>
    <row r="16092" spans="2:4">
      <c r="B16092">
        <v>1</v>
      </c>
      <c r="C16092">
        <v>102</v>
      </c>
      <c r="D16092">
        <v>1</v>
      </c>
    </row>
    <row r="16093" spans="2:4">
      <c r="B16093">
        <v>1</v>
      </c>
      <c r="C16093">
        <v>102</v>
      </c>
      <c r="D16093">
        <v>1</v>
      </c>
    </row>
    <row r="16094" spans="2:4">
      <c r="B16094">
        <v>1</v>
      </c>
      <c r="C16094">
        <v>102</v>
      </c>
      <c r="D16094">
        <v>1</v>
      </c>
    </row>
    <row r="16099" spans="2:4">
      <c r="B16099">
        <v>1</v>
      </c>
      <c r="C16099">
        <v>102</v>
      </c>
      <c r="D16099">
        <v>1</v>
      </c>
    </row>
    <row r="16100" spans="2:4">
      <c r="B16100">
        <v>1</v>
      </c>
      <c r="C16100">
        <v>102</v>
      </c>
      <c r="D16100">
        <v>1</v>
      </c>
    </row>
    <row r="16102" spans="2:4">
      <c r="B16102">
        <v>1</v>
      </c>
      <c r="C16102">
        <v>102</v>
      </c>
      <c r="D16102">
        <v>1</v>
      </c>
    </row>
    <row r="16103" spans="2:4">
      <c r="B16103">
        <v>1</v>
      </c>
      <c r="C16103">
        <v>102</v>
      </c>
      <c r="D16103">
        <v>1</v>
      </c>
    </row>
    <row r="16106" spans="2:4">
      <c r="B16106">
        <v>1</v>
      </c>
      <c r="C16106">
        <v>102</v>
      </c>
      <c r="D16106">
        <v>1</v>
      </c>
    </row>
    <row r="16108" spans="2:4">
      <c r="B16108">
        <v>1</v>
      </c>
      <c r="C16108">
        <v>102</v>
      </c>
      <c r="D16108">
        <v>1</v>
      </c>
    </row>
    <row r="16113" spans="2:4">
      <c r="B16113">
        <v>1</v>
      </c>
      <c r="C16113">
        <v>102</v>
      </c>
      <c r="D16113">
        <v>1</v>
      </c>
    </row>
    <row r="16115" spans="2:4">
      <c r="B16115">
        <v>1</v>
      </c>
      <c r="C16115">
        <v>102</v>
      </c>
      <c r="D16115">
        <v>1</v>
      </c>
    </row>
    <row r="16116" spans="2:4">
      <c r="B16116">
        <v>1</v>
      </c>
      <c r="C16116">
        <v>102</v>
      </c>
      <c r="D16116">
        <v>1</v>
      </c>
    </row>
    <row r="16117" spans="2:4">
      <c r="B16117">
        <v>1</v>
      </c>
      <c r="C16117">
        <v>102</v>
      </c>
      <c r="D16117">
        <v>1</v>
      </c>
    </row>
    <row r="16119" spans="2:4">
      <c r="B16119">
        <v>1</v>
      </c>
      <c r="C16119">
        <v>102</v>
      </c>
      <c r="D16119">
        <v>1</v>
      </c>
    </row>
    <row r="16120" spans="2:4">
      <c r="B16120">
        <v>1</v>
      </c>
      <c r="C16120">
        <v>102</v>
      </c>
      <c r="D16120">
        <v>1</v>
      </c>
    </row>
    <row r="16121" spans="2:4">
      <c r="B16121">
        <v>1</v>
      </c>
      <c r="C16121">
        <v>102</v>
      </c>
      <c r="D16121">
        <v>1</v>
      </c>
    </row>
    <row r="16130" spans="2:4">
      <c r="B16130">
        <v>1</v>
      </c>
      <c r="C16130">
        <v>102</v>
      </c>
      <c r="D16130">
        <v>1</v>
      </c>
    </row>
    <row r="16135" spans="2:4">
      <c r="B16135">
        <v>1</v>
      </c>
      <c r="C16135">
        <v>102</v>
      </c>
      <c r="D16135">
        <v>1</v>
      </c>
    </row>
    <row r="16136" spans="2:4">
      <c r="B16136">
        <v>1</v>
      </c>
      <c r="C16136">
        <v>102</v>
      </c>
      <c r="D16136">
        <v>1</v>
      </c>
    </row>
    <row r="16142" spans="2:4">
      <c r="B16142">
        <v>1</v>
      </c>
      <c r="C16142">
        <v>102</v>
      </c>
      <c r="D16142">
        <v>1</v>
      </c>
    </row>
    <row r="16149" spans="2:4">
      <c r="B16149">
        <v>1</v>
      </c>
      <c r="C16149">
        <v>102</v>
      </c>
      <c r="D16149">
        <v>1</v>
      </c>
    </row>
    <row r="16150" spans="2:4">
      <c r="B16150">
        <v>1</v>
      </c>
      <c r="C16150">
        <v>102</v>
      </c>
      <c r="D16150">
        <v>1</v>
      </c>
    </row>
    <row r="16152" spans="2:4">
      <c r="B16152">
        <v>1</v>
      </c>
      <c r="C16152">
        <v>102</v>
      </c>
      <c r="D16152">
        <v>1</v>
      </c>
    </row>
    <row r="16153" spans="2:4">
      <c r="B16153">
        <v>1</v>
      </c>
      <c r="C16153">
        <v>102</v>
      </c>
      <c r="D16153">
        <v>1</v>
      </c>
    </row>
    <row r="16154" spans="2:4">
      <c r="B16154">
        <v>1</v>
      </c>
      <c r="C16154">
        <v>102</v>
      </c>
      <c r="D16154">
        <v>1</v>
      </c>
    </row>
    <row r="16159" spans="2:4">
      <c r="B16159">
        <v>1</v>
      </c>
      <c r="C16159">
        <v>102</v>
      </c>
      <c r="D16159">
        <v>1</v>
      </c>
    </row>
    <row r="16160" spans="2:4">
      <c r="B16160">
        <v>1</v>
      </c>
      <c r="C16160">
        <v>102</v>
      </c>
      <c r="D16160">
        <v>1</v>
      </c>
    </row>
    <row r="16161" spans="2:4">
      <c r="B16161">
        <v>1</v>
      </c>
      <c r="C16161">
        <v>102</v>
      </c>
      <c r="D16161">
        <v>1</v>
      </c>
    </row>
    <row r="16172" spans="2:4">
      <c r="B16172">
        <v>1</v>
      </c>
      <c r="C16172">
        <v>102</v>
      </c>
      <c r="D16172">
        <v>1</v>
      </c>
    </row>
    <row r="16173" spans="2:4">
      <c r="B16173">
        <v>1</v>
      </c>
      <c r="C16173">
        <v>102</v>
      </c>
      <c r="D16173">
        <v>1</v>
      </c>
    </row>
    <row r="16176" spans="2:4">
      <c r="B16176">
        <v>1</v>
      </c>
      <c r="C16176">
        <v>102</v>
      </c>
      <c r="D16176">
        <v>1</v>
      </c>
    </row>
    <row r="16178" spans="2:4">
      <c r="B16178">
        <v>1</v>
      </c>
      <c r="C16178">
        <v>102</v>
      </c>
      <c r="D16178">
        <v>1</v>
      </c>
    </row>
    <row r="16180" spans="2:4">
      <c r="B16180">
        <v>1</v>
      </c>
      <c r="C16180">
        <v>102</v>
      </c>
      <c r="D16180">
        <v>1</v>
      </c>
    </row>
    <row r="16188" spans="2:4">
      <c r="B16188">
        <v>1</v>
      </c>
      <c r="C16188">
        <v>102</v>
      </c>
      <c r="D16188">
        <v>1</v>
      </c>
    </row>
    <row r="16191" spans="2:4">
      <c r="B16191">
        <v>1</v>
      </c>
      <c r="C16191">
        <v>102</v>
      </c>
      <c r="D16191">
        <v>1</v>
      </c>
    </row>
    <row r="16193" spans="2:4">
      <c r="B16193">
        <v>1</v>
      </c>
      <c r="C16193">
        <v>102</v>
      </c>
      <c r="D16193">
        <v>1</v>
      </c>
    </row>
    <row r="16198" spans="2:4">
      <c r="B16198">
        <v>1</v>
      </c>
      <c r="C16198">
        <v>102</v>
      </c>
      <c r="D16198">
        <v>1</v>
      </c>
    </row>
    <row r="16201" spans="2:4">
      <c r="B16201">
        <v>1</v>
      </c>
      <c r="C16201">
        <v>102</v>
      </c>
      <c r="D16201">
        <v>1</v>
      </c>
    </row>
    <row r="16202" spans="2:4">
      <c r="B16202">
        <v>1</v>
      </c>
      <c r="C16202">
        <v>102</v>
      </c>
      <c r="D16202">
        <v>1</v>
      </c>
    </row>
    <row r="16205" spans="2:4">
      <c r="B16205">
        <v>1</v>
      </c>
      <c r="C16205">
        <v>102</v>
      </c>
      <c r="D16205">
        <v>1</v>
      </c>
    </row>
    <row r="16207" spans="2:4">
      <c r="B16207">
        <v>1</v>
      </c>
      <c r="C16207">
        <v>102</v>
      </c>
      <c r="D16207">
        <v>1</v>
      </c>
    </row>
    <row r="16216" spans="2:4">
      <c r="B16216">
        <v>1</v>
      </c>
      <c r="C16216">
        <v>102</v>
      </c>
      <c r="D16216">
        <v>1</v>
      </c>
    </row>
    <row r="16223" spans="2:4">
      <c r="B16223">
        <v>1</v>
      </c>
      <c r="C16223">
        <v>102</v>
      </c>
      <c r="D16223">
        <v>1</v>
      </c>
    </row>
    <row r="16225" spans="2:4">
      <c r="B16225">
        <v>1</v>
      </c>
      <c r="C16225">
        <v>102</v>
      </c>
      <c r="D16225">
        <v>1</v>
      </c>
    </row>
    <row r="16226" spans="2:4">
      <c r="B16226">
        <v>1</v>
      </c>
      <c r="C16226">
        <v>102</v>
      </c>
      <c r="D16226">
        <v>1</v>
      </c>
    </row>
    <row r="16233" spans="2:4">
      <c r="B16233">
        <v>1</v>
      </c>
      <c r="C16233">
        <v>102</v>
      </c>
      <c r="D16233">
        <v>1</v>
      </c>
    </row>
    <row r="16238" spans="2:4">
      <c r="B16238">
        <v>1</v>
      </c>
      <c r="C16238">
        <v>102</v>
      </c>
      <c r="D16238">
        <v>1</v>
      </c>
    </row>
    <row r="16239" spans="2:4">
      <c r="B16239">
        <v>1</v>
      </c>
      <c r="C16239">
        <v>102</v>
      </c>
      <c r="D16239">
        <v>1</v>
      </c>
    </row>
    <row r="16242" spans="2:4">
      <c r="B16242">
        <v>1</v>
      </c>
      <c r="C16242">
        <v>102</v>
      </c>
      <c r="D16242">
        <v>1</v>
      </c>
    </row>
    <row r="16246" spans="2:4">
      <c r="B16246">
        <v>1</v>
      </c>
      <c r="C16246">
        <v>102</v>
      </c>
      <c r="D16246">
        <v>1</v>
      </c>
    </row>
    <row r="16252" spans="2:4">
      <c r="B16252">
        <v>1</v>
      </c>
      <c r="C16252">
        <v>102</v>
      </c>
      <c r="D16252">
        <v>1</v>
      </c>
    </row>
    <row r="16253" spans="2:4">
      <c r="B16253">
        <v>1</v>
      </c>
      <c r="C16253">
        <v>102</v>
      </c>
      <c r="D16253">
        <v>1</v>
      </c>
    </row>
    <row r="16254" spans="2:4">
      <c r="B16254">
        <v>1</v>
      </c>
      <c r="C16254">
        <v>102</v>
      </c>
      <c r="D16254">
        <v>1</v>
      </c>
    </row>
    <row r="16255" spans="2:4">
      <c r="B16255">
        <v>1</v>
      </c>
      <c r="C16255">
        <v>102</v>
      </c>
      <c r="D16255">
        <v>1</v>
      </c>
    </row>
    <row r="16256" spans="2:4">
      <c r="B16256">
        <v>1</v>
      </c>
      <c r="C16256">
        <v>102</v>
      </c>
      <c r="D16256">
        <v>1</v>
      </c>
    </row>
    <row r="16260" spans="2:4">
      <c r="B16260">
        <v>1</v>
      </c>
      <c r="C16260">
        <v>102</v>
      </c>
      <c r="D16260">
        <v>1</v>
      </c>
    </row>
    <row r="16261" spans="2:4">
      <c r="B16261">
        <v>1</v>
      </c>
      <c r="C16261">
        <v>102</v>
      </c>
      <c r="D16261">
        <v>1</v>
      </c>
    </row>
    <row r="16265" spans="2:4">
      <c r="B16265">
        <v>1</v>
      </c>
      <c r="C16265">
        <v>102</v>
      </c>
      <c r="D16265">
        <v>1</v>
      </c>
    </row>
    <row r="16267" spans="2:4">
      <c r="B16267">
        <v>1</v>
      </c>
      <c r="C16267">
        <v>102</v>
      </c>
      <c r="D16267">
        <v>1</v>
      </c>
    </row>
    <row r="16268" spans="2:4">
      <c r="B16268">
        <v>1</v>
      </c>
      <c r="C16268">
        <v>102</v>
      </c>
      <c r="D16268">
        <v>1</v>
      </c>
    </row>
    <row r="16272" spans="2:4">
      <c r="B16272">
        <v>1</v>
      </c>
      <c r="C16272">
        <v>102</v>
      </c>
      <c r="D16272">
        <v>1</v>
      </c>
    </row>
    <row r="16273" spans="2:4">
      <c r="B16273">
        <v>1</v>
      </c>
      <c r="C16273">
        <v>102</v>
      </c>
      <c r="D16273">
        <v>1</v>
      </c>
    </row>
    <row r="16274" spans="2:4">
      <c r="B16274">
        <v>1</v>
      </c>
      <c r="C16274">
        <v>102</v>
      </c>
      <c r="D16274">
        <v>1</v>
      </c>
    </row>
    <row r="16276" spans="2:4">
      <c r="B16276">
        <v>1</v>
      </c>
      <c r="C16276">
        <v>102</v>
      </c>
      <c r="D16276">
        <v>1</v>
      </c>
    </row>
    <row r="16285" spans="2:4">
      <c r="B16285">
        <v>1</v>
      </c>
      <c r="C16285">
        <v>102</v>
      </c>
      <c r="D16285">
        <v>1</v>
      </c>
    </row>
    <row r="16290" spans="2:4">
      <c r="B16290">
        <v>1</v>
      </c>
      <c r="C16290">
        <v>102</v>
      </c>
      <c r="D16290">
        <v>1</v>
      </c>
    </row>
    <row r="16291" spans="2:4">
      <c r="B16291">
        <v>1</v>
      </c>
      <c r="C16291">
        <v>102</v>
      </c>
      <c r="D16291">
        <v>1</v>
      </c>
    </row>
    <row r="16293" spans="2:4">
      <c r="B16293">
        <v>1</v>
      </c>
      <c r="C16293">
        <v>102</v>
      </c>
      <c r="D16293">
        <v>1</v>
      </c>
    </row>
    <row r="16294" spans="2:4">
      <c r="B16294">
        <v>1</v>
      </c>
      <c r="C16294">
        <v>102</v>
      </c>
      <c r="D16294">
        <v>1</v>
      </c>
    </row>
    <row r="16296" spans="2:4">
      <c r="B16296">
        <v>1</v>
      </c>
      <c r="C16296">
        <v>102</v>
      </c>
      <c r="D16296">
        <v>1</v>
      </c>
    </row>
    <row r="16298" spans="2:4">
      <c r="B16298">
        <v>1</v>
      </c>
      <c r="C16298">
        <v>102</v>
      </c>
      <c r="D16298">
        <v>1</v>
      </c>
    </row>
    <row r="16299" spans="2:4">
      <c r="B16299">
        <v>1</v>
      </c>
      <c r="C16299">
        <v>102</v>
      </c>
      <c r="D16299">
        <v>1</v>
      </c>
    </row>
    <row r="16302" spans="2:4">
      <c r="B16302">
        <v>1</v>
      </c>
      <c r="C16302">
        <v>102</v>
      </c>
      <c r="D16302">
        <v>1</v>
      </c>
    </row>
    <row r="16305" spans="2:4">
      <c r="B16305">
        <v>1</v>
      </c>
      <c r="C16305">
        <v>102</v>
      </c>
      <c r="D16305">
        <v>1</v>
      </c>
    </row>
    <row r="16307" spans="2:4">
      <c r="B16307">
        <v>1</v>
      </c>
      <c r="C16307">
        <v>102</v>
      </c>
      <c r="D16307">
        <v>1</v>
      </c>
    </row>
    <row r="16310" spans="2:4">
      <c r="B16310">
        <v>1</v>
      </c>
      <c r="C16310">
        <v>102</v>
      </c>
      <c r="D16310">
        <v>1</v>
      </c>
    </row>
    <row r="16311" spans="2:4">
      <c r="B16311">
        <v>1</v>
      </c>
      <c r="C16311">
        <v>102</v>
      </c>
      <c r="D16311">
        <v>1</v>
      </c>
    </row>
    <row r="16312" spans="2:4">
      <c r="B16312">
        <v>1</v>
      </c>
      <c r="C16312">
        <v>102</v>
      </c>
      <c r="D16312">
        <v>1</v>
      </c>
    </row>
    <row r="16314" spans="2:4">
      <c r="B16314">
        <v>1</v>
      </c>
      <c r="C16314">
        <v>102</v>
      </c>
      <c r="D16314">
        <v>1</v>
      </c>
    </row>
    <row r="16315" spans="2:4">
      <c r="B16315">
        <v>1</v>
      </c>
      <c r="C16315">
        <v>102</v>
      </c>
      <c r="D16315">
        <v>1</v>
      </c>
    </row>
    <row r="16317" spans="2:4">
      <c r="B16317">
        <v>1</v>
      </c>
      <c r="C16317">
        <v>102</v>
      </c>
      <c r="D16317">
        <v>1</v>
      </c>
    </row>
    <row r="16323" spans="2:4">
      <c r="B16323">
        <v>1</v>
      </c>
      <c r="C16323">
        <v>102</v>
      </c>
      <c r="D16323">
        <v>1</v>
      </c>
    </row>
    <row r="16331" spans="2:4">
      <c r="B16331">
        <v>1</v>
      </c>
      <c r="C16331">
        <v>102</v>
      </c>
      <c r="D16331">
        <v>1</v>
      </c>
    </row>
    <row r="16336" spans="2:4">
      <c r="B16336">
        <v>1</v>
      </c>
      <c r="C16336">
        <v>102</v>
      </c>
      <c r="D16336">
        <v>1</v>
      </c>
    </row>
    <row r="16337" spans="2:4">
      <c r="B16337">
        <v>1</v>
      </c>
      <c r="C16337">
        <v>102</v>
      </c>
      <c r="D16337">
        <v>1</v>
      </c>
    </row>
    <row r="16338" spans="2:4">
      <c r="B16338">
        <v>1</v>
      </c>
      <c r="C16338">
        <v>102</v>
      </c>
      <c r="D16338">
        <v>1</v>
      </c>
    </row>
    <row r="16339" spans="2:4">
      <c r="B16339">
        <v>1</v>
      </c>
      <c r="C16339">
        <v>102</v>
      </c>
      <c r="D16339">
        <v>1</v>
      </c>
    </row>
    <row r="16341" spans="2:4">
      <c r="B16341">
        <v>1</v>
      </c>
      <c r="C16341">
        <v>102</v>
      </c>
      <c r="D16341">
        <v>1</v>
      </c>
    </row>
    <row r="16343" spans="2:4">
      <c r="B16343">
        <v>1</v>
      </c>
      <c r="C16343">
        <v>102</v>
      </c>
      <c r="D16343">
        <v>1</v>
      </c>
    </row>
    <row r="16347" spans="2:4">
      <c r="B16347">
        <v>1</v>
      </c>
      <c r="C16347">
        <v>102</v>
      </c>
      <c r="D16347">
        <v>1</v>
      </c>
    </row>
    <row r="16348" spans="2:4">
      <c r="B16348">
        <v>1</v>
      </c>
      <c r="C16348">
        <v>102</v>
      </c>
      <c r="D16348">
        <v>1</v>
      </c>
    </row>
    <row r="16349" spans="2:4">
      <c r="B16349">
        <v>1</v>
      </c>
      <c r="C16349">
        <v>102</v>
      </c>
      <c r="D16349">
        <v>1</v>
      </c>
    </row>
    <row r="16350" spans="2:4">
      <c r="B16350">
        <v>1</v>
      </c>
      <c r="C16350">
        <v>102</v>
      </c>
      <c r="D16350">
        <v>1</v>
      </c>
    </row>
    <row r="16355" spans="2:4">
      <c r="B16355">
        <v>1</v>
      </c>
      <c r="C16355">
        <v>102</v>
      </c>
      <c r="D16355">
        <v>1</v>
      </c>
    </row>
    <row r="16356" spans="2:4">
      <c r="B16356">
        <v>1</v>
      </c>
      <c r="C16356">
        <v>102</v>
      </c>
      <c r="D16356">
        <v>1</v>
      </c>
    </row>
    <row r="16358" spans="2:4">
      <c r="B16358">
        <v>1</v>
      </c>
      <c r="C16358">
        <v>102</v>
      </c>
      <c r="D16358">
        <v>1</v>
      </c>
    </row>
    <row r="16359" spans="2:4">
      <c r="B16359">
        <v>1</v>
      </c>
      <c r="C16359">
        <v>102</v>
      </c>
      <c r="D16359">
        <v>1</v>
      </c>
    </row>
    <row r="16362" spans="2:4">
      <c r="B16362">
        <v>1</v>
      </c>
      <c r="C16362">
        <v>102</v>
      </c>
      <c r="D16362">
        <v>1</v>
      </c>
    </row>
    <row r="16364" spans="2:4">
      <c r="B16364">
        <v>1</v>
      </c>
      <c r="C16364">
        <v>102</v>
      </c>
      <c r="D16364">
        <v>1</v>
      </c>
    </row>
    <row r="16369" spans="2:4">
      <c r="B16369">
        <v>1</v>
      </c>
      <c r="C16369">
        <v>102</v>
      </c>
      <c r="D16369">
        <v>1</v>
      </c>
    </row>
    <row r="16371" spans="2:4">
      <c r="B16371">
        <v>1</v>
      </c>
      <c r="C16371">
        <v>102</v>
      </c>
      <c r="D16371">
        <v>1</v>
      </c>
    </row>
    <row r="16372" spans="2:4">
      <c r="B16372">
        <v>1</v>
      </c>
      <c r="C16372">
        <v>102</v>
      </c>
      <c r="D16372">
        <v>1</v>
      </c>
    </row>
    <row r="16373" spans="2:4">
      <c r="B16373">
        <v>1</v>
      </c>
      <c r="C16373">
        <v>102</v>
      </c>
      <c r="D16373">
        <v>1</v>
      </c>
    </row>
    <row r="16375" spans="2:4">
      <c r="B16375">
        <v>1</v>
      </c>
      <c r="C16375">
        <v>102</v>
      </c>
      <c r="D16375">
        <v>1</v>
      </c>
    </row>
    <row r="16376" spans="2:4">
      <c r="B16376">
        <v>1</v>
      </c>
      <c r="C16376">
        <v>102</v>
      </c>
      <c r="D16376">
        <v>1</v>
      </c>
    </row>
    <row r="16377" spans="2:4">
      <c r="B16377">
        <v>1</v>
      </c>
      <c r="C16377">
        <v>102</v>
      </c>
      <c r="D16377">
        <v>1</v>
      </c>
    </row>
    <row r="16386" spans="2:4">
      <c r="B16386">
        <v>1</v>
      </c>
      <c r="C16386">
        <v>102</v>
      </c>
      <c r="D16386">
        <v>1</v>
      </c>
    </row>
    <row r="16391" spans="2:4">
      <c r="B16391">
        <v>1</v>
      </c>
      <c r="C16391">
        <v>102</v>
      </c>
      <c r="D16391">
        <v>1</v>
      </c>
    </row>
    <row r="16392" spans="2:4">
      <c r="B16392">
        <v>1</v>
      </c>
      <c r="C16392">
        <v>102</v>
      </c>
      <c r="D16392">
        <v>1</v>
      </c>
    </row>
    <row r="16398" spans="2:4">
      <c r="B16398">
        <v>1</v>
      </c>
      <c r="C16398">
        <v>102</v>
      </c>
      <c r="D16398">
        <v>1</v>
      </c>
    </row>
    <row r="16405" spans="2:4">
      <c r="B16405">
        <v>1</v>
      </c>
      <c r="C16405">
        <v>102</v>
      </c>
      <c r="D16405">
        <v>1</v>
      </c>
    </row>
    <row r="16406" spans="2:4">
      <c r="B16406">
        <v>1</v>
      </c>
      <c r="C16406">
        <v>102</v>
      </c>
      <c r="D16406">
        <v>1</v>
      </c>
    </row>
    <row r="16408" spans="2:4">
      <c r="B16408">
        <v>1</v>
      </c>
      <c r="C16408">
        <v>102</v>
      </c>
      <c r="D16408">
        <v>1</v>
      </c>
    </row>
    <row r="16409" spans="2:4">
      <c r="B16409">
        <v>1</v>
      </c>
      <c r="C16409">
        <v>102</v>
      </c>
      <c r="D16409">
        <v>1</v>
      </c>
    </row>
    <row r="16410" spans="2:4">
      <c r="B16410">
        <v>1</v>
      </c>
      <c r="C16410">
        <v>102</v>
      </c>
      <c r="D16410">
        <v>1</v>
      </c>
    </row>
    <row r="16415" spans="2:4">
      <c r="B16415">
        <v>1</v>
      </c>
      <c r="C16415">
        <v>102</v>
      </c>
      <c r="D16415">
        <v>1</v>
      </c>
    </row>
    <row r="16416" spans="2:4">
      <c r="B16416">
        <v>1</v>
      </c>
      <c r="C16416">
        <v>102</v>
      </c>
      <c r="D16416">
        <v>1</v>
      </c>
    </row>
    <row r="16417" spans="2:4">
      <c r="B16417">
        <v>1</v>
      </c>
      <c r="C16417">
        <v>102</v>
      </c>
      <c r="D16417">
        <v>1</v>
      </c>
    </row>
    <row r="16428" spans="2:4">
      <c r="B16428">
        <v>1</v>
      </c>
      <c r="C16428">
        <v>102</v>
      </c>
      <c r="D16428">
        <v>1</v>
      </c>
    </row>
    <row r="16429" spans="2:4">
      <c r="B16429">
        <v>1</v>
      </c>
      <c r="C16429">
        <v>102</v>
      </c>
      <c r="D16429">
        <v>1</v>
      </c>
    </row>
    <row r="16432" spans="2:4">
      <c r="B16432">
        <v>1</v>
      </c>
      <c r="C16432">
        <v>102</v>
      </c>
      <c r="D16432">
        <v>1</v>
      </c>
    </row>
    <row r="16434" spans="2:4">
      <c r="B16434">
        <v>1</v>
      </c>
      <c r="C16434">
        <v>102</v>
      </c>
      <c r="D16434">
        <v>1</v>
      </c>
    </row>
    <row r="16436" spans="2:4">
      <c r="B16436">
        <v>1</v>
      </c>
      <c r="C16436">
        <v>102</v>
      </c>
      <c r="D16436">
        <v>1</v>
      </c>
    </row>
    <row r="16444" spans="2:4">
      <c r="B16444">
        <v>1</v>
      </c>
      <c r="C16444">
        <v>102</v>
      </c>
      <c r="D16444">
        <v>1</v>
      </c>
    </row>
    <row r="16447" spans="2:4">
      <c r="B16447">
        <v>1</v>
      </c>
      <c r="C16447">
        <v>102</v>
      </c>
      <c r="D16447">
        <v>1</v>
      </c>
    </row>
    <row r="16449" spans="2:4">
      <c r="B16449">
        <v>1</v>
      </c>
      <c r="C16449">
        <v>102</v>
      </c>
      <c r="D16449">
        <v>1</v>
      </c>
    </row>
    <row r="16454" spans="2:4">
      <c r="B16454">
        <v>1</v>
      </c>
      <c r="C16454">
        <v>102</v>
      </c>
      <c r="D16454">
        <v>1</v>
      </c>
    </row>
    <row r="16457" spans="2:4">
      <c r="B16457">
        <v>1</v>
      </c>
      <c r="C16457">
        <v>102</v>
      </c>
      <c r="D16457">
        <v>1</v>
      </c>
    </row>
    <row r="16458" spans="2:4">
      <c r="B16458">
        <v>1</v>
      </c>
      <c r="C16458">
        <v>102</v>
      </c>
      <c r="D16458">
        <v>1</v>
      </c>
    </row>
    <row r="16461" spans="2:4">
      <c r="B16461">
        <v>1</v>
      </c>
      <c r="C16461">
        <v>102</v>
      </c>
      <c r="D16461">
        <v>1</v>
      </c>
    </row>
    <row r="16463" spans="2:4">
      <c r="B16463">
        <v>1</v>
      </c>
      <c r="C16463">
        <v>102</v>
      </c>
      <c r="D16463">
        <v>1</v>
      </c>
    </row>
    <row r="16472" spans="2:4">
      <c r="B16472">
        <v>1</v>
      </c>
      <c r="C16472">
        <v>102</v>
      </c>
      <c r="D16472">
        <v>1</v>
      </c>
    </row>
    <row r="16479" spans="2:4">
      <c r="B16479">
        <v>1</v>
      </c>
      <c r="C16479">
        <v>102</v>
      </c>
      <c r="D16479">
        <v>1</v>
      </c>
    </row>
    <row r="16481" spans="2:4">
      <c r="B16481">
        <v>1</v>
      </c>
      <c r="C16481">
        <v>102</v>
      </c>
      <c r="D16481">
        <v>1</v>
      </c>
    </row>
    <row r="16482" spans="2:4">
      <c r="B16482">
        <v>1</v>
      </c>
      <c r="C16482">
        <v>102</v>
      </c>
      <c r="D16482">
        <v>1</v>
      </c>
    </row>
    <row r="16489" spans="2:4">
      <c r="B16489">
        <v>1</v>
      </c>
      <c r="C16489">
        <v>102</v>
      </c>
      <c r="D16489">
        <v>1</v>
      </c>
    </row>
    <row r="16494" spans="2:4">
      <c r="B16494">
        <v>1</v>
      </c>
      <c r="C16494">
        <v>102</v>
      </c>
      <c r="D16494">
        <v>1</v>
      </c>
    </row>
    <row r="16495" spans="2:4">
      <c r="B16495">
        <v>1</v>
      </c>
      <c r="C16495">
        <v>102</v>
      </c>
      <c r="D16495">
        <v>1</v>
      </c>
    </row>
    <row r="16498" spans="2:4">
      <c r="B16498">
        <v>1</v>
      </c>
      <c r="C16498">
        <v>102</v>
      </c>
      <c r="D16498">
        <v>1</v>
      </c>
    </row>
    <row r="16502" spans="2:4">
      <c r="B16502">
        <v>1</v>
      </c>
      <c r="C16502">
        <v>102</v>
      </c>
      <c r="D16502">
        <v>1</v>
      </c>
    </row>
    <row r="16508" spans="2:4">
      <c r="B16508">
        <v>1</v>
      </c>
      <c r="C16508">
        <v>102</v>
      </c>
      <c r="D16508">
        <v>1</v>
      </c>
    </row>
    <row r="16509" spans="2:4">
      <c r="B16509">
        <v>1</v>
      </c>
      <c r="C16509">
        <v>102</v>
      </c>
      <c r="D16509">
        <v>1</v>
      </c>
    </row>
    <row r="16510" spans="2:4">
      <c r="B16510">
        <v>1</v>
      </c>
      <c r="C16510">
        <v>102</v>
      </c>
      <c r="D16510">
        <v>1</v>
      </c>
    </row>
    <row r="16511" spans="2:4">
      <c r="B16511">
        <v>1</v>
      </c>
      <c r="C16511">
        <v>102</v>
      </c>
      <c r="D16511">
        <v>1</v>
      </c>
    </row>
    <row r="16512" spans="2:4">
      <c r="B16512">
        <v>1</v>
      </c>
      <c r="C16512">
        <v>102</v>
      </c>
      <c r="D16512">
        <v>1</v>
      </c>
    </row>
    <row r="16516" spans="2:4">
      <c r="B16516">
        <v>1</v>
      </c>
      <c r="C16516">
        <v>102</v>
      </c>
      <c r="D16516">
        <v>1</v>
      </c>
    </row>
    <row r="16517" spans="2:4">
      <c r="B16517">
        <v>1</v>
      </c>
      <c r="C16517">
        <v>102</v>
      </c>
      <c r="D16517">
        <v>1</v>
      </c>
    </row>
    <row r="16521" spans="2:4">
      <c r="B16521">
        <v>1</v>
      </c>
      <c r="C16521">
        <v>102</v>
      </c>
      <c r="D16521">
        <v>1</v>
      </c>
    </row>
    <row r="16523" spans="2:4">
      <c r="B16523">
        <v>1</v>
      </c>
      <c r="C16523">
        <v>102</v>
      </c>
      <c r="D16523">
        <v>1</v>
      </c>
    </row>
    <row r="16524" spans="2:4">
      <c r="B16524">
        <v>1</v>
      </c>
      <c r="C16524">
        <v>102</v>
      </c>
      <c r="D16524">
        <v>1</v>
      </c>
    </row>
    <row r="16528" spans="2:4">
      <c r="B16528">
        <v>1</v>
      </c>
      <c r="C16528">
        <v>102</v>
      </c>
      <c r="D16528">
        <v>1</v>
      </c>
    </row>
    <row r="16529" spans="2:4">
      <c r="B16529">
        <v>1</v>
      </c>
      <c r="C16529">
        <v>102</v>
      </c>
      <c r="D16529">
        <v>1</v>
      </c>
    </row>
    <row r="16530" spans="2:4">
      <c r="B16530">
        <v>1</v>
      </c>
      <c r="C16530">
        <v>102</v>
      </c>
      <c r="D16530">
        <v>1</v>
      </c>
    </row>
    <row r="16532" spans="2:4">
      <c r="B16532">
        <v>1</v>
      </c>
      <c r="C16532">
        <v>102</v>
      </c>
      <c r="D16532">
        <v>1</v>
      </c>
    </row>
    <row r="16541" spans="2:4">
      <c r="B16541">
        <v>1</v>
      </c>
      <c r="C16541">
        <v>102</v>
      </c>
      <c r="D16541">
        <v>1</v>
      </c>
    </row>
    <row r="16546" spans="2:4">
      <c r="B16546">
        <v>1</v>
      </c>
      <c r="C16546">
        <v>102</v>
      </c>
      <c r="D16546">
        <v>1</v>
      </c>
    </row>
    <row r="16547" spans="2:4">
      <c r="B16547">
        <v>1</v>
      </c>
      <c r="C16547">
        <v>102</v>
      </c>
      <c r="D16547">
        <v>1</v>
      </c>
    </row>
    <row r="16549" spans="2:4">
      <c r="B16549">
        <v>1</v>
      </c>
      <c r="C16549">
        <v>102</v>
      </c>
      <c r="D16549">
        <v>1</v>
      </c>
    </row>
    <row r="16550" spans="2:4">
      <c r="B16550">
        <v>1</v>
      </c>
      <c r="C16550">
        <v>102</v>
      </c>
      <c r="D16550">
        <v>1</v>
      </c>
    </row>
    <row r="16552" spans="2:4">
      <c r="B16552">
        <v>1</v>
      </c>
      <c r="C16552">
        <v>102</v>
      </c>
      <c r="D16552">
        <v>1</v>
      </c>
    </row>
    <row r="16554" spans="2:4">
      <c r="B16554">
        <v>1</v>
      </c>
      <c r="C16554">
        <v>102</v>
      </c>
      <c r="D16554">
        <v>1</v>
      </c>
    </row>
    <row r="16555" spans="2:4">
      <c r="B16555">
        <v>1</v>
      </c>
      <c r="C16555">
        <v>102</v>
      </c>
      <c r="D16555">
        <v>1</v>
      </c>
    </row>
    <row r="16558" spans="2:4">
      <c r="B16558">
        <v>1</v>
      </c>
      <c r="C16558">
        <v>102</v>
      </c>
      <c r="D16558">
        <v>1</v>
      </c>
    </row>
    <row r="16561" spans="2:4">
      <c r="B16561">
        <v>1</v>
      </c>
      <c r="C16561">
        <v>102</v>
      </c>
      <c r="D16561">
        <v>1</v>
      </c>
    </row>
    <row r="16563" spans="2:4">
      <c r="B16563">
        <v>1</v>
      </c>
      <c r="C16563">
        <v>102</v>
      </c>
      <c r="D16563">
        <v>1</v>
      </c>
    </row>
    <row r="16566" spans="2:4">
      <c r="B16566">
        <v>1</v>
      </c>
      <c r="C16566">
        <v>102</v>
      </c>
      <c r="D16566">
        <v>1</v>
      </c>
    </row>
    <row r="16567" spans="2:4">
      <c r="B16567">
        <v>1</v>
      </c>
      <c r="C16567">
        <v>102</v>
      </c>
      <c r="D16567">
        <v>1</v>
      </c>
    </row>
    <row r="16568" spans="2:4">
      <c r="B16568">
        <v>1</v>
      </c>
      <c r="C16568">
        <v>102</v>
      </c>
      <c r="D16568">
        <v>1</v>
      </c>
    </row>
    <row r="16570" spans="2:4">
      <c r="B16570">
        <v>1</v>
      </c>
      <c r="C16570">
        <v>102</v>
      </c>
      <c r="D16570">
        <v>1</v>
      </c>
    </row>
    <row r="16571" spans="2:4">
      <c r="B16571">
        <v>1</v>
      </c>
      <c r="C16571">
        <v>102</v>
      </c>
      <c r="D16571">
        <v>1</v>
      </c>
    </row>
    <row r="16573" spans="2:4">
      <c r="B16573">
        <v>1</v>
      </c>
      <c r="C16573">
        <v>102</v>
      </c>
      <c r="D16573">
        <v>1</v>
      </c>
    </row>
    <row r="16579" spans="2:4">
      <c r="B16579">
        <v>1</v>
      </c>
      <c r="C16579">
        <v>102</v>
      </c>
      <c r="D16579">
        <v>1</v>
      </c>
    </row>
    <row r="16587" spans="2:4">
      <c r="B16587">
        <v>1</v>
      </c>
      <c r="C16587">
        <v>102</v>
      </c>
      <c r="D16587">
        <v>1</v>
      </c>
    </row>
    <row r="16592" spans="2:4">
      <c r="B16592">
        <v>1</v>
      </c>
      <c r="C16592">
        <v>102</v>
      </c>
      <c r="D16592">
        <v>1</v>
      </c>
    </row>
    <row r="16593" spans="2:4">
      <c r="B16593">
        <v>1</v>
      </c>
      <c r="C16593">
        <v>102</v>
      </c>
      <c r="D16593">
        <v>1</v>
      </c>
    </row>
    <row r="16594" spans="2:4">
      <c r="B16594">
        <v>1</v>
      </c>
      <c r="C16594">
        <v>102</v>
      </c>
      <c r="D16594">
        <v>1</v>
      </c>
    </row>
    <row r="16595" spans="2:4">
      <c r="B16595">
        <v>1</v>
      </c>
      <c r="C16595">
        <v>102</v>
      </c>
      <c r="D16595">
        <v>1</v>
      </c>
    </row>
    <row r="16597" spans="2:4">
      <c r="B16597">
        <v>1</v>
      </c>
      <c r="C16597">
        <v>102</v>
      </c>
      <c r="D16597">
        <v>1</v>
      </c>
    </row>
    <row r="16599" spans="2:4">
      <c r="B16599">
        <v>1</v>
      </c>
      <c r="C16599">
        <v>102</v>
      </c>
      <c r="D16599">
        <v>1</v>
      </c>
    </row>
    <row r="16603" spans="2:4">
      <c r="B16603">
        <v>1</v>
      </c>
      <c r="C16603">
        <v>102</v>
      </c>
      <c r="D16603">
        <v>1</v>
      </c>
    </row>
    <row r="16604" spans="2:4">
      <c r="B16604">
        <v>1</v>
      </c>
      <c r="C16604">
        <v>102</v>
      </c>
      <c r="D16604">
        <v>1</v>
      </c>
    </row>
    <row r="16605" spans="2:4">
      <c r="B16605">
        <v>1</v>
      </c>
      <c r="C16605">
        <v>102</v>
      </c>
      <c r="D16605">
        <v>1</v>
      </c>
    </row>
    <row r="16606" spans="2:4">
      <c r="B16606">
        <v>1</v>
      </c>
      <c r="C16606">
        <v>102</v>
      </c>
      <c r="D16606">
        <v>1</v>
      </c>
    </row>
    <row r="16611" spans="2:4">
      <c r="B16611">
        <v>1</v>
      </c>
      <c r="C16611">
        <v>102</v>
      </c>
      <c r="D16611">
        <v>1</v>
      </c>
    </row>
    <row r="16612" spans="2:4">
      <c r="B16612">
        <v>1</v>
      </c>
      <c r="C16612">
        <v>102</v>
      </c>
      <c r="D16612">
        <v>1</v>
      </c>
    </row>
    <row r="16614" spans="2:4">
      <c r="B16614">
        <v>1</v>
      </c>
      <c r="C16614">
        <v>102</v>
      </c>
      <c r="D16614">
        <v>1</v>
      </c>
    </row>
    <row r="16615" spans="2:4">
      <c r="B16615">
        <v>1</v>
      </c>
      <c r="C16615">
        <v>102</v>
      </c>
      <c r="D16615">
        <v>1</v>
      </c>
    </row>
    <row r="16618" spans="2:4">
      <c r="B16618">
        <v>1</v>
      </c>
      <c r="C16618">
        <v>102</v>
      </c>
      <c r="D16618">
        <v>1</v>
      </c>
    </row>
    <row r="16620" spans="2:4">
      <c r="B16620">
        <v>1</v>
      </c>
      <c r="C16620">
        <v>102</v>
      </c>
      <c r="D16620">
        <v>1</v>
      </c>
    </row>
    <row r="16625" spans="2:4">
      <c r="B16625">
        <v>1</v>
      </c>
      <c r="C16625">
        <v>102</v>
      </c>
      <c r="D16625">
        <v>1</v>
      </c>
    </row>
    <row r="16627" spans="2:4">
      <c r="B16627">
        <v>1</v>
      </c>
      <c r="C16627">
        <v>102</v>
      </c>
      <c r="D16627">
        <v>1</v>
      </c>
    </row>
    <row r="16628" spans="2:4">
      <c r="B16628">
        <v>1</v>
      </c>
      <c r="C16628">
        <v>102</v>
      </c>
      <c r="D16628">
        <v>1</v>
      </c>
    </row>
    <row r="16629" spans="2:4">
      <c r="B16629">
        <v>1</v>
      </c>
      <c r="C16629">
        <v>102</v>
      </c>
      <c r="D16629">
        <v>1</v>
      </c>
    </row>
    <row r="16631" spans="2:4">
      <c r="B16631">
        <v>1</v>
      </c>
      <c r="C16631">
        <v>102</v>
      </c>
      <c r="D16631">
        <v>1</v>
      </c>
    </row>
    <row r="16632" spans="2:4">
      <c r="B16632">
        <v>1</v>
      </c>
      <c r="C16632">
        <v>102</v>
      </c>
      <c r="D16632">
        <v>1</v>
      </c>
    </row>
    <row r="16633" spans="2:4">
      <c r="B16633">
        <v>1</v>
      </c>
      <c r="C16633">
        <v>102</v>
      </c>
      <c r="D16633">
        <v>1</v>
      </c>
    </row>
    <row r="16642" spans="2:4">
      <c r="B16642">
        <v>1</v>
      </c>
      <c r="C16642">
        <v>102</v>
      </c>
      <c r="D16642">
        <v>1</v>
      </c>
    </row>
    <row r="16647" spans="2:4">
      <c r="B16647">
        <v>1</v>
      </c>
      <c r="C16647">
        <v>102</v>
      </c>
      <c r="D16647">
        <v>1</v>
      </c>
    </row>
    <row r="16648" spans="2:4">
      <c r="B16648">
        <v>1</v>
      </c>
      <c r="C16648">
        <v>102</v>
      </c>
      <c r="D16648">
        <v>1</v>
      </c>
    </row>
    <row r="16654" spans="2:4">
      <c r="B16654">
        <v>1</v>
      </c>
      <c r="C16654">
        <v>102</v>
      </c>
      <c r="D16654">
        <v>1</v>
      </c>
    </row>
    <row r="16661" spans="2:4">
      <c r="B16661">
        <v>1</v>
      </c>
      <c r="C16661">
        <v>102</v>
      </c>
      <c r="D16661">
        <v>1</v>
      </c>
    </row>
    <row r="16662" spans="2:4">
      <c r="B16662">
        <v>1</v>
      </c>
      <c r="C16662">
        <v>102</v>
      </c>
      <c r="D16662">
        <v>1</v>
      </c>
    </row>
    <row r="16664" spans="2:4">
      <c r="B16664">
        <v>1</v>
      </c>
      <c r="C16664">
        <v>102</v>
      </c>
      <c r="D16664">
        <v>1</v>
      </c>
    </row>
    <row r="16665" spans="2:4">
      <c r="B16665">
        <v>1</v>
      </c>
      <c r="C16665">
        <v>102</v>
      </c>
      <c r="D16665">
        <v>1</v>
      </c>
    </row>
    <row r="16666" spans="2:4">
      <c r="B16666">
        <v>1</v>
      </c>
      <c r="C16666">
        <v>102</v>
      </c>
      <c r="D16666">
        <v>1</v>
      </c>
    </row>
    <row r="16671" spans="2:4">
      <c r="B16671">
        <v>1</v>
      </c>
      <c r="C16671">
        <v>102</v>
      </c>
      <c r="D16671">
        <v>1</v>
      </c>
    </row>
    <row r="16672" spans="2:4">
      <c r="B16672">
        <v>1</v>
      </c>
      <c r="C16672">
        <v>102</v>
      </c>
      <c r="D16672">
        <v>1</v>
      </c>
    </row>
    <row r="16673" spans="2:4">
      <c r="B16673">
        <v>1</v>
      </c>
      <c r="C16673">
        <v>102</v>
      </c>
      <c r="D16673">
        <v>1</v>
      </c>
    </row>
    <row r="16684" spans="2:4">
      <c r="B16684">
        <v>1</v>
      </c>
      <c r="C16684">
        <v>102</v>
      </c>
      <c r="D16684">
        <v>1</v>
      </c>
    </row>
    <row r="16685" spans="2:4">
      <c r="B16685">
        <v>1</v>
      </c>
      <c r="C16685">
        <v>102</v>
      </c>
      <c r="D16685">
        <v>1</v>
      </c>
    </row>
    <row r="16688" spans="2:4">
      <c r="B16688">
        <v>1</v>
      </c>
      <c r="C16688">
        <v>102</v>
      </c>
      <c r="D16688">
        <v>1</v>
      </c>
    </row>
    <row r="16690" spans="2:4">
      <c r="B16690">
        <v>1</v>
      </c>
      <c r="C16690">
        <v>102</v>
      </c>
      <c r="D16690">
        <v>1</v>
      </c>
    </row>
    <row r="16692" spans="2:4">
      <c r="B16692">
        <v>1</v>
      </c>
      <c r="C16692">
        <v>102</v>
      </c>
      <c r="D16692">
        <v>1</v>
      </c>
    </row>
    <row r="16700" spans="2:4">
      <c r="B16700">
        <v>1</v>
      </c>
      <c r="C16700">
        <v>102</v>
      </c>
      <c r="D16700">
        <v>1</v>
      </c>
    </row>
    <row r="16703" spans="2:4">
      <c r="B16703">
        <v>1</v>
      </c>
      <c r="C16703">
        <v>102</v>
      </c>
      <c r="D16703">
        <v>1</v>
      </c>
    </row>
    <row r="16705" spans="2:4">
      <c r="B16705">
        <v>1</v>
      </c>
      <c r="C16705">
        <v>102</v>
      </c>
      <c r="D16705">
        <v>1</v>
      </c>
    </row>
    <row r="16710" spans="2:4">
      <c r="B16710">
        <v>1</v>
      </c>
      <c r="C16710">
        <v>102</v>
      </c>
      <c r="D16710">
        <v>1</v>
      </c>
    </row>
    <row r="16713" spans="2:4">
      <c r="B16713">
        <v>1</v>
      </c>
      <c r="C16713">
        <v>102</v>
      </c>
      <c r="D16713">
        <v>1</v>
      </c>
    </row>
    <row r="16714" spans="2:4">
      <c r="B16714">
        <v>1</v>
      </c>
      <c r="C16714">
        <v>102</v>
      </c>
      <c r="D16714">
        <v>1</v>
      </c>
    </row>
    <row r="16717" spans="2:4">
      <c r="B16717">
        <v>1</v>
      </c>
      <c r="C16717">
        <v>102</v>
      </c>
      <c r="D16717">
        <v>1</v>
      </c>
    </row>
    <row r="16719" spans="2:4">
      <c r="B16719">
        <v>1</v>
      </c>
      <c r="C16719">
        <v>102</v>
      </c>
      <c r="D16719">
        <v>1</v>
      </c>
    </row>
    <row r="16728" spans="2:4">
      <c r="B16728">
        <v>1</v>
      </c>
      <c r="C16728">
        <v>102</v>
      </c>
      <c r="D16728">
        <v>1</v>
      </c>
    </row>
    <row r="16735" spans="2:4">
      <c r="B16735">
        <v>1</v>
      </c>
      <c r="C16735">
        <v>102</v>
      </c>
      <c r="D16735">
        <v>1</v>
      </c>
    </row>
    <row r="16737" spans="2:4">
      <c r="B16737">
        <v>1</v>
      </c>
      <c r="C16737">
        <v>102</v>
      </c>
      <c r="D16737">
        <v>1</v>
      </c>
    </row>
    <row r="16738" spans="2:4">
      <c r="B16738">
        <v>1</v>
      </c>
      <c r="C16738">
        <v>102</v>
      </c>
      <c r="D16738">
        <v>1</v>
      </c>
    </row>
    <row r="16745" spans="2:4">
      <c r="B16745">
        <v>1</v>
      </c>
      <c r="C16745">
        <v>102</v>
      </c>
      <c r="D16745">
        <v>1</v>
      </c>
    </row>
    <row r="16750" spans="2:4">
      <c r="B16750">
        <v>1</v>
      </c>
      <c r="C16750">
        <v>102</v>
      </c>
      <c r="D16750">
        <v>1</v>
      </c>
    </row>
    <row r="16751" spans="2:4">
      <c r="B16751">
        <v>1</v>
      </c>
      <c r="C16751">
        <v>102</v>
      </c>
      <c r="D16751">
        <v>1</v>
      </c>
    </row>
    <row r="16754" spans="2:4">
      <c r="B16754">
        <v>1</v>
      </c>
      <c r="C16754">
        <v>102</v>
      </c>
      <c r="D16754">
        <v>1</v>
      </c>
    </row>
    <row r="16758" spans="2:4">
      <c r="B16758">
        <v>1</v>
      </c>
      <c r="C16758">
        <v>102</v>
      </c>
      <c r="D16758">
        <v>1</v>
      </c>
    </row>
    <row r="16764" spans="2:4">
      <c r="B16764">
        <v>1</v>
      </c>
      <c r="C16764">
        <v>102</v>
      </c>
      <c r="D16764">
        <v>1</v>
      </c>
    </row>
    <row r="16765" spans="2:4">
      <c r="B16765">
        <v>1</v>
      </c>
      <c r="C16765">
        <v>102</v>
      </c>
      <c r="D16765">
        <v>1</v>
      </c>
    </row>
    <row r="16766" spans="2:4">
      <c r="B16766">
        <v>1</v>
      </c>
      <c r="C16766">
        <v>102</v>
      </c>
      <c r="D16766">
        <v>1</v>
      </c>
    </row>
    <row r="16767" spans="2:4">
      <c r="B16767">
        <v>1</v>
      </c>
      <c r="C16767">
        <v>102</v>
      </c>
      <c r="D16767">
        <v>1</v>
      </c>
    </row>
    <row r="16768" spans="2:4">
      <c r="B16768">
        <v>1</v>
      </c>
      <c r="C16768">
        <v>102</v>
      </c>
      <c r="D16768">
        <v>1</v>
      </c>
    </row>
    <row r="16772" spans="2:4">
      <c r="B16772">
        <v>1</v>
      </c>
      <c r="C16772">
        <v>102</v>
      </c>
      <c r="D16772">
        <v>1</v>
      </c>
    </row>
    <row r="16773" spans="2:4">
      <c r="B16773">
        <v>1</v>
      </c>
      <c r="C16773">
        <v>102</v>
      </c>
      <c r="D16773">
        <v>1</v>
      </c>
    </row>
    <row r="16777" spans="2:4">
      <c r="B16777">
        <v>1</v>
      </c>
      <c r="C16777">
        <v>102</v>
      </c>
      <c r="D16777">
        <v>1</v>
      </c>
    </row>
    <row r="16779" spans="2:4">
      <c r="B16779">
        <v>1</v>
      </c>
      <c r="C16779">
        <v>102</v>
      </c>
      <c r="D16779">
        <v>1</v>
      </c>
    </row>
    <row r="16780" spans="2:4">
      <c r="B16780">
        <v>1</v>
      </c>
      <c r="C16780">
        <v>102</v>
      </c>
      <c r="D16780">
        <v>1</v>
      </c>
    </row>
    <row r="16784" spans="2:4">
      <c r="B16784">
        <v>1</v>
      </c>
      <c r="C16784">
        <v>102</v>
      </c>
      <c r="D16784">
        <v>1</v>
      </c>
    </row>
    <row r="16785" spans="2:4">
      <c r="B16785">
        <v>1</v>
      </c>
      <c r="C16785">
        <v>102</v>
      </c>
      <c r="D16785">
        <v>1</v>
      </c>
    </row>
    <row r="16786" spans="2:4">
      <c r="B16786">
        <v>1</v>
      </c>
      <c r="C16786">
        <v>102</v>
      </c>
      <c r="D16786">
        <v>1</v>
      </c>
    </row>
    <row r="16788" spans="2:4">
      <c r="B16788">
        <v>1</v>
      </c>
      <c r="C16788">
        <v>102</v>
      </c>
      <c r="D16788">
        <v>1</v>
      </c>
    </row>
    <row r="16797" spans="2:4">
      <c r="B16797">
        <v>1</v>
      </c>
      <c r="C16797">
        <v>102</v>
      </c>
      <c r="D16797">
        <v>1</v>
      </c>
    </row>
    <row r="16802" spans="2:4">
      <c r="B16802">
        <v>1</v>
      </c>
      <c r="C16802">
        <v>102</v>
      </c>
      <c r="D16802">
        <v>1</v>
      </c>
    </row>
    <row r="16803" spans="2:4">
      <c r="B16803">
        <v>1</v>
      </c>
      <c r="C16803">
        <v>102</v>
      </c>
      <c r="D16803">
        <v>1</v>
      </c>
    </row>
    <row r="16805" spans="2:4">
      <c r="B16805">
        <v>1</v>
      </c>
      <c r="C16805">
        <v>102</v>
      </c>
      <c r="D16805">
        <v>1</v>
      </c>
    </row>
    <row r="16806" spans="2:4">
      <c r="B16806">
        <v>1</v>
      </c>
      <c r="C16806">
        <v>102</v>
      </c>
      <c r="D16806">
        <v>1</v>
      </c>
    </row>
    <row r="16808" spans="2:4">
      <c r="B16808">
        <v>1</v>
      </c>
      <c r="C16808">
        <v>102</v>
      </c>
      <c r="D16808">
        <v>1</v>
      </c>
    </row>
    <row r="16810" spans="2:4">
      <c r="B16810">
        <v>1</v>
      </c>
      <c r="C16810">
        <v>102</v>
      </c>
      <c r="D16810">
        <v>1</v>
      </c>
    </row>
    <row r="16811" spans="2:4">
      <c r="B16811">
        <v>1</v>
      </c>
      <c r="C16811">
        <v>102</v>
      </c>
      <c r="D16811">
        <v>1</v>
      </c>
    </row>
    <row r="16814" spans="2:4">
      <c r="B16814">
        <v>1</v>
      </c>
      <c r="C16814">
        <v>102</v>
      </c>
      <c r="D16814">
        <v>1</v>
      </c>
    </row>
    <row r="16817" spans="2:4">
      <c r="B16817">
        <v>1</v>
      </c>
      <c r="C16817">
        <v>102</v>
      </c>
      <c r="D16817">
        <v>1</v>
      </c>
    </row>
    <row r="16819" spans="2:4">
      <c r="B16819">
        <v>1</v>
      </c>
      <c r="C16819">
        <v>102</v>
      </c>
      <c r="D16819">
        <v>1</v>
      </c>
    </row>
    <row r="16822" spans="2:4">
      <c r="B16822">
        <v>1</v>
      </c>
      <c r="C16822">
        <v>102</v>
      </c>
      <c r="D16822">
        <v>1</v>
      </c>
    </row>
    <row r="16823" spans="2:4">
      <c r="B16823">
        <v>1</v>
      </c>
      <c r="C16823">
        <v>102</v>
      </c>
      <c r="D16823">
        <v>1</v>
      </c>
    </row>
    <row r="16824" spans="2:4">
      <c r="B16824">
        <v>1</v>
      </c>
      <c r="C16824">
        <v>102</v>
      </c>
      <c r="D16824">
        <v>1</v>
      </c>
    </row>
    <row r="16826" spans="2:4">
      <c r="B16826">
        <v>1</v>
      </c>
      <c r="C16826">
        <v>102</v>
      </c>
      <c r="D16826">
        <v>1</v>
      </c>
    </row>
    <row r="16827" spans="2:4">
      <c r="B16827">
        <v>1</v>
      </c>
      <c r="C16827">
        <v>102</v>
      </c>
      <c r="D16827">
        <v>1</v>
      </c>
    </row>
    <row r="16829" spans="2:4">
      <c r="B16829">
        <v>1</v>
      </c>
      <c r="C16829">
        <v>102</v>
      </c>
      <c r="D16829">
        <v>1</v>
      </c>
    </row>
    <row r="16835" spans="2:4">
      <c r="B16835">
        <v>1</v>
      </c>
      <c r="C16835">
        <v>102</v>
      </c>
      <c r="D16835">
        <v>1</v>
      </c>
    </row>
    <row r="16843" spans="2:4">
      <c r="B16843">
        <v>1</v>
      </c>
      <c r="C16843">
        <v>102</v>
      </c>
      <c r="D16843">
        <v>1</v>
      </c>
    </row>
    <row r="16848" spans="2:4">
      <c r="B16848">
        <v>1</v>
      </c>
      <c r="C16848">
        <v>102</v>
      </c>
      <c r="D16848">
        <v>1</v>
      </c>
    </row>
    <row r="16849" spans="2:4">
      <c r="B16849">
        <v>1</v>
      </c>
      <c r="C16849">
        <v>102</v>
      </c>
      <c r="D16849">
        <v>1</v>
      </c>
    </row>
    <row r="16850" spans="2:4">
      <c r="B16850">
        <v>1</v>
      </c>
      <c r="C16850">
        <v>102</v>
      </c>
      <c r="D16850">
        <v>1</v>
      </c>
    </row>
    <row r="16851" spans="2:4">
      <c r="B16851">
        <v>1</v>
      </c>
      <c r="C16851">
        <v>102</v>
      </c>
      <c r="D16851">
        <v>1</v>
      </c>
    </row>
    <row r="16853" spans="2:4">
      <c r="B16853">
        <v>1</v>
      </c>
      <c r="C16853">
        <v>102</v>
      </c>
      <c r="D16853">
        <v>1</v>
      </c>
    </row>
    <row r="16855" spans="2:4">
      <c r="B16855">
        <v>1</v>
      </c>
      <c r="C16855">
        <v>102</v>
      </c>
      <c r="D16855">
        <v>1</v>
      </c>
    </row>
    <row r="16859" spans="2:4">
      <c r="B16859">
        <v>1</v>
      </c>
      <c r="C16859">
        <v>102</v>
      </c>
      <c r="D16859">
        <v>1</v>
      </c>
    </row>
    <row r="16860" spans="2:4">
      <c r="B16860">
        <v>1</v>
      </c>
      <c r="C16860">
        <v>102</v>
      </c>
      <c r="D16860">
        <v>1</v>
      </c>
    </row>
    <row r="16861" spans="2:4">
      <c r="B16861">
        <v>1</v>
      </c>
      <c r="C16861">
        <v>102</v>
      </c>
      <c r="D16861">
        <v>1</v>
      </c>
    </row>
    <row r="16862" spans="2:4">
      <c r="B16862">
        <v>1</v>
      </c>
      <c r="C16862">
        <v>102</v>
      </c>
      <c r="D16862">
        <v>1</v>
      </c>
    </row>
    <row r="16867" spans="2:4">
      <c r="B16867">
        <v>1</v>
      </c>
      <c r="C16867">
        <v>102</v>
      </c>
      <c r="D16867">
        <v>1</v>
      </c>
    </row>
    <row r="16868" spans="2:4">
      <c r="B16868">
        <v>1</v>
      </c>
      <c r="C16868">
        <v>102</v>
      </c>
      <c r="D16868">
        <v>1</v>
      </c>
    </row>
    <row r="16870" spans="2:4">
      <c r="B16870">
        <v>1</v>
      </c>
      <c r="C16870">
        <v>102</v>
      </c>
      <c r="D16870">
        <v>1</v>
      </c>
    </row>
    <row r="16871" spans="2:4">
      <c r="B16871">
        <v>1</v>
      </c>
      <c r="C16871">
        <v>102</v>
      </c>
      <c r="D16871">
        <v>1</v>
      </c>
    </row>
    <row r="16874" spans="2:4">
      <c r="B16874">
        <v>1</v>
      </c>
      <c r="C16874">
        <v>102</v>
      </c>
      <c r="D16874">
        <v>1</v>
      </c>
    </row>
    <row r="16876" spans="2:4">
      <c r="B16876">
        <v>1</v>
      </c>
      <c r="C16876">
        <v>102</v>
      </c>
      <c r="D16876">
        <v>1</v>
      </c>
    </row>
    <row r="16881" spans="2:4">
      <c r="B16881">
        <v>1</v>
      </c>
      <c r="C16881">
        <v>102</v>
      </c>
      <c r="D16881">
        <v>1</v>
      </c>
    </row>
    <row r="16883" spans="2:4">
      <c r="B16883">
        <v>1</v>
      </c>
      <c r="C16883">
        <v>102</v>
      </c>
      <c r="D16883">
        <v>1</v>
      </c>
    </row>
    <row r="16884" spans="2:4">
      <c r="B16884">
        <v>1</v>
      </c>
      <c r="C16884">
        <v>102</v>
      </c>
      <c r="D16884">
        <v>1</v>
      </c>
    </row>
    <row r="16885" spans="2:4">
      <c r="B16885">
        <v>1</v>
      </c>
      <c r="C16885">
        <v>102</v>
      </c>
      <c r="D16885">
        <v>1</v>
      </c>
    </row>
    <row r="16887" spans="2:4">
      <c r="B16887">
        <v>1</v>
      </c>
      <c r="C16887">
        <v>102</v>
      </c>
      <c r="D16887">
        <v>1</v>
      </c>
    </row>
    <row r="16888" spans="2:4">
      <c r="B16888">
        <v>1</v>
      </c>
      <c r="C16888">
        <v>102</v>
      </c>
      <c r="D16888">
        <v>1</v>
      </c>
    </row>
    <row r="16889" spans="2:4">
      <c r="B16889">
        <v>1</v>
      </c>
      <c r="C16889">
        <v>102</v>
      </c>
      <c r="D16889">
        <v>1</v>
      </c>
    </row>
    <row r="16898" spans="2:4">
      <c r="B16898">
        <v>1</v>
      </c>
      <c r="C16898">
        <v>102</v>
      </c>
      <c r="D16898">
        <v>1</v>
      </c>
    </row>
    <row r="16903" spans="2:4">
      <c r="B16903">
        <v>1</v>
      </c>
      <c r="C16903">
        <v>102</v>
      </c>
      <c r="D16903">
        <v>1</v>
      </c>
    </row>
    <row r="16904" spans="2:4">
      <c r="B16904">
        <v>1</v>
      </c>
      <c r="C16904">
        <v>102</v>
      </c>
      <c r="D16904">
        <v>1</v>
      </c>
    </row>
    <row r="16910" spans="2:4">
      <c r="B16910">
        <v>1</v>
      </c>
      <c r="C16910">
        <v>102</v>
      </c>
      <c r="D16910">
        <v>1</v>
      </c>
    </row>
    <row r="16917" spans="2:4">
      <c r="B16917">
        <v>1</v>
      </c>
      <c r="C16917">
        <v>102</v>
      </c>
      <c r="D16917">
        <v>1</v>
      </c>
    </row>
    <row r="16918" spans="2:4">
      <c r="B16918">
        <v>1</v>
      </c>
      <c r="C16918">
        <v>102</v>
      </c>
      <c r="D16918">
        <v>1</v>
      </c>
    </row>
    <row r="16920" spans="2:4">
      <c r="B16920">
        <v>1</v>
      </c>
      <c r="C16920">
        <v>102</v>
      </c>
      <c r="D16920">
        <v>1</v>
      </c>
    </row>
    <row r="16921" spans="2:4">
      <c r="B16921">
        <v>1</v>
      </c>
      <c r="C16921">
        <v>102</v>
      </c>
      <c r="D16921">
        <v>1</v>
      </c>
    </row>
    <row r="16922" spans="2:4">
      <c r="B16922">
        <v>1</v>
      </c>
      <c r="C16922">
        <v>102</v>
      </c>
      <c r="D16922">
        <v>1</v>
      </c>
    </row>
    <row r="16927" spans="2:4">
      <c r="B16927">
        <v>1</v>
      </c>
      <c r="C16927">
        <v>102</v>
      </c>
      <c r="D16927">
        <v>1</v>
      </c>
    </row>
    <row r="16928" spans="2:4">
      <c r="B16928">
        <v>1</v>
      </c>
      <c r="C16928">
        <v>102</v>
      </c>
      <c r="D16928">
        <v>1</v>
      </c>
    </row>
    <row r="16929" spans="2:4">
      <c r="B16929">
        <v>1</v>
      </c>
      <c r="C16929">
        <v>102</v>
      </c>
      <c r="D16929">
        <v>1</v>
      </c>
    </row>
    <row r="16940" spans="2:4">
      <c r="B16940">
        <v>1</v>
      </c>
      <c r="C16940">
        <v>102</v>
      </c>
      <c r="D16940">
        <v>1</v>
      </c>
    </row>
    <row r="16941" spans="2:4">
      <c r="B16941">
        <v>1</v>
      </c>
      <c r="C16941">
        <v>102</v>
      </c>
      <c r="D16941">
        <v>1</v>
      </c>
    </row>
    <row r="16944" spans="2:4">
      <c r="B16944">
        <v>1</v>
      </c>
      <c r="C16944">
        <v>102</v>
      </c>
      <c r="D16944">
        <v>1</v>
      </c>
    </row>
    <row r="16946" spans="2:4">
      <c r="B16946">
        <v>1</v>
      </c>
      <c r="C16946">
        <v>102</v>
      </c>
      <c r="D16946">
        <v>1</v>
      </c>
    </row>
    <row r="16948" spans="2:4">
      <c r="B16948">
        <v>1</v>
      </c>
      <c r="C16948">
        <v>102</v>
      </c>
      <c r="D16948">
        <v>1</v>
      </c>
    </row>
    <row r="16956" spans="2:4">
      <c r="B16956">
        <v>1</v>
      </c>
      <c r="C16956">
        <v>102</v>
      </c>
      <c r="D16956">
        <v>1</v>
      </c>
    </row>
    <row r="16959" spans="2:4">
      <c r="B16959">
        <v>1</v>
      </c>
      <c r="C16959">
        <v>102</v>
      </c>
      <c r="D16959">
        <v>1</v>
      </c>
    </row>
    <row r="16961" spans="2:4">
      <c r="B16961">
        <v>1</v>
      </c>
      <c r="C16961">
        <v>102</v>
      </c>
      <c r="D16961">
        <v>1</v>
      </c>
    </row>
    <row r="16966" spans="2:4">
      <c r="B16966">
        <v>1</v>
      </c>
      <c r="C16966">
        <v>102</v>
      </c>
      <c r="D16966">
        <v>1</v>
      </c>
    </row>
    <row r="16969" spans="2:4">
      <c r="B16969">
        <v>1</v>
      </c>
      <c r="C16969">
        <v>102</v>
      </c>
      <c r="D16969">
        <v>1</v>
      </c>
    </row>
    <row r="16970" spans="2:4">
      <c r="B16970">
        <v>1</v>
      </c>
      <c r="C16970">
        <v>102</v>
      </c>
      <c r="D16970">
        <v>1</v>
      </c>
    </row>
    <row r="16973" spans="2:4">
      <c r="B16973">
        <v>1</v>
      </c>
      <c r="C16973">
        <v>102</v>
      </c>
      <c r="D16973">
        <v>1</v>
      </c>
    </row>
    <row r="16975" spans="2:4">
      <c r="B16975">
        <v>1</v>
      </c>
      <c r="C16975">
        <v>102</v>
      </c>
      <c r="D16975">
        <v>1</v>
      </c>
    </row>
    <row r="16984" spans="2:4">
      <c r="B16984">
        <v>1</v>
      </c>
      <c r="C16984">
        <v>102</v>
      </c>
      <c r="D16984">
        <v>1</v>
      </c>
    </row>
    <row r="16991" spans="2:4">
      <c r="B16991">
        <v>1</v>
      </c>
      <c r="C16991">
        <v>102</v>
      </c>
      <c r="D16991">
        <v>1</v>
      </c>
    </row>
    <row r="16993" spans="2:4">
      <c r="B16993">
        <v>1</v>
      </c>
      <c r="C16993">
        <v>102</v>
      </c>
      <c r="D16993">
        <v>1</v>
      </c>
    </row>
    <row r="16994" spans="2:4">
      <c r="B16994">
        <v>1</v>
      </c>
      <c r="C16994">
        <v>102</v>
      </c>
      <c r="D16994">
        <v>1</v>
      </c>
    </row>
    <row r="17001" spans="2:4">
      <c r="B17001">
        <v>1</v>
      </c>
      <c r="C17001">
        <v>102</v>
      </c>
      <c r="D17001">
        <v>1</v>
      </c>
    </row>
    <row r="17006" spans="2:4">
      <c r="B17006">
        <v>1</v>
      </c>
      <c r="C17006">
        <v>102</v>
      </c>
      <c r="D17006">
        <v>1</v>
      </c>
    </row>
    <row r="17007" spans="2:4">
      <c r="B17007">
        <v>1</v>
      </c>
      <c r="C17007">
        <v>102</v>
      </c>
      <c r="D17007">
        <v>1</v>
      </c>
    </row>
    <row r="17010" spans="2:4">
      <c r="B17010">
        <v>1</v>
      </c>
      <c r="C17010">
        <v>102</v>
      </c>
      <c r="D17010">
        <v>1</v>
      </c>
    </row>
    <row r="17014" spans="2:4">
      <c r="B17014">
        <v>1</v>
      </c>
      <c r="C17014">
        <v>102</v>
      </c>
      <c r="D17014">
        <v>1</v>
      </c>
    </row>
    <row r="17020" spans="2:4">
      <c r="B17020">
        <v>1</v>
      </c>
      <c r="C17020">
        <v>102</v>
      </c>
      <c r="D17020">
        <v>1</v>
      </c>
    </row>
    <row r="17021" spans="2:4">
      <c r="B17021">
        <v>1</v>
      </c>
      <c r="C17021">
        <v>102</v>
      </c>
      <c r="D17021">
        <v>1</v>
      </c>
    </row>
    <row r="17022" spans="2:4">
      <c r="B17022">
        <v>1</v>
      </c>
      <c r="C17022">
        <v>102</v>
      </c>
      <c r="D17022">
        <v>1</v>
      </c>
    </row>
    <row r="17023" spans="2:4">
      <c r="B17023">
        <v>1</v>
      </c>
      <c r="C17023">
        <v>102</v>
      </c>
      <c r="D17023">
        <v>1</v>
      </c>
    </row>
    <row r="17024" spans="2:4">
      <c r="B17024">
        <v>1</v>
      </c>
      <c r="C17024">
        <v>102</v>
      </c>
      <c r="D17024">
        <v>1</v>
      </c>
    </row>
    <row r="17028" spans="2:4">
      <c r="B17028">
        <v>1</v>
      </c>
      <c r="C17028">
        <v>102</v>
      </c>
      <c r="D17028">
        <v>1</v>
      </c>
    </row>
    <row r="17029" spans="2:4">
      <c r="B17029">
        <v>1</v>
      </c>
      <c r="C17029">
        <v>102</v>
      </c>
      <c r="D17029">
        <v>1</v>
      </c>
    </row>
    <row r="17033" spans="2:4">
      <c r="B17033">
        <v>1</v>
      </c>
      <c r="C17033">
        <v>102</v>
      </c>
      <c r="D17033">
        <v>1</v>
      </c>
    </row>
    <row r="17035" spans="2:4">
      <c r="B17035">
        <v>1</v>
      </c>
      <c r="C17035">
        <v>102</v>
      </c>
      <c r="D17035">
        <v>1</v>
      </c>
    </row>
    <row r="17036" spans="2:4">
      <c r="B17036">
        <v>1</v>
      </c>
      <c r="C17036">
        <v>102</v>
      </c>
      <c r="D17036">
        <v>1</v>
      </c>
    </row>
    <row r="17040" spans="2:4">
      <c r="B17040">
        <v>1</v>
      </c>
      <c r="C17040">
        <v>102</v>
      </c>
      <c r="D17040">
        <v>1</v>
      </c>
    </row>
    <row r="17041" spans="2:4">
      <c r="B17041">
        <v>1</v>
      </c>
      <c r="C17041">
        <v>102</v>
      </c>
      <c r="D17041">
        <v>1</v>
      </c>
    </row>
    <row r="17042" spans="2:4">
      <c r="B17042">
        <v>1</v>
      </c>
      <c r="C17042">
        <v>102</v>
      </c>
      <c r="D17042">
        <v>1</v>
      </c>
    </row>
    <row r="17044" spans="2:4">
      <c r="B17044">
        <v>1</v>
      </c>
      <c r="C17044">
        <v>102</v>
      </c>
      <c r="D17044">
        <v>1</v>
      </c>
    </row>
    <row r="17053" spans="2:4">
      <c r="B17053">
        <v>1</v>
      </c>
      <c r="C17053">
        <v>102</v>
      </c>
      <c r="D17053">
        <v>1</v>
      </c>
    </row>
    <row r="17058" spans="2:4">
      <c r="B17058">
        <v>1</v>
      </c>
      <c r="C17058">
        <v>102</v>
      </c>
      <c r="D17058">
        <v>1</v>
      </c>
    </row>
    <row r="17059" spans="2:4">
      <c r="B17059">
        <v>1</v>
      </c>
      <c r="C17059">
        <v>102</v>
      </c>
      <c r="D17059">
        <v>1</v>
      </c>
    </row>
    <row r="17061" spans="2:4">
      <c r="B17061">
        <v>1</v>
      </c>
      <c r="C17061">
        <v>102</v>
      </c>
      <c r="D17061">
        <v>1</v>
      </c>
    </row>
    <row r="17062" spans="2:4">
      <c r="B17062">
        <v>1</v>
      </c>
      <c r="C17062">
        <v>102</v>
      </c>
      <c r="D17062">
        <v>1</v>
      </c>
    </row>
    <row r="17064" spans="2:4">
      <c r="B17064">
        <v>1</v>
      </c>
      <c r="C17064">
        <v>102</v>
      </c>
      <c r="D17064">
        <v>1</v>
      </c>
    </row>
    <row r="17066" spans="2:4">
      <c r="B17066">
        <v>1</v>
      </c>
      <c r="C17066">
        <v>102</v>
      </c>
      <c r="D17066">
        <v>1</v>
      </c>
    </row>
    <row r="17067" spans="2:4">
      <c r="B17067">
        <v>1</v>
      </c>
      <c r="C17067">
        <v>102</v>
      </c>
      <c r="D17067">
        <v>1</v>
      </c>
    </row>
    <row r="17070" spans="2:4">
      <c r="B17070">
        <v>1</v>
      </c>
      <c r="C17070">
        <v>102</v>
      </c>
      <c r="D17070">
        <v>1</v>
      </c>
    </row>
    <row r="17073" spans="2:4">
      <c r="B17073">
        <v>1</v>
      </c>
      <c r="C17073">
        <v>102</v>
      </c>
      <c r="D17073">
        <v>1</v>
      </c>
    </row>
    <row r="17075" spans="2:4">
      <c r="B17075">
        <v>1</v>
      </c>
      <c r="C17075">
        <v>102</v>
      </c>
      <c r="D17075">
        <v>1</v>
      </c>
    </row>
    <row r="17078" spans="2:4">
      <c r="B17078">
        <v>1</v>
      </c>
      <c r="C17078">
        <v>102</v>
      </c>
      <c r="D17078">
        <v>1</v>
      </c>
    </row>
    <row r="17079" spans="2:4">
      <c r="B17079">
        <v>1</v>
      </c>
      <c r="C17079">
        <v>102</v>
      </c>
      <c r="D17079">
        <v>1</v>
      </c>
    </row>
    <row r="17080" spans="2:4">
      <c r="B17080">
        <v>1</v>
      </c>
      <c r="C17080">
        <v>102</v>
      </c>
      <c r="D17080">
        <v>1</v>
      </c>
    </row>
    <row r="17082" spans="2:4">
      <c r="B17082">
        <v>1</v>
      </c>
      <c r="C17082">
        <v>102</v>
      </c>
      <c r="D17082">
        <v>1</v>
      </c>
    </row>
    <row r="17083" spans="2:4">
      <c r="B17083">
        <v>1</v>
      </c>
      <c r="C17083">
        <v>102</v>
      </c>
      <c r="D17083">
        <v>1</v>
      </c>
    </row>
    <row r="17085" spans="2:4">
      <c r="B17085">
        <v>1</v>
      </c>
      <c r="C17085">
        <v>102</v>
      </c>
      <c r="D17085">
        <v>1</v>
      </c>
    </row>
    <row r="17091" spans="2:4">
      <c r="B17091">
        <v>1</v>
      </c>
      <c r="C17091">
        <v>102</v>
      </c>
      <c r="D17091">
        <v>1</v>
      </c>
    </row>
    <row r="17099" spans="2:4">
      <c r="B17099">
        <v>1</v>
      </c>
      <c r="C17099">
        <v>102</v>
      </c>
      <c r="D17099">
        <v>1</v>
      </c>
    </row>
    <row r="17104" spans="2:4">
      <c r="B17104">
        <v>1</v>
      </c>
      <c r="C17104">
        <v>102</v>
      </c>
      <c r="D17104">
        <v>1</v>
      </c>
    </row>
    <row r="17105" spans="2:4">
      <c r="B17105">
        <v>1</v>
      </c>
      <c r="C17105">
        <v>102</v>
      </c>
      <c r="D17105">
        <v>1</v>
      </c>
    </row>
    <row r="17106" spans="2:4">
      <c r="B17106">
        <v>1</v>
      </c>
      <c r="C17106">
        <v>102</v>
      </c>
      <c r="D17106">
        <v>1</v>
      </c>
    </row>
    <row r="17107" spans="2:4">
      <c r="B17107">
        <v>1</v>
      </c>
      <c r="C17107">
        <v>102</v>
      </c>
      <c r="D17107">
        <v>1</v>
      </c>
    </row>
    <row r="17109" spans="2:4">
      <c r="B17109">
        <v>1</v>
      </c>
      <c r="C17109">
        <v>102</v>
      </c>
      <c r="D17109">
        <v>1</v>
      </c>
    </row>
    <row r="17111" spans="2:4">
      <c r="B17111">
        <v>1</v>
      </c>
      <c r="C17111">
        <v>102</v>
      </c>
      <c r="D17111">
        <v>1</v>
      </c>
    </row>
    <row r="17115" spans="2:4">
      <c r="B17115">
        <v>1</v>
      </c>
      <c r="C17115">
        <v>102</v>
      </c>
      <c r="D17115">
        <v>1</v>
      </c>
    </row>
    <row r="17116" spans="2:4">
      <c r="B17116">
        <v>1</v>
      </c>
      <c r="C17116">
        <v>102</v>
      </c>
      <c r="D17116">
        <v>1</v>
      </c>
    </row>
    <row r="17117" spans="2:4">
      <c r="B17117">
        <v>1</v>
      </c>
      <c r="C17117">
        <v>102</v>
      </c>
      <c r="D17117">
        <v>1</v>
      </c>
    </row>
    <row r="17118" spans="2:4">
      <c r="B17118">
        <v>1</v>
      </c>
      <c r="C17118">
        <v>102</v>
      </c>
      <c r="D17118">
        <v>1</v>
      </c>
    </row>
    <row r="17123" spans="2:4">
      <c r="B17123">
        <v>1</v>
      </c>
      <c r="C17123">
        <v>102</v>
      </c>
      <c r="D17123">
        <v>1</v>
      </c>
    </row>
    <row r="17124" spans="2:4">
      <c r="B17124">
        <v>1</v>
      </c>
      <c r="C17124">
        <v>102</v>
      </c>
      <c r="D17124">
        <v>1</v>
      </c>
    </row>
    <row r="17126" spans="2:4">
      <c r="B17126">
        <v>1</v>
      </c>
      <c r="C17126">
        <v>102</v>
      </c>
      <c r="D17126">
        <v>1</v>
      </c>
    </row>
    <row r="17127" spans="2:4">
      <c r="B17127">
        <v>1</v>
      </c>
      <c r="C17127">
        <v>102</v>
      </c>
      <c r="D17127">
        <v>1</v>
      </c>
    </row>
    <row r="17130" spans="2:4">
      <c r="B17130">
        <v>1</v>
      </c>
      <c r="C17130">
        <v>102</v>
      </c>
      <c r="D17130">
        <v>1</v>
      </c>
    </row>
    <row r="17132" spans="2:4">
      <c r="B17132">
        <v>1</v>
      </c>
      <c r="C17132">
        <v>102</v>
      </c>
      <c r="D17132">
        <v>1</v>
      </c>
    </row>
    <row r="17137" spans="2:4">
      <c r="B17137">
        <v>1</v>
      </c>
      <c r="C17137">
        <v>102</v>
      </c>
      <c r="D17137">
        <v>1</v>
      </c>
    </row>
    <row r="17139" spans="2:4">
      <c r="B17139">
        <v>1</v>
      </c>
      <c r="C17139">
        <v>102</v>
      </c>
      <c r="D17139">
        <v>1</v>
      </c>
    </row>
    <row r="17140" spans="2:4">
      <c r="B17140">
        <v>1</v>
      </c>
      <c r="C17140">
        <v>102</v>
      </c>
      <c r="D17140">
        <v>1</v>
      </c>
    </row>
    <row r="17141" spans="2:4">
      <c r="B17141">
        <v>1</v>
      </c>
      <c r="C17141">
        <v>102</v>
      </c>
      <c r="D17141">
        <v>1</v>
      </c>
    </row>
    <row r="17143" spans="2:4">
      <c r="B17143">
        <v>1</v>
      </c>
      <c r="C17143">
        <v>102</v>
      </c>
      <c r="D17143">
        <v>1</v>
      </c>
    </row>
    <row r="17144" spans="2:4">
      <c r="B17144">
        <v>1</v>
      </c>
      <c r="C17144">
        <v>102</v>
      </c>
      <c r="D17144">
        <v>1</v>
      </c>
    </row>
    <row r="17145" spans="2:4">
      <c r="B17145">
        <v>1</v>
      </c>
      <c r="C17145">
        <v>102</v>
      </c>
      <c r="D17145">
        <v>1</v>
      </c>
    </row>
    <row r="17154" spans="2:4">
      <c r="B17154">
        <v>1</v>
      </c>
      <c r="C17154">
        <v>102</v>
      </c>
      <c r="D17154">
        <v>1</v>
      </c>
    </row>
    <row r="17159" spans="2:4">
      <c r="B17159">
        <v>1</v>
      </c>
      <c r="C17159">
        <v>102</v>
      </c>
      <c r="D17159">
        <v>1</v>
      </c>
    </row>
    <row r="17160" spans="2:4">
      <c r="B17160">
        <v>1</v>
      </c>
      <c r="C17160">
        <v>102</v>
      </c>
      <c r="D17160">
        <v>1</v>
      </c>
    </row>
    <row r="17166" spans="2:4">
      <c r="B17166">
        <v>1</v>
      </c>
      <c r="C17166">
        <v>102</v>
      </c>
      <c r="D17166">
        <v>1</v>
      </c>
    </row>
    <row r="17173" spans="2:4">
      <c r="B17173">
        <v>1</v>
      </c>
      <c r="C17173">
        <v>102</v>
      </c>
      <c r="D17173">
        <v>1</v>
      </c>
    </row>
    <row r="17174" spans="2:4">
      <c r="B17174">
        <v>1</v>
      </c>
      <c r="C17174">
        <v>102</v>
      </c>
      <c r="D17174">
        <v>1</v>
      </c>
    </row>
    <row r="17176" spans="2:4">
      <c r="B17176">
        <v>1</v>
      </c>
      <c r="C17176">
        <v>102</v>
      </c>
      <c r="D17176">
        <v>1</v>
      </c>
    </row>
    <row r="17177" spans="2:4">
      <c r="B17177">
        <v>1</v>
      </c>
      <c r="C17177">
        <v>102</v>
      </c>
      <c r="D17177">
        <v>1</v>
      </c>
    </row>
    <row r="17178" spans="2:4">
      <c r="B17178">
        <v>1</v>
      </c>
      <c r="C17178">
        <v>102</v>
      </c>
      <c r="D17178">
        <v>1</v>
      </c>
    </row>
    <row r="17183" spans="2:4">
      <c r="B17183">
        <v>1</v>
      </c>
      <c r="C17183">
        <v>102</v>
      </c>
      <c r="D17183">
        <v>1</v>
      </c>
    </row>
    <row r="17184" spans="2:4">
      <c r="B17184">
        <v>1</v>
      </c>
      <c r="C17184">
        <v>102</v>
      </c>
      <c r="D17184">
        <v>1</v>
      </c>
    </row>
    <row r="17185" spans="2:4">
      <c r="B17185">
        <v>1</v>
      </c>
      <c r="C17185">
        <v>102</v>
      </c>
      <c r="D17185">
        <v>1</v>
      </c>
    </row>
    <row r="17196" spans="2:4">
      <c r="B17196">
        <v>1</v>
      </c>
      <c r="C17196">
        <v>102</v>
      </c>
      <c r="D17196">
        <v>1</v>
      </c>
    </row>
    <row r="17197" spans="2:4">
      <c r="B17197">
        <v>1</v>
      </c>
      <c r="C17197">
        <v>102</v>
      </c>
      <c r="D17197">
        <v>1</v>
      </c>
    </row>
    <row r="17200" spans="2:4">
      <c r="B17200">
        <v>1</v>
      </c>
      <c r="C17200">
        <v>102</v>
      </c>
      <c r="D17200">
        <v>1</v>
      </c>
    </row>
    <row r="17202" spans="2:4">
      <c r="B17202">
        <v>1</v>
      </c>
      <c r="C17202">
        <v>102</v>
      </c>
      <c r="D17202">
        <v>1</v>
      </c>
    </row>
    <row r="17204" spans="2:4">
      <c r="B17204">
        <v>1</v>
      </c>
      <c r="C17204">
        <v>102</v>
      </c>
      <c r="D17204">
        <v>1</v>
      </c>
    </row>
    <row r="17212" spans="2:4">
      <c r="B17212">
        <v>1</v>
      </c>
      <c r="C17212">
        <v>102</v>
      </c>
      <c r="D17212">
        <v>1</v>
      </c>
    </row>
    <row r="17215" spans="2:4">
      <c r="B17215">
        <v>1</v>
      </c>
      <c r="C17215">
        <v>102</v>
      </c>
      <c r="D17215">
        <v>1</v>
      </c>
    </row>
    <row r="17217" spans="2:4">
      <c r="B17217">
        <v>1</v>
      </c>
      <c r="C17217">
        <v>102</v>
      </c>
      <c r="D17217">
        <v>1</v>
      </c>
    </row>
    <row r="17222" spans="2:4">
      <c r="B17222">
        <v>1</v>
      </c>
      <c r="C17222">
        <v>102</v>
      </c>
      <c r="D17222">
        <v>1</v>
      </c>
    </row>
    <row r="17225" spans="2:4">
      <c r="B17225">
        <v>1</v>
      </c>
      <c r="C17225">
        <v>102</v>
      </c>
      <c r="D17225">
        <v>1</v>
      </c>
    </row>
    <row r="17226" spans="2:4">
      <c r="B17226">
        <v>1</v>
      </c>
      <c r="C17226">
        <v>102</v>
      </c>
      <c r="D17226">
        <v>1</v>
      </c>
    </row>
    <row r="17229" spans="2:4">
      <c r="B17229">
        <v>1</v>
      </c>
      <c r="C17229">
        <v>102</v>
      </c>
      <c r="D17229">
        <v>1</v>
      </c>
    </row>
    <row r="17231" spans="2:4">
      <c r="B17231">
        <v>1</v>
      </c>
      <c r="C17231">
        <v>102</v>
      </c>
      <c r="D17231">
        <v>1</v>
      </c>
    </row>
    <row r="17240" spans="2:4">
      <c r="B17240">
        <v>1</v>
      </c>
      <c r="C17240">
        <v>102</v>
      </c>
      <c r="D17240">
        <v>1</v>
      </c>
    </row>
    <row r="17247" spans="2:4">
      <c r="B17247">
        <v>1</v>
      </c>
      <c r="C17247">
        <v>102</v>
      </c>
      <c r="D17247">
        <v>1</v>
      </c>
    </row>
    <row r="17249" spans="2:4">
      <c r="B17249">
        <v>1</v>
      </c>
      <c r="C17249">
        <v>102</v>
      </c>
      <c r="D17249">
        <v>1</v>
      </c>
    </row>
    <row r="17250" spans="2:4">
      <c r="B17250">
        <v>1</v>
      </c>
      <c r="C17250">
        <v>102</v>
      </c>
      <c r="D17250">
        <v>1</v>
      </c>
    </row>
    <row r="17257" spans="2:4">
      <c r="B17257">
        <v>1</v>
      </c>
      <c r="C17257">
        <v>102</v>
      </c>
      <c r="D17257">
        <v>1</v>
      </c>
    </row>
    <row r="17262" spans="2:4">
      <c r="B17262">
        <v>1</v>
      </c>
      <c r="C17262">
        <v>102</v>
      </c>
      <c r="D17262">
        <v>1</v>
      </c>
    </row>
    <row r="17263" spans="2:4">
      <c r="B17263">
        <v>1</v>
      </c>
      <c r="C17263">
        <v>102</v>
      </c>
      <c r="D17263">
        <v>1</v>
      </c>
    </row>
    <row r="17266" spans="2:4">
      <c r="B17266">
        <v>1</v>
      </c>
      <c r="C17266">
        <v>102</v>
      </c>
      <c r="D17266">
        <v>1</v>
      </c>
    </row>
    <row r="17270" spans="2:4">
      <c r="B17270">
        <v>1</v>
      </c>
      <c r="C17270">
        <v>102</v>
      </c>
      <c r="D17270">
        <v>1</v>
      </c>
    </row>
    <row r="17276" spans="2:4">
      <c r="B17276">
        <v>1</v>
      </c>
      <c r="C17276">
        <v>102</v>
      </c>
      <c r="D17276">
        <v>1</v>
      </c>
    </row>
    <row r="17277" spans="2:4">
      <c r="B17277">
        <v>1</v>
      </c>
      <c r="C17277">
        <v>102</v>
      </c>
      <c r="D17277">
        <v>1</v>
      </c>
    </row>
    <row r="17278" spans="2:4">
      <c r="B17278">
        <v>1</v>
      </c>
      <c r="C17278">
        <v>102</v>
      </c>
      <c r="D17278">
        <v>1</v>
      </c>
    </row>
    <row r="17279" spans="2:4">
      <c r="B17279">
        <v>1</v>
      </c>
      <c r="C17279">
        <v>102</v>
      </c>
      <c r="D17279">
        <v>1</v>
      </c>
    </row>
    <row r="17280" spans="2:4">
      <c r="B17280">
        <v>1</v>
      </c>
      <c r="C17280">
        <v>102</v>
      </c>
      <c r="D17280">
        <v>1</v>
      </c>
    </row>
    <row r="17284" spans="2:4">
      <c r="B17284">
        <v>1</v>
      </c>
      <c r="C17284">
        <v>102</v>
      </c>
      <c r="D17284">
        <v>1</v>
      </c>
    </row>
    <row r="17285" spans="2:4">
      <c r="B17285">
        <v>1</v>
      </c>
      <c r="C17285">
        <v>102</v>
      </c>
      <c r="D17285">
        <v>1</v>
      </c>
    </row>
    <row r="17289" spans="2:4">
      <c r="B17289">
        <v>1</v>
      </c>
      <c r="C17289">
        <v>102</v>
      </c>
      <c r="D17289">
        <v>1</v>
      </c>
    </row>
    <row r="17291" spans="2:4">
      <c r="B17291">
        <v>1</v>
      </c>
      <c r="C17291">
        <v>102</v>
      </c>
      <c r="D17291">
        <v>1</v>
      </c>
    </row>
    <row r="17292" spans="2:4">
      <c r="B17292">
        <v>1</v>
      </c>
      <c r="C17292">
        <v>102</v>
      </c>
      <c r="D17292">
        <v>1</v>
      </c>
    </row>
    <row r="17296" spans="2:4">
      <c r="B17296">
        <v>1</v>
      </c>
      <c r="C17296">
        <v>102</v>
      </c>
      <c r="D17296">
        <v>1</v>
      </c>
    </row>
    <row r="17297" spans="2:4">
      <c r="B17297">
        <v>1</v>
      </c>
      <c r="C17297">
        <v>102</v>
      </c>
      <c r="D17297">
        <v>1</v>
      </c>
    </row>
    <row r="17298" spans="2:4">
      <c r="B17298">
        <v>1</v>
      </c>
      <c r="C17298">
        <v>102</v>
      </c>
      <c r="D17298">
        <v>1</v>
      </c>
    </row>
    <row r="17300" spans="2:4">
      <c r="B17300">
        <v>1</v>
      </c>
      <c r="C17300">
        <v>102</v>
      </c>
      <c r="D17300">
        <v>1</v>
      </c>
    </row>
    <row r="17309" spans="2:4">
      <c r="B17309">
        <v>1</v>
      </c>
      <c r="C17309">
        <v>102</v>
      </c>
      <c r="D17309">
        <v>1</v>
      </c>
    </row>
    <row r="17314" spans="2:4">
      <c r="B17314">
        <v>1</v>
      </c>
      <c r="C17314">
        <v>102</v>
      </c>
      <c r="D17314">
        <v>1</v>
      </c>
    </row>
    <row r="17315" spans="2:4">
      <c r="B17315">
        <v>1</v>
      </c>
      <c r="C17315">
        <v>102</v>
      </c>
      <c r="D17315">
        <v>1</v>
      </c>
    </row>
    <row r="17317" spans="2:4">
      <c r="B17317">
        <v>1</v>
      </c>
      <c r="C17317">
        <v>102</v>
      </c>
      <c r="D17317">
        <v>1</v>
      </c>
    </row>
    <row r="17318" spans="2:4">
      <c r="B17318">
        <v>1</v>
      </c>
      <c r="C17318">
        <v>102</v>
      </c>
      <c r="D17318">
        <v>1</v>
      </c>
    </row>
    <row r="17320" spans="2:4">
      <c r="B17320">
        <v>1</v>
      </c>
      <c r="C17320">
        <v>102</v>
      </c>
      <c r="D17320">
        <v>1</v>
      </c>
    </row>
    <row r="17322" spans="2:4">
      <c r="B17322">
        <v>1</v>
      </c>
      <c r="C17322">
        <v>102</v>
      </c>
      <c r="D17322">
        <v>1</v>
      </c>
    </row>
    <row r="17323" spans="2:4">
      <c r="B17323">
        <v>1</v>
      </c>
      <c r="C17323">
        <v>102</v>
      </c>
      <c r="D17323">
        <v>1</v>
      </c>
    </row>
    <row r="17326" spans="2:4">
      <c r="B17326">
        <v>1</v>
      </c>
      <c r="C17326">
        <v>102</v>
      </c>
      <c r="D17326">
        <v>1</v>
      </c>
    </row>
    <row r="17329" spans="2:4">
      <c r="B17329">
        <v>1</v>
      </c>
      <c r="C17329">
        <v>102</v>
      </c>
      <c r="D17329">
        <v>1</v>
      </c>
    </row>
    <row r="17331" spans="2:4">
      <c r="B17331">
        <v>1</v>
      </c>
      <c r="C17331">
        <v>102</v>
      </c>
      <c r="D17331">
        <v>1</v>
      </c>
    </row>
    <row r="17334" spans="2:4">
      <c r="B17334">
        <v>1</v>
      </c>
      <c r="C17334">
        <v>102</v>
      </c>
      <c r="D17334">
        <v>1</v>
      </c>
    </row>
    <row r="17335" spans="2:4">
      <c r="B17335">
        <v>1</v>
      </c>
      <c r="C17335">
        <v>102</v>
      </c>
      <c r="D17335">
        <v>1</v>
      </c>
    </row>
    <row r="17336" spans="2:4">
      <c r="B17336">
        <v>1</v>
      </c>
      <c r="C17336">
        <v>102</v>
      </c>
      <c r="D17336">
        <v>1</v>
      </c>
    </row>
    <row r="17338" spans="2:4">
      <c r="B17338">
        <v>1</v>
      </c>
      <c r="C17338">
        <v>102</v>
      </c>
      <c r="D17338">
        <v>1</v>
      </c>
    </row>
    <row r="17339" spans="2:4">
      <c r="B17339">
        <v>1</v>
      </c>
      <c r="C17339">
        <v>102</v>
      </c>
      <c r="D17339">
        <v>1</v>
      </c>
    </row>
    <row r="17341" spans="2:4">
      <c r="B17341">
        <v>1</v>
      </c>
      <c r="C17341">
        <v>102</v>
      </c>
      <c r="D17341">
        <v>1</v>
      </c>
    </row>
    <row r="17347" spans="2:4">
      <c r="B17347">
        <v>1</v>
      </c>
      <c r="C17347">
        <v>102</v>
      </c>
      <c r="D17347">
        <v>1</v>
      </c>
    </row>
    <row r="17355" spans="2:4">
      <c r="B17355">
        <v>1</v>
      </c>
      <c r="C17355">
        <v>102</v>
      </c>
      <c r="D17355">
        <v>1</v>
      </c>
    </row>
    <row r="17360" spans="2:4">
      <c r="B17360">
        <v>1</v>
      </c>
      <c r="C17360">
        <v>102</v>
      </c>
      <c r="D17360">
        <v>1</v>
      </c>
    </row>
    <row r="17361" spans="2:4">
      <c r="B17361">
        <v>1</v>
      </c>
      <c r="C17361">
        <v>102</v>
      </c>
      <c r="D17361">
        <v>1</v>
      </c>
    </row>
    <row r="17362" spans="2:4">
      <c r="B17362">
        <v>1</v>
      </c>
      <c r="C17362">
        <v>102</v>
      </c>
      <c r="D17362">
        <v>1</v>
      </c>
    </row>
    <row r="17363" spans="2:4">
      <c r="B17363">
        <v>1</v>
      </c>
      <c r="C17363">
        <v>102</v>
      </c>
      <c r="D17363">
        <v>1</v>
      </c>
    </row>
    <row r="17365" spans="2:4">
      <c r="B17365">
        <v>1</v>
      </c>
      <c r="C17365">
        <v>102</v>
      </c>
      <c r="D17365">
        <v>1</v>
      </c>
    </row>
    <row r="17367" spans="2:4">
      <c r="B17367">
        <v>1</v>
      </c>
      <c r="C17367">
        <v>102</v>
      </c>
      <c r="D17367">
        <v>1</v>
      </c>
    </row>
    <row r="17371" spans="2:4">
      <c r="B17371">
        <v>1</v>
      </c>
      <c r="C17371">
        <v>102</v>
      </c>
      <c r="D17371">
        <v>1</v>
      </c>
    </row>
    <row r="17372" spans="2:4">
      <c r="B17372">
        <v>1</v>
      </c>
      <c r="C17372">
        <v>102</v>
      </c>
      <c r="D17372">
        <v>1</v>
      </c>
    </row>
    <row r="17373" spans="2:4">
      <c r="B17373">
        <v>1</v>
      </c>
      <c r="C17373">
        <v>102</v>
      </c>
      <c r="D17373">
        <v>1</v>
      </c>
    </row>
    <row r="17374" spans="2:4">
      <c r="B17374">
        <v>1</v>
      </c>
      <c r="C17374">
        <v>102</v>
      </c>
      <c r="D17374">
        <v>1</v>
      </c>
    </row>
    <row r="17379" spans="2:4">
      <c r="B17379">
        <v>1</v>
      </c>
      <c r="C17379">
        <v>102</v>
      </c>
      <c r="D17379">
        <v>1</v>
      </c>
    </row>
    <row r="17380" spans="2:4">
      <c r="B17380">
        <v>1</v>
      </c>
      <c r="C17380">
        <v>102</v>
      </c>
      <c r="D17380">
        <v>1</v>
      </c>
    </row>
    <row r="17382" spans="2:4">
      <c r="B17382">
        <v>1</v>
      </c>
      <c r="C17382">
        <v>102</v>
      </c>
      <c r="D17382">
        <v>1</v>
      </c>
    </row>
    <row r="17383" spans="2:4">
      <c r="B17383">
        <v>1</v>
      </c>
      <c r="C17383">
        <v>102</v>
      </c>
      <c r="D17383">
        <v>1</v>
      </c>
    </row>
    <row r="17386" spans="2:4">
      <c r="B17386">
        <v>1</v>
      </c>
      <c r="C17386">
        <v>102</v>
      </c>
      <c r="D17386">
        <v>1</v>
      </c>
    </row>
    <row r="17388" spans="2:4">
      <c r="B17388">
        <v>1</v>
      </c>
      <c r="C17388">
        <v>102</v>
      </c>
      <c r="D17388">
        <v>1</v>
      </c>
    </row>
    <row r="17393" spans="2:4">
      <c r="B17393">
        <v>1</v>
      </c>
      <c r="C17393">
        <v>102</v>
      </c>
      <c r="D17393">
        <v>1</v>
      </c>
    </row>
    <row r="17395" spans="2:4">
      <c r="B17395">
        <v>1</v>
      </c>
      <c r="C17395">
        <v>102</v>
      </c>
      <c r="D17395">
        <v>1</v>
      </c>
    </row>
    <row r="17396" spans="2:4">
      <c r="B17396">
        <v>1</v>
      </c>
      <c r="C17396">
        <v>102</v>
      </c>
      <c r="D17396">
        <v>1</v>
      </c>
    </row>
    <row r="17397" spans="2:4">
      <c r="B17397">
        <v>1</v>
      </c>
      <c r="C17397">
        <v>102</v>
      </c>
      <c r="D17397">
        <v>1</v>
      </c>
    </row>
    <row r="17399" spans="2:4">
      <c r="B17399">
        <v>1</v>
      </c>
      <c r="C17399">
        <v>102</v>
      </c>
      <c r="D17399">
        <v>1</v>
      </c>
    </row>
    <row r="17400" spans="2:4">
      <c r="B17400">
        <v>1</v>
      </c>
      <c r="C17400">
        <v>102</v>
      </c>
      <c r="D17400">
        <v>1</v>
      </c>
    </row>
    <row r="17401" spans="2:4">
      <c r="B17401">
        <v>1</v>
      </c>
      <c r="C17401">
        <v>102</v>
      </c>
      <c r="D17401">
        <v>1</v>
      </c>
    </row>
    <row r="17410" spans="2:4">
      <c r="B17410">
        <v>1</v>
      </c>
      <c r="C17410">
        <v>102</v>
      </c>
      <c r="D17410">
        <v>1</v>
      </c>
    </row>
    <row r="17415" spans="2:4">
      <c r="B17415">
        <v>1</v>
      </c>
      <c r="C17415">
        <v>102</v>
      </c>
      <c r="D17415">
        <v>1</v>
      </c>
    </row>
    <row r="17416" spans="2:4">
      <c r="B17416">
        <v>1</v>
      </c>
      <c r="C17416">
        <v>102</v>
      </c>
      <c r="D17416">
        <v>1</v>
      </c>
    </row>
    <row r="17422" spans="2:4">
      <c r="B17422">
        <v>1</v>
      </c>
      <c r="C17422">
        <v>102</v>
      </c>
      <c r="D17422">
        <v>1</v>
      </c>
    </row>
    <row r="17429" spans="2:4">
      <c r="B17429">
        <v>1</v>
      </c>
      <c r="C17429">
        <v>102</v>
      </c>
      <c r="D17429">
        <v>1</v>
      </c>
    </row>
    <row r="17430" spans="2:4">
      <c r="B17430">
        <v>1</v>
      </c>
      <c r="C17430">
        <v>102</v>
      </c>
      <c r="D17430">
        <v>1</v>
      </c>
    </row>
    <row r="17432" spans="2:4">
      <c r="B17432">
        <v>1</v>
      </c>
      <c r="C17432">
        <v>102</v>
      </c>
      <c r="D17432">
        <v>1</v>
      </c>
    </row>
    <row r="17433" spans="2:4">
      <c r="B17433">
        <v>1</v>
      </c>
      <c r="C17433">
        <v>102</v>
      </c>
      <c r="D17433">
        <v>1</v>
      </c>
    </row>
    <row r="17434" spans="2:4">
      <c r="B17434">
        <v>1</v>
      </c>
      <c r="C17434">
        <v>102</v>
      </c>
      <c r="D17434">
        <v>1</v>
      </c>
    </row>
    <row r="17439" spans="2:4">
      <c r="B17439">
        <v>1</v>
      </c>
      <c r="C17439">
        <v>102</v>
      </c>
      <c r="D17439">
        <v>1</v>
      </c>
    </row>
    <row r="17440" spans="2:4">
      <c r="B17440">
        <v>1</v>
      </c>
      <c r="C17440">
        <v>102</v>
      </c>
      <c r="D17440">
        <v>1</v>
      </c>
    </row>
    <row r="17441" spans="2:4">
      <c r="B17441">
        <v>1</v>
      </c>
      <c r="C17441">
        <v>102</v>
      </c>
      <c r="D17441">
        <v>1</v>
      </c>
    </row>
    <row r="17452" spans="2:4">
      <c r="B17452">
        <v>1</v>
      </c>
      <c r="C17452">
        <v>102</v>
      </c>
      <c r="D17452">
        <v>1</v>
      </c>
    </row>
    <row r="17453" spans="2:4">
      <c r="B17453">
        <v>1</v>
      </c>
      <c r="C17453">
        <v>102</v>
      </c>
      <c r="D17453">
        <v>1</v>
      </c>
    </row>
    <row r="17456" spans="2:4">
      <c r="B17456">
        <v>1</v>
      </c>
      <c r="C17456">
        <v>102</v>
      </c>
      <c r="D17456">
        <v>1</v>
      </c>
    </row>
    <row r="17458" spans="2:4">
      <c r="B17458">
        <v>1</v>
      </c>
      <c r="C17458">
        <v>102</v>
      </c>
      <c r="D17458">
        <v>1</v>
      </c>
    </row>
    <row r="17460" spans="2:4">
      <c r="B17460">
        <v>1</v>
      </c>
      <c r="C17460">
        <v>102</v>
      </c>
      <c r="D17460">
        <v>1</v>
      </c>
    </row>
    <row r="17468" spans="2:4">
      <c r="B17468">
        <v>1</v>
      </c>
      <c r="C17468">
        <v>102</v>
      </c>
      <c r="D17468">
        <v>1</v>
      </c>
    </row>
    <row r="17471" spans="2:4">
      <c r="B17471">
        <v>1</v>
      </c>
      <c r="C17471">
        <v>102</v>
      </c>
      <c r="D17471">
        <v>1</v>
      </c>
    </row>
    <row r="17473" spans="2:4">
      <c r="B17473">
        <v>1</v>
      </c>
      <c r="C17473">
        <v>102</v>
      </c>
      <c r="D17473">
        <v>1</v>
      </c>
    </row>
    <row r="17478" spans="2:4">
      <c r="B17478">
        <v>1</v>
      </c>
      <c r="C17478">
        <v>102</v>
      </c>
      <c r="D17478">
        <v>1</v>
      </c>
    </row>
    <row r="17481" spans="2:4">
      <c r="B17481">
        <v>1</v>
      </c>
      <c r="C17481">
        <v>102</v>
      </c>
      <c r="D17481">
        <v>1</v>
      </c>
    </row>
    <row r="17482" spans="2:4">
      <c r="B17482">
        <v>1</v>
      </c>
      <c r="C17482">
        <v>102</v>
      </c>
      <c r="D17482">
        <v>1</v>
      </c>
    </row>
    <row r="17485" spans="2:4">
      <c r="B17485">
        <v>1</v>
      </c>
      <c r="C17485">
        <v>102</v>
      </c>
      <c r="D17485">
        <v>1</v>
      </c>
    </row>
    <row r="17487" spans="2:4">
      <c r="B17487">
        <v>1</v>
      </c>
      <c r="C17487">
        <v>102</v>
      </c>
      <c r="D17487">
        <v>1</v>
      </c>
    </row>
    <row r="17496" spans="2:4">
      <c r="B17496">
        <v>1</v>
      </c>
      <c r="C17496">
        <v>102</v>
      </c>
      <c r="D17496">
        <v>1</v>
      </c>
    </row>
    <row r="17503" spans="2:4">
      <c r="B17503">
        <v>1</v>
      </c>
      <c r="C17503">
        <v>102</v>
      </c>
      <c r="D17503">
        <v>1</v>
      </c>
    </row>
    <row r="17505" spans="2:4">
      <c r="B17505">
        <v>1</v>
      </c>
      <c r="C17505">
        <v>102</v>
      </c>
      <c r="D17505">
        <v>1</v>
      </c>
    </row>
    <row r="17506" spans="2:4">
      <c r="B17506">
        <v>1</v>
      </c>
      <c r="C17506">
        <v>102</v>
      </c>
      <c r="D17506">
        <v>1</v>
      </c>
    </row>
    <row r="17513" spans="2:4">
      <c r="B17513">
        <v>1</v>
      </c>
      <c r="C17513">
        <v>102</v>
      </c>
      <c r="D17513">
        <v>1</v>
      </c>
    </row>
    <row r="17518" spans="2:4">
      <c r="B17518">
        <v>1</v>
      </c>
      <c r="C17518">
        <v>102</v>
      </c>
      <c r="D17518">
        <v>1</v>
      </c>
    </row>
    <row r="17519" spans="2:4">
      <c r="B17519">
        <v>1</v>
      </c>
      <c r="C17519">
        <v>102</v>
      </c>
      <c r="D17519">
        <v>1</v>
      </c>
    </row>
    <row r="17522" spans="2:4">
      <c r="B17522">
        <v>1</v>
      </c>
      <c r="C17522">
        <v>102</v>
      </c>
      <c r="D17522">
        <v>1</v>
      </c>
    </row>
    <row r="17526" spans="2:4">
      <c r="B17526">
        <v>1</v>
      </c>
      <c r="C17526">
        <v>102</v>
      </c>
      <c r="D17526">
        <v>1</v>
      </c>
    </row>
    <row r="17532" spans="2:4">
      <c r="B17532">
        <v>1</v>
      </c>
      <c r="C17532">
        <v>102</v>
      </c>
      <c r="D17532">
        <v>1</v>
      </c>
    </row>
    <row r="17533" spans="2:4">
      <c r="B17533">
        <v>1</v>
      </c>
      <c r="C17533">
        <v>102</v>
      </c>
      <c r="D17533">
        <v>1</v>
      </c>
    </row>
    <row r="17534" spans="2:4">
      <c r="B17534">
        <v>1</v>
      </c>
      <c r="C17534">
        <v>102</v>
      </c>
      <c r="D17534">
        <v>1</v>
      </c>
    </row>
    <row r="17535" spans="2:4">
      <c r="B17535">
        <v>1</v>
      </c>
      <c r="C17535">
        <v>102</v>
      </c>
      <c r="D17535">
        <v>1</v>
      </c>
    </row>
    <row r="17536" spans="2:4">
      <c r="B17536">
        <v>1</v>
      </c>
      <c r="C17536">
        <v>102</v>
      </c>
      <c r="D17536">
        <v>1</v>
      </c>
    </row>
    <row r="17540" spans="2:4">
      <c r="B17540">
        <v>1</v>
      </c>
      <c r="C17540">
        <v>102</v>
      </c>
      <c r="D17540">
        <v>1</v>
      </c>
    </row>
    <row r="17541" spans="2:4">
      <c r="B17541">
        <v>1</v>
      </c>
      <c r="C17541">
        <v>102</v>
      </c>
      <c r="D17541">
        <v>1</v>
      </c>
    </row>
    <row r="17545" spans="2:4">
      <c r="B17545">
        <v>1</v>
      </c>
      <c r="C17545">
        <v>102</v>
      </c>
      <c r="D17545">
        <v>1</v>
      </c>
    </row>
    <row r="17547" spans="2:4">
      <c r="B17547">
        <v>1</v>
      </c>
      <c r="C17547">
        <v>102</v>
      </c>
      <c r="D17547">
        <v>1</v>
      </c>
    </row>
    <row r="17548" spans="2:4">
      <c r="B17548">
        <v>1</v>
      </c>
      <c r="C17548">
        <v>102</v>
      </c>
      <c r="D17548">
        <v>1</v>
      </c>
    </row>
    <row r="17552" spans="2:4">
      <c r="B17552">
        <v>1</v>
      </c>
      <c r="C17552">
        <v>102</v>
      </c>
      <c r="D17552">
        <v>1</v>
      </c>
    </row>
    <row r="17553" spans="2:4">
      <c r="B17553">
        <v>1</v>
      </c>
      <c r="C17553">
        <v>102</v>
      </c>
      <c r="D17553">
        <v>1</v>
      </c>
    </row>
    <row r="17554" spans="2:4">
      <c r="B17554">
        <v>1</v>
      </c>
      <c r="C17554">
        <v>102</v>
      </c>
      <c r="D17554">
        <v>1</v>
      </c>
    </row>
    <row r="17556" spans="2:4">
      <c r="B17556">
        <v>1</v>
      </c>
      <c r="C17556">
        <v>102</v>
      </c>
      <c r="D17556">
        <v>1</v>
      </c>
    </row>
    <row r="17565" spans="2:4">
      <c r="B17565">
        <v>1</v>
      </c>
      <c r="C17565">
        <v>102</v>
      </c>
      <c r="D17565">
        <v>1</v>
      </c>
    </row>
    <row r="17570" spans="2:4">
      <c r="B17570">
        <v>1</v>
      </c>
      <c r="C17570">
        <v>102</v>
      </c>
      <c r="D17570">
        <v>1</v>
      </c>
    </row>
    <row r="17571" spans="2:4">
      <c r="B17571">
        <v>1</v>
      </c>
      <c r="C17571">
        <v>102</v>
      </c>
      <c r="D17571">
        <v>1</v>
      </c>
    </row>
    <row r="17573" spans="2:4">
      <c r="B17573">
        <v>1</v>
      </c>
      <c r="C17573">
        <v>102</v>
      </c>
      <c r="D17573">
        <v>1</v>
      </c>
    </row>
    <row r="17574" spans="2:4">
      <c r="B17574">
        <v>1</v>
      </c>
      <c r="C17574">
        <v>102</v>
      </c>
      <c r="D17574">
        <v>1</v>
      </c>
    </row>
    <row r="17576" spans="2:4">
      <c r="B17576">
        <v>1</v>
      </c>
      <c r="C17576">
        <v>102</v>
      </c>
      <c r="D17576">
        <v>1</v>
      </c>
    </row>
    <row r="17578" spans="2:4">
      <c r="B17578">
        <v>1</v>
      </c>
      <c r="C17578">
        <v>102</v>
      </c>
      <c r="D17578">
        <v>1</v>
      </c>
    </row>
    <row r="17579" spans="2:4">
      <c r="B17579">
        <v>1</v>
      </c>
      <c r="C17579">
        <v>102</v>
      </c>
      <c r="D17579">
        <v>1</v>
      </c>
    </row>
    <row r="17582" spans="2:4">
      <c r="B17582">
        <v>1</v>
      </c>
      <c r="C17582">
        <v>102</v>
      </c>
      <c r="D17582">
        <v>1</v>
      </c>
    </row>
    <row r="17585" spans="2:4">
      <c r="B17585">
        <v>1</v>
      </c>
      <c r="C17585">
        <v>102</v>
      </c>
      <c r="D17585">
        <v>1</v>
      </c>
    </row>
    <row r="17587" spans="2:4">
      <c r="B17587">
        <v>1</v>
      </c>
      <c r="C17587">
        <v>102</v>
      </c>
      <c r="D17587">
        <v>1</v>
      </c>
    </row>
    <row r="17590" spans="2:4">
      <c r="B17590">
        <v>1</v>
      </c>
      <c r="C17590">
        <v>102</v>
      </c>
      <c r="D17590">
        <v>1</v>
      </c>
    </row>
    <row r="17591" spans="2:4">
      <c r="B17591">
        <v>1</v>
      </c>
      <c r="C17591">
        <v>102</v>
      </c>
      <c r="D17591">
        <v>1</v>
      </c>
    </row>
    <row r="17592" spans="2:4">
      <c r="B17592">
        <v>1</v>
      </c>
      <c r="C17592">
        <v>102</v>
      </c>
      <c r="D17592">
        <v>1</v>
      </c>
    </row>
    <row r="17594" spans="2:4">
      <c r="B17594">
        <v>1</v>
      </c>
      <c r="C17594">
        <v>102</v>
      </c>
      <c r="D17594">
        <v>1</v>
      </c>
    </row>
    <row r="17595" spans="2:4">
      <c r="B17595">
        <v>1</v>
      </c>
      <c r="C17595">
        <v>102</v>
      </c>
      <c r="D17595">
        <v>1</v>
      </c>
    </row>
    <row r="17597" spans="2:4">
      <c r="B17597">
        <v>1</v>
      </c>
      <c r="C17597">
        <v>102</v>
      </c>
      <c r="D17597">
        <v>1</v>
      </c>
    </row>
    <row r="17603" spans="2:4">
      <c r="B17603">
        <v>1</v>
      </c>
      <c r="C17603">
        <v>102</v>
      </c>
      <c r="D17603">
        <v>1</v>
      </c>
    </row>
    <row r="17611" spans="2:4">
      <c r="B17611">
        <v>1</v>
      </c>
      <c r="C17611">
        <v>102</v>
      </c>
      <c r="D17611">
        <v>1</v>
      </c>
    </row>
    <row r="17616" spans="2:4">
      <c r="B17616">
        <v>1</v>
      </c>
      <c r="C17616">
        <v>102</v>
      </c>
      <c r="D17616">
        <v>1</v>
      </c>
    </row>
    <row r="17617" spans="2:4">
      <c r="B17617">
        <v>1</v>
      </c>
      <c r="C17617">
        <v>102</v>
      </c>
      <c r="D17617">
        <v>1</v>
      </c>
    </row>
    <row r="17618" spans="2:4">
      <c r="B17618">
        <v>1</v>
      </c>
      <c r="C17618">
        <v>102</v>
      </c>
      <c r="D17618">
        <v>1</v>
      </c>
    </row>
    <row r="17619" spans="2:4">
      <c r="B17619">
        <v>1</v>
      </c>
      <c r="C17619">
        <v>102</v>
      </c>
      <c r="D17619">
        <v>1</v>
      </c>
    </row>
    <row r="17621" spans="2:4">
      <c r="B17621">
        <v>1</v>
      </c>
      <c r="C17621">
        <v>102</v>
      </c>
      <c r="D17621">
        <v>1</v>
      </c>
    </row>
    <row r="17623" spans="2:4">
      <c r="B17623">
        <v>1</v>
      </c>
      <c r="C17623">
        <v>102</v>
      </c>
      <c r="D17623">
        <v>1</v>
      </c>
    </row>
    <row r="17627" spans="2:4">
      <c r="B17627">
        <v>1</v>
      </c>
      <c r="C17627">
        <v>102</v>
      </c>
      <c r="D17627">
        <v>1</v>
      </c>
    </row>
    <row r="17628" spans="2:4">
      <c r="B17628">
        <v>1</v>
      </c>
      <c r="C17628">
        <v>102</v>
      </c>
      <c r="D17628">
        <v>1</v>
      </c>
    </row>
    <row r="17629" spans="2:4">
      <c r="B17629">
        <v>1</v>
      </c>
      <c r="C17629">
        <v>102</v>
      </c>
      <c r="D17629">
        <v>1</v>
      </c>
    </row>
    <row r="17630" spans="2:4">
      <c r="B17630">
        <v>1</v>
      </c>
      <c r="C17630">
        <v>102</v>
      </c>
      <c r="D17630">
        <v>1</v>
      </c>
    </row>
    <row r="17635" spans="2:4">
      <c r="B17635">
        <v>1</v>
      </c>
      <c r="C17635">
        <v>102</v>
      </c>
      <c r="D17635">
        <v>1</v>
      </c>
    </row>
    <row r="17636" spans="2:4">
      <c r="B17636">
        <v>1</v>
      </c>
      <c r="C17636">
        <v>102</v>
      </c>
      <c r="D17636">
        <v>1</v>
      </c>
    </row>
    <row r="17638" spans="2:4">
      <c r="B17638">
        <v>1</v>
      </c>
      <c r="C17638">
        <v>102</v>
      </c>
      <c r="D17638">
        <v>1</v>
      </c>
    </row>
    <row r="17639" spans="2:4">
      <c r="B17639">
        <v>1</v>
      </c>
      <c r="C17639">
        <v>102</v>
      </c>
      <c r="D17639">
        <v>1</v>
      </c>
    </row>
    <row r="17642" spans="2:4">
      <c r="B17642">
        <v>1</v>
      </c>
      <c r="C17642">
        <v>102</v>
      </c>
      <c r="D17642">
        <v>1</v>
      </c>
    </row>
    <row r="17644" spans="2:4">
      <c r="B17644">
        <v>1</v>
      </c>
      <c r="C17644">
        <v>102</v>
      </c>
      <c r="D17644">
        <v>1</v>
      </c>
    </row>
    <row r="17649" spans="2:4">
      <c r="B17649">
        <v>1</v>
      </c>
      <c r="C17649">
        <v>102</v>
      </c>
      <c r="D17649">
        <v>1</v>
      </c>
    </row>
    <row r="17651" spans="2:4">
      <c r="B17651">
        <v>1</v>
      </c>
      <c r="C17651">
        <v>102</v>
      </c>
      <c r="D17651">
        <v>1</v>
      </c>
    </row>
    <row r="17652" spans="2:4">
      <c r="B17652">
        <v>1</v>
      </c>
      <c r="C17652">
        <v>102</v>
      </c>
      <c r="D17652">
        <v>1</v>
      </c>
    </row>
    <row r="17653" spans="2:4">
      <c r="B17653">
        <v>1</v>
      </c>
      <c r="C17653">
        <v>102</v>
      </c>
      <c r="D17653">
        <v>1</v>
      </c>
    </row>
    <row r="17655" spans="2:4">
      <c r="B17655">
        <v>1</v>
      </c>
      <c r="C17655">
        <v>102</v>
      </c>
      <c r="D17655">
        <v>1</v>
      </c>
    </row>
    <row r="17656" spans="2:4">
      <c r="B17656">
        <v>1</v>
      </c>
      <c r="C17656">
        <v>102</v>
      </c>
      <c r="D17656">
        <v>1</v>
      </c>
    </row>
    <row r="17657" spans="2:4">
      <c r="B17657">
        <v>1</v>
      </c>
      <c r="C17657">
        <v>102</v>
      </c>
      <c r="D17657">
        <v>1</v>
      </c>
    </row>
    <row r="17666" spans="2:4">
      <c r="B17666">
        <v>1</v>
      </c>
      <c r="C17666">
        <v>102</v>
      </c>
      <c r="D17666">
        <v>1</v>
      </c>
    </row>
    <row r="17671" spans="2:4">
      <c r="B17671">
        <v>1</v>
      </c>
      <c r="C17671">
        <v>102</v>
      </c>
      <c r="D17671">
        <v>1</v>
      </c>
    </row>
    <row r="17672" spans="2:4">
      <c r="B17672">
        <v>1</v>
      </c>
      <c r="C17672">
        <v>102</v>
      </c>
      <c r="D17672">
        <v>1</v>
      </c>
    </row>
    <row r="17678" spans="2:4">
      <c r="B17678">
        <v>1</v>
      </c>
      <c r="C17678">
        <v>102</v>
      </c>
      <c r="D17678">
        <v>1</v>
      </c>
    </row>
    <row r="17685" spans="2:4">
      <c r="B17685">
        <v>1</v>
      </c>
      <c r="C17685">
        <v>102</v>
      </c>
      <c r="D17685">
        <v>1</v>
      </c>
    </row>
    <row r="17686" spans="2:4">
      <c r="B17686">
        <v>1</v>
      </c>
      <c r="C17686">
        <v>102</v>
      </c>
      <c r="D17686">
        <v>1</v>
      </c>
    </row>
    <row r="17688" spans="2:4">
      <c r="B17688">
        <v>1</v>
      </c>
      <c r="C17688">
        <v>102</v>
      </c>
      <c r="D17688">
        <v>1</v>
      </c>
    </row>
    <row r="17689" spans="2:4">
      <c r="B17689">
        <v>1</v>
      </c>
      <c r="C17689">
        <v>102</v>
      </c>
      <c r="D17689">
        <v>1</v>
      </c>
    </row>
    <row r="17690" spans="2:4">
      <c r="B17690">
        <v>1</v>
      </c>
      <c r="C17690">
        <v>102</v>
      </c>
      <c r="D17690">
        <v>1</v>
      </c>
    </row>
    <row r="17695" spans="2:4">
      <c r="B17695">
        <v>1</v>
      </c>
      <c r="C17695">
        <v>102</v>
      </c>
      <c r="D17695">
        <v>1</v>
      </c>
    </row>
    <row r="17696" spans="2:4">
      <c r="B17696">
        <v>1</v>
      </c>
      <c r="C17696">
        <v>102</v>
      </c>
      <c r="D17696">
        <v>1</v>
      </c>
    </row>
    <row r="17697" spans="2:4">
      <c r="B17697">
        <v>1</v>
      </c>
      <c r="C17697">
        <v>102</v>
      </c>
      <c r="D17697">
        <v>1</v>
      </c>
    </row>
    <row r="17708" spans="2:4">
      <c r="B17708">
        <v>1</v>
      </c>
      <c r="C17708">
        <v>102</v>
      </c>
      <c r="D17708">
        <v>1</v>
      </c>
    </row>
    <row r="17709" spans="2:4">
      <c r="B17709">
        <v>1</v>
      </c>
      <c r="C17709">
        <v>102</v>
      </c>
      <c r="D17709">
        <v>1</v>
      </c>
    </row>
    <row r="17712" spans="2:4">
      <c r="B17712">
        <v>1</v>
      </c>
      <c r="C17712">
        <v>102</v>
      </c>
      <c r="D17712">
        <v>1</v>
      </c>
    </row>
    <row r="17714" spans="2:4">
      <c r="B17714">
        <v>1</v>
      </c>
      <c r="C17714">
        <v>102</v>
      </c>
      <c r="D17714">
        <v>1</v>
      </c>
    </row>
    <row r="17716" spans="2:4">
      <c r="B17716">
        <v>1</v>
      </c>
      <c r="C17716">
        <v>102</v>
      </c>
      <c r="D17716">
        <v>1</v>
      </c>
    </row>
    <row r="17724" spans="2:4">
      <c r="B17724">
        <v>1</v>
      </c>
      <c r="C17724">
        <v>102</v>
      </c>
      <c r="D17724">
        <v>1</v>
      </c>
    </row>
    <row r="17727" spans="2:4">
      <c r="B17727">
        <v>1</v>
      </c>
      <c r="C17727">
        <v>102</v>
      </c>
      <c r="D17727">
        <v>1</v>
      </c>
    </row>
    <row r="17729" spans="2:4">
      <c r="B17729">
        <v>1</v>
      </c>
      <c r="C17729">
        <v>102</v>
      </c>
      <c r="D17729">
        <v>1</v>
      </c>
    </row>
    <row r="17734" spans="2:4">
      <c r="B17734">
        <v>1</v>
      </c>
      <c r="C17734">
        <v>102</v>
      </c>
      <c r="D17734">
        <v>1</v>
      </c>
    </row>
    <row r="17737" spans="2:4">
      <c r="B17737">
        <v>1</v>
      </c>
      <c r="C17737">
        <v>102</v>
      </c>
      <c r="D17737">
        <v>1</v>
      </c>
    </row>
    <row r="17738" spans="2:4">
      <c r="B17738">
        <v>1</v>
      </c>
      <c r="C17738">
        <v>102</v>
      </c>
      <c r="D17738">
        <v>1</v>
      </c>
    </row>
    <row r="17741" spans="2:4">
      <c r="B17741">
        <v>1</v>
      </c>
      <c r="C17741">
        <v>102</v>
      </c>
      <c r="D17741">
        <v>1</v>
      </c>
    </row>
    <row r="17743" spans="2:4">
      <c r="B17743">
        <v>1</v>
      </c>
      <c r="C17743">
        <v>102</v>
      </c>
      <c r="D17743">
        <v>1</v>
      </c>
    </row>
    <row r="17752" spans="2:4">
      <c r="B17752">
        <v>1</v>
      </c>
      <c r="C17752">
        <v>102</v>
      </c>
      <c r="D17752">
        <v>1</v>
      </c>
    </row>
    <row r="17759" spans="2:4">
      <c r="B17759">
        <v>1</v>
      </c>
      <c r="C17759">
        <v>102</v>
      </c>
      <c r="D17759">
        <v>1</v>
      </c>
    </row>
    <row r="17761" spans="2:4">
      <c r="B17761">
        <v>1</v>
      </c>
      <c r="C17761">
        <v>102</v>
      </c>
      <c r="D17761">
        <v>1</v>
      </c>
    </row>
    <row r="17762" spans="2:4">
      <c r="B17762">
        <v>1</v>
      </c>
      <c r="C17762">
        <v>102</v>
      </c>
      <c r="D17762">
        <v>1</v>
      </c>
    </row>
    <row r="17769" spans="2:4">
      <c r="B17769">
        <v>1</v>
      </c>
      <c r="C17769">
        <v>102</v>
      </c>
      <c r="D17769">
        <v>1</v>
      </c>
    </row>
    <row r="17774" spans="2:4">
      <c r="B17774">
        <v>1</v>
      </c>
      <c r="C17774">
        <v>102</v>
      </c>
      <c r="D17774">
        <v>1</v>
      </c>
    </row>
    <row r="17775" spans="2:4">
      <c r="B17775">
        <v>1</v>
      </c>
      <c r="C17775">
        <v>102</v>
      </c>
      <c r="D17775">
        <v>1</v>
      </c>
    </row>
    <row r="17778" spans="2:4">
      <c r="B17778">
        <v>1</v>
      </c>
      <c r="C17778">
        <v>102</v>
      </c>
      <c r="D17778">
        <v>1</v>
      </c>
    </row>
    <row r="17782" spans="2:4">
      <c r="B17782">
        <v>1</v>
      </c>
      <c r="C17782">
        <v>102</v>
      </c>
      <c r="D17782">
        <v>1</v>
      </c>
    </row>
    <row r="17788" spans="2:4">
      <c r="B17788">
        <v>1</v>
      </c>
      <c r="C17788">
        <v>102</v>
      </c>
      <c r="D17788">
        <v>1</v>
      </c>
    </row>
    <row r="17789" spans="2:4">
      <c r="B17789">
        <v>1</v>
      </c>
      <c r="C17789">
        <v>102</v>
      </c>
      <c r="D17789">
        <v>1</v>
      </c>
    </row>
    <row r="17790" spans="2:4">
      <c r="B17790">
        <v>1</v>
      </c>
      <c r="C17790">
        <v>102</v>
      </c>
      <c r="D17790">
        <v>1</v>
      </c>
    </row>
    <row r="17791" spans="2:4">
      <c r="B17791">
        <v>1</v>
      </c>
      <c r="C17791">
        <v>102</v>
      </c>
      <c r="D17791">
        <v>1</v>
      </c>
    </row>
    <row r="17792" spans="2:4">
      <c r="B17792">
        <v>1</v>
      </c>
      <c r="C17792">
        <v>102</v>
      </c>
      <c r="D17792">
        <v>1</v>
      </c>
    </row>
    <row r="17796" spans="2:4">
      <c r="B17796">
        <v>1</v>
      </c>
      <c r="C17796">
        <v>102</v>
      </c>
      <c r="D17796">
        <v>1</v>
      </c>
    </row>
    <row r="17797" spans="2:4">
      <c r="B17797">
        <v>1</v>
      </c>
      <c r="C17797">
        <v>102</v>
      </c>
      <c r="D17797">
        <v>1</v>
      </c>
    </row>
    <row r="17801" spans="2:4">
      <c r="B17801">
        <v>1</v>
      </c>
      <c r="C17801">
        <v>102</v>
      </c>
      <c r="D17801">
        <v>1</v>
      </c>
    </row>
    <row r="17803" spans="2:4">
      <c r="B17803">
        <v>1</v>
      </c>
      <c r="C17803">
        <v>102</v>
      </c>
      <c r="D17803">
        <v>1</v>
      </c>
    </row>
    <row r="17804" spans="2:4">
      <c r="B17804">
        <v>1</v>
      </c>
      <c r="C17804">
        <v>102</v>
      </c>
      <c r="D17804">
        <v>1</v>
      </c>
    </row>
    <row r="17808" spans="2:4">
      <c r="B17808">
        <v>1</v>
      </c>
      <c r="C17808">
        <v>102</v>
      </c>
      <c r="D17808">
        <v>1</v>
      </c>
    </row>
    <row r="17809" spans="2:4">
      <c r="B17809">
        <v>1</v>
      </c>
      <c r="C17809">
        <v>102</v>
      </c>
      <c r="D17809">
        <v>1</v>
      </c>
    </row>
    <row r="17810" spans="2:4">
      <c r="B17810">
        <v>1</v>
      </c>
      <c r="C17810">
        <v>102</v>
      </c>
      <c r="D17810">
        <v>1</v>
      </c>
    </row>
    <row r="17812" spans="2:4">
      <c r="B17812">
        <v>1</v>
      </c>
      <c r="C17812">
        <v>102</v>
      </c>
      <c r="D17812">
        <v>1</v>
      </c>
    </row>
    <row r="17821" spans="2:4">
      <c r="B17821">
        <v>1</v>
      </c>
      <c r="C17821">
        <v>102</v>
      </c>
      <c r="D17821">
        <v>1</v>
      </c>
    </row>
    <row r="17826" spans="2:4">
      <c r="B17826">
        <v>1</v>
      </c>
      <c r="C17826">
        <v>102</v>
      </c>
      <c r="D17826">
        <v>1</v>
      </c>
    </row>
    <row r="17827" spans="2:4">
      <c r="B17827">
        <v>1</v>
      </c>
      <c r="C17827">
        <v>102</v>
      </c>
      <c r="D17827">
        <v>1</v>
      </c>
    </row>
    <row r="17829" spans="2:4">
      <c r="B17829">
        <v>1</v>
      </c>
      <c r="C17829">
        <v>102</v>
      </c>
      <c r="D17829">
        <v>1</v>
      </c>
    </row>
    <row r="17830" spans="2:4">
      <c r="B17830">
        <v>1</v>
      </c>
      <c r="C17830">
        <v>102</v>
      </c>
      <c r="D17830">
        <v>1</v>
      </c>
    </row>
    <row r="17832" spans="2:4">
      <c r="B17832">
        <v>1</v>
      </c>
      <c r="C17832">
        <v>102</v>
      </c>
      <c r="D17832">
        <v>1</v>
      </c>
    </row>
    <row r="17834" spans="2:4">
      <c r="B17834">
        <v>1</v>
      </c>
      <c r="C17834">
        <v>102</v>
      </c>
      <c r="D17834">
        <v>1</v>
      </c>
    </row>
    <row r="17835" spans="2:4">
      <c r="B17835">
        <v>1</v>
      </c>
      <c r="C17835">
        <v>102</v>
      </c>
      <c r="D17835">
        <v>1</v>
      </c>
    </row>
    <row r="17838" spans="2:4">
      <c r="B17838">
        <v>1</v>
      </c>
      <c r="C17838">
        <v>102</v>
      </c>
      <c r="D17838">
        <v>1</v>
      </c>
    </row>
    <row r="17841" spans="2:4">
      <c r="B17841">
        <v>1</v>
      </c>
      <c r="C17841">
        <v>102</v>
      </c>
      <c r="D17841">
        <v>1</v>
      </c>
    </row>
    <row r="17843" spans="2:4">
      <c r="B17843">
        <v>1</v>
      </c>
      <c r="C17843">
        <v>102</v>
      </c>
      <c r="D17843">
        <v>1</v>
      </c>
    </row>
    <row r="17846" spans="2:4">
      <c r="B17846">
        <v>1</v>
      </c>
      <c r="C17846">
        <v>102</v>
      </c>
      <c r="D17846">
        <v>1</v>
      </c>
    </row>
    <row r="17847" spans="2:4">
      <c r="B17847">
        <v>1</v>
      </c>
      <c r="C17847">
        <v>102</v>
      </c>
      <c r="D17847">
        <v>1</v>
      </c>
    </row>
    <row r="17848" spans="2:4">
      <c r="B17848">
        <v>1</v>
      </c>
      <c r="C17848">
        <v>102</v>
      </c>
      <c r="D17848">
        <v>1</v>
      </c>
    </row>
    <row r="17850" spans="2:4">
      <c r="B17850">
        <v>1</v>
      </c>
      <c r="C17850">
        <v>102</v>
      </c>
      <c r="D17850">
        <v>1</v>
      </c>
    </row>
    <row r="17851" spans="2:4">
      <c r="B17851">
        <v>1</v>
      </c>
      <c r="C17851">
        <v>102</v>
      </c>
      <c r="D17851">
        <v>1</v>
      </c>
    </row>
    <row r="17853" spans="2:4">
      <c r="B17853">
        <v>1</v>
      </c>
      <c r="C17853">
        <v>102</v>
      </c>
      <c r="D17853">
        <v>1</v>
      </c>
    </row>
    <row r="17859" spans="2:4">
      <c r="B17859">
        <v>1</v>
      </c>
      <c r="C17859">
        <v>102</v>
      </c>
      <c r="D17859">
        <v>1</v>
      </c>
    </row>
    <row r="17867" spans="2:4">
      <c r="B17867">
        <v>1</v>
      </c>
      <c r="C17867">
        <v>102</v>
      </c>
      <c r="D17867">
        <v>1</v>
      </c>
    </row>
    <row r="17872" spans="2:4">
      <c r="B17872">
        <v>1</v>
      </c>
      <c r="C17872">
        <v>102</v>
      </c>
      <c r="D17872">
        <v>1</v>
      </c>
    </row>
    <row r="17873" spans="2:4">
      <c r="B17873">
        <v>1</v>
      </c>
      <c r="C17873">
        <v>102</v>
      </c>
      <c r="D17873">
        <v>1</v>
      </c>
    </row>
    <row r="17874" spans="2:4">
      <c r="B17874">
        <v>1</v>
      </c>
      <c r="C17874">
        <v>102</v>
      </c>
      <c r="D17874">
        <v>1</v>
      </c>
    </row>
    <row r="17875" spans="2:4">
      <c r="B17875">
        <v>1</v>
      </c>
      <c r="C17875">
        <v>102</v>
      </c>
      <c r="D17875">
        <v>1</v>
      </c>
    </row>
    <row r="17877" spans="2:4">
      <c r="B17877">
        <v>1</v>
      </c>
      <c r="C17877">
        <v>102</v>
      </c>
      <c r="D17877">
        <v>1</v>
      </c>
    </row>
    <row r="17879" spans="2:4">
      <c r="B17879">
        <v>1</v>
      </c>
      <c r="C17879">
        <v>102</v>
      </c>
      <c r="D17879">
        <v>1</v>
      </c>
    </row>
    <row r="17883" spans="2:4">
      <c r="B17883">
        <v>1</v>
      </c>
      <c r="C17883">
        <v>102</v>
      </c>
      <c r="D17883">
        <v>1</v>
      </c>
    </row>
    <row r="17884" spans="2:4">
      <c r="B17884">
        <v>1</v>
      </c>
      <c r="C17884">
        <v>102</v>
      </c>
      <c r="D17884">
        <v>1</v>
      </c>
    </row>
    <row r="17885" spans="2:4">
      <c r="B17885">
        <v>1</v>
      </c>
      <c r="C17885">
        <v>102</v>
      </c>
      <c r="D17885">
        <v>1</v>
      </c>
    </row>
    <row r="17886" spans="2:4">
      <c r="B17886">
        <v>1</v>
      </c>
      <c r="C17886">
        <v>102</v>
      </c>
      <c r="D17886">
        <v>1</v>
      </c>
    </row>
    <row r="17891" spans="2:4">
      <c r="B17891">
        <v>1</v>
      </c>
      <c r="C17891">
        <v>102</v>
      </c>
      <c r="D17891">
        <v>1</v>
      </c>
    </row>
    <row r="17892" spans="2:4">
      <c r="B17892">
        <v>1</v>
      </c>
      <c r="C17892">
        <v>102</v>
      </c>
      <c r="D17892">
        <v>1</v>
      </c>
    </row>
    <row r="17894" spans="2:4">
      <c r="B17894">
        <v>1</v>
      </c>
      <c r="C17894">
        <v>102</v>
      </c>
      <c r="D17894">
        <v>1</v>
      </c>
    </row>
    <row r="17895" spans="2:4">
      <c r="B17895">
        <v>1</v>
      </c>
      <c r="C17895">
        <v>102</v>
      </c>
      <c r="D17895">
        <v>1</v>
      </c>
    </row>
    <row r="17898" spans="2:4">
      <c r="B17898">
        <v>1</v>
      </c>
      <c r="C17898">
        <v>102</v>
      </c>
      <c r="D17898">
        <v>1</v>
      </c>
    </row>
    <row r="17900" spans="2:4">
      <c r="B17900">
        <v>1</v>
      </c>
      <c r="C17900">
        <v>102</v>
      </c>
      <c r="D17900">
        <v>1</v>
      </c>
    </row>
    <row r="17905" spans="2:4">
      <c r="B17905">
        <v>1</v>
      </c>
      <c r="C17905">
        <v>102</v>
      </c>
      <c r="D17905">
        <v>1</v>
      </c>
    </row>
    <row r="17907" spans="2:4">
      <c r="B17907">
        <v>1</v>
      </c>
      <c r="C17907">
        <v>102</v>
      </c>
      <c r="D17907">
        <v>1</v>
      </c>
    </row>
    <row r="17908" spans="2:4">
      <c r="B17908">
        <v>1</v>
      </c>
      <c r="C17908">
        <v>102</v>
      </c>
      <c r="D17908">
        <v>1</v>
      </c>
    </row>
    <row r="17909" spans="2:4">
      <c r="B17909">
        <v>1</v>
      </c>
      <c r="C17909">
        <v>102</v>
      </c>
      <c r="D17909">
        <v>1</v>
      </c>
    </row>
    <row r="17911" spans="2:4">
      <c r="B17911">
        <v>1</v>
      </c>
      <c r="C17911">
        <v>102</v>
      </c>
      <c r="D17911">
        <v>1</v>
      </c>
    </row>
    <row r="17912" spans="2:4">
      <c r="B17912">
        <v>1</v>
      </c>
      <c r="C17912">
        <v>102</v>
      </c>
      <c r="D17912">
        <v>1</v>
      </c>
    </row>
    <row r="17913" spans="2:4">
      <c r="B17913">
        <v>1</v>
      </c>
      <c r="C17913">
        <v>102</v>
      </c>
      <c r="D17913">
        <v>1</v>
      </c>
    </row>
    <row r="17922" spans="2:4">
      <c r="B17922">
        <v>1</v>
      </c>
      <c r="C17922">
        <v>102</v>
      </c>
      <c r="D17922">
        <v>1</v>
      </c>
    </row>
    <row r="17927" spans="2:4">
      <c r="B17927">
        <v>1</v>
      </c>
      <c r="C17927">
        <v>102</v>
      </c>
      <c r="D17927">
        <v>1</v>
      </c>
    </row>
    <row r="17928" spans="2:4">
      <c r="B17928">
        <v>1</v>
      </c>
      <c r="C17928">
        <v>102</v>
      </c>
      <c r="D17928">
        <v>1</v>
      </c>
    </row>
    <row r="17934" spans="2:4">
      <c r="B17934">
        <v>1</v>
      </c>
      <c r="C17934">
        <v>102</v>
      </c>
      <c r="D17934">
        <v>1</v>
      </c>
    </row>
    <row r="17941" spans="2:4">
      <c r="B17941">
        <v>1</v>
      </c>
      <c r="C17941">
        <v>102</v>
      </c>
      <c r="D17941">
        <v>1</v>
      </c>
    </row>
    <row r="17942" spans="2:4">
      <c r="B17942">
        <v>1</v>
      </c>
      <c r="C17942">
        <v>102</v>
      </c>
      <c r="D17942">
        <v>1</v>
      </c>
    </row>
    <row r="17944" spans="2:4">
      <c r="B17944">
        <v>1</v>
      </c>
      <c r="C17944">
        <v>102</v>
      </c>
      <c r="D17944">
        <v>1</v>
      </c>
    </row>
    <row r="17945" spans="2:4">
      <c r="B17945">
        <v>1</v>
      </c>
      <c r="C17945">
        <v>102</v>
      </c>
      <c r="D17945">
        <v>1</v>
      </c>
    </row>
    <row r="17946" spans="2:4">
      <c r="B17946">
        <v>1</v>
      </c>
      <c r="C17946">
        <v>102</v>
      </c>
      <c r="D17946">
        <v>1</v>
      </c>
    </row>
    <row r="17951" spans="2:4">
      <c r="B17951">
        <v>1</v>
      </c>
      <c r="C17951">
        <v>102</v>
      </c>
      <c r="D17951">
        <v>1</v>
      </c>
    </row>
    <row r="17952" spans="2:4">
      <c r="B17952">
        <v>1</v>
      </c>
      <c r="C17952">
        <v>102</v>
      </c>
      <c r="D17952">
        <v>1</v>
      </c>
    </row>
    <row r="17953" spans="2:4">
      <c r="B17953">
        <v>1</v>
      </c>
      <c r="C17953">
        <v>102</v>
      </c>
      <c r="D17953">
        <v>1</v>
      </c>
    </row>
    <row r="17964" spans="2:4">
      <c r="B17964">
        <v>1</v>
      </c>
      <c r="C17964">
        <v>102</v>
      </c>
      <c r="D17964">
        <v>1</v>
      </c>
    </row>
    <row r="17965" spans="2:4">
      <c r="B17965">
        <v>1</v>
      </c>
      <c r="C17965">
        <v>102</v>
      </c>
      <c r="D17965">
        <v>1</v>
      </c>
    </row>
    <row r="17968" spans="2:4">
      <c r="B17968">
        <v>1</v>
      </c>
      <c r="C17968">
        <v>102</v>
      </c>
      <c r="D17968">
        <v>1</v>
      </c>
    </row>
    <row r="17970" spans="2:4">
      <c r="B17970">
        <v>1</v>
      </c>
      <c r="C17970">
        <v>102</v>
      </c>
      <c r="D17970">
        <v>1</v>
      </c>
    </row>
    <row r="17972" spans="2:4">
      <c r="B17972">
        <v>1</v>
      </c>
      <c r="C17972">
        <v>102</v>
      </c>
      <c r="D17972">
        <v>1</v>
      </c>
    </row>
    <row r="17980" spans="2:4">
      <c r="B17980">
        <v>1</v>
      </c>
      <c r="C17980">
        <v>102</v>
      </c>
      <c r="D17980">
        <v>1</v>
      </c>
    </row>
    <row r="17983" spans="2:4">
      <c r="B17983">
        <v>1</v>
      </c>
      <c r="C17983">
        <v>102</v>
      </c>
      <c r="D17983">
        <v>1</v>
      </c>
    </row>
    <row r="17985" spans="2:4">
      <c r="B17985">
        <v>1</v>
      </c>
      <c r="C17985">
        <v>102</v>
      </c>
      <c r="D17985">
        <v>1</v>
      </c>
    </row>
    <row r="17990" spans="2:4">
      <c r="B17990">
        <v>1</v>
      </c>
      <c r="C17990">
        <v>102</v>
      </c>
      <c r="D17990">
        <v>1</v>
      </c>
    </row>
    <row r="17993" spans="2:4">
      <c r="B17993">
        <v>1</v>
      </c>
      <c r="C17993">
        <v>102</v>
      </c>
      <c r="D17993">
        <v>1</v>
      </c>
    </row>
    <row r="17994" spans="2:4">
      <c r="B17994">
        <v>1</v>
      </c>
      <c r="C17994">
        <v>102</v>
      </c>
      <c r="D17994">
        <v>1</v>
      </c>
    </row>
    <row r="17997" spans="2:4">
      <c r="B17997">
        <v>1</v>
      </c>
      <c r="C17997">
        <v>102</v>
      </c>
      <c r="D17997">
        <v>1</v>
      </c>
    </row>
    <row r="17999" spans="2:4">
      <c r="B17999">
        <v>1</v>
      </c>
      <c r="C17999">
        <v>102</v>
      </c>
      <c r="D17999">
        <v>1</v>
      </c>
    </row>
    <row r="18008" spans="2:4">
      <c r="B18008">
        <v>1</v>
      </c>
      <c r="C18008">
        <v>102</v>
      </c>
      <c r="D18008">
        <v>1</v>
      </c>
    </row>
    <row r="18015" spans="2:4">
      <c r="B18015">
        <v>1</v>
      </c>
      <c r="C18015">
        <v>102</v>
      </c>
      <c r="D18015">
        <v>1</v>
      </c>
    </row>
    <row r="18017" spans="2:4">
      <c r="B18017">
        <v>1</v>
      </c>
      <c r="C18017">
        <v>102</v>
      </c>
      <c r="D18017">
        <v>1</v>
      </c>
    </row>
    <row r="18018" spans="2:4">
      <c r="B18018">
        <v>1</v>
      </c>
      <c r="C18018">
        <v>102</v>
      </c>
      <c r="D18018">
        <v>1</v>
      </c>
    </row>
    <row r="18025" spans="2:4">
      <c r="B18025">
        <v>1</v>
      </c>
      <c r="C18025">
        <v>102</v>
      </c>
      <c r="D18025">
        <v>1</v>
      </c>
    </row>
    <row r="18030" spans="2:4">
      <c r="B18030">
        <v>1</v>
      </c>
      <c r="C18030">
        <v>102</v>
      </c>
      <c r="D18030">
        <v>1</v>
      </c>
    </row>
    <row r="18031" spans="2:4">
      <c r="B18031">
        <v>1</v>
      </c>
      <c r="C18031">
        <v>102</v>
      </c>
      <c r="D18031">
        <v>1</v>
      </c>
    </row>
    <row r="18034" spans="2:4">
      <c r="B18034">
        <v>1</v>
      </c>
      <c r="C18034">
        <v>102</v>
      </c>
      <c r="D18034">
        <v>1</v>
      </c>
    </row>
    <row r="18038" spans="2:4">
      <c r="B18038">
        <v>1</v>
      </c>
      <c r="C18038">
        <v>102</v>
      </c>
      <c r="D18038">
        <v>1</v>
      </c>
    </row>
    <row r="18044" spans="2:4">
      <c r="B18044">
        <v>1</v>
      </c>
      <c r="C18044">
        <v>102</v>
      </c>
      <c r="D18044">
        <v>1</v>
      </c>
    </row>
    <row r="18045" spans="2:4">
      <c r="B18045">
        <v>1</v>
      </c>
      <c r="C18045">
        <v>102</v>
      </c>
      <c r="D18045">
        <v>1</v>
      </c>
    </row>
    <row r="18046" spans="2:4">
      <c r="B18046">
        <v>1</v>
      </c>
      <c r="C18046">
        <v>102</v>
      </c>
      <c r="D18046">
        <v>1</v>
      </c>
    </row>
    <row r="18047" spans="2:4">
      <c r="B18047">
        <v>1</v>
      </c>
      <c r="C18047">
        <v>102</v>
      </c>
      <c r="D18047">
        <v>1</v>
      </c>
    </row>
    <row r="18048" spans="2:4">
      <c r="B18048">
        <v>1</v>
      </c>
      <c r="C18048">
        <v>102</v>
      </c>
      <c r="D18048">
        <v>1</v>
      </c>
    </row>
    <row r="18052" spans="2:4">
      <c r="B18052">
        <v>1</v>
      </c>
      <c r="C18052">
        <v>102</v>
      </c>
      <c r="D18052">
        <v>1</v>
      </c>
    </row>
    <row r="18053" spans="2:4">
      <c r="B18053">
        <v>1</v>
      </c>
      <c r="C18053">
        <v>102</v>
      </c>
      <c r="D18053">
        <v>1</v>
      </c>
    </row>
    <row r="18057" spans="2:4">
      <c r="B18057">
        <v>1</v>
      </c>
      <c r="C18057">
        <v>102</v>
      </c>
      <c r="D18057">
        <v>1</v>
      </c>
    </row>
    <row r="18059" spans="2:4">
      <c r="B18059">
        <v>1</v>
      </c>
      <c r="C18059">
        <v>102</v>
      </c>
      <c r="D18059">
        <v>1</v>
      </c>
    </row>
    <row r="18060" spans="2:4">
      <c r="B18060">
        <v>1</v>
      </c>
      <c r="C18060">
        <v>102</v>
      </c>
      <c r="D18060">
        <v>1</v>
      </c>
    </row>
    <row r="18064" spans="2:4">
      <c r="B18064">
        <v>1</v>
      </c>
      <c r="C18064">
        <v>102</v>
      </c>
      <c r="D18064">
        <v>1</v>
      </c>
    </row>
    <row r="18065" spans="2:4">
      <c r="B18065">
        <v>1</v>
      </c>
      <c r="C18065">
        <v>102</v>
      </c>
      <c r="D18065">
        <v>1</v>
      </c>
    </row>
    <row r="18066" spans="2:4">
      <c r="B18066">
        <v>1</v>
      </c>
      <c r="C18066">
        <v>102</v>
      </c>
      <c r="D18066">
        <v>1</v>
      </c>
    </row>
    <row r="18068" spans="2:4">
      <c r="B18068">
        <v>1</v>
      </c>
      <c r="C18068">
        <v>102</v>
      </c>
      <c r="D18068">
        <v>1</v>
      </c>
    </row>
    <row r="18077" spans="2:4">
      <c r="B18077">
        <v>1</v>
      </c>
      <c r="C18077">
        <v>102</v>
      </c>
      <c r="D18077">
        <v>1</v>
      </c>
    </row>
    <row r="18082" spans="2:4">
      <c r="B18082">
        <v>1</v>
      </c>
      <c r="C18082">
        <v>102</v>
      </c>
      <c r="D18082">
        <v>1</v>
      </c>
    </row>
    <row r="18083" spans="2:4">
      <c r="B18083">
        <v>1</v>
      </c>
      <c r="C18083">
        <v>102</v>
      </c>
      <c r="D18083">
        <v>1</v>
      </c>
    </row>
    <row r="18085" spans="2:4">
      <c r="B18085">
        <v>1</v>
      </c>
      <c r="C18085">
        <v>102</v>
      </c>
      <c r="D18085">
        <v>1</v>
      </c>
    </row>
    <row r="18086" spans="2:4">
      <c r="B18086">
        <v>1</v>
      </c>
      <c r="C18086">
        <v>102</v>
      </c>
      <c r="D18086">
        <v>1</v>
      </c>
    </row>
    <row r="18088" spans="2:4">
      <c r="B18088">
        <v>1</v>
      </c>
      <c r="C18088">
        <v>102</v>
      </c>
      <c r="D18088">
        <v>1</v>
      </c>
    </row>
    <row r="18090" spans="2:4">
      <c r="B18090">
        <v>1</v>
      </c>
      <c r="C18090">
        <v>102</v>
      </c>
      <c r="D18090">
        <v>1</v>
      </c>
    </row>
    <row r="18091" spans="2:4">
      <c r="B18091">
        <v>1</v>
      </c>
      <c r="C18091">
        <v>102</v>
      </c>
      <c r="D18091">
        <v>1</v>
      </c>
    </row>
    <row r="18094" spans="2:4">
      <c r="B18094">
        <v>1</v>
      </c>
      <c r="C18094">
        <v>102</v>
      </c>
      <c r="D18094">
        <v>1</v>
      </c>
    </row>
    <row r="18097" spans="2:4">
      <c r="B18097">
        <v>1</v>
      </c>
      <c r="C18097">
        <v>102</v>
      </c>
      <c r="D18097">
        <v>1</v>
      </c>
    </row>
    <row r="18099" spans="2:4">
      <c r="B18099">
        <v>1</v>
      </c>
      <c r="C18099">
        <v>102</v>
      </c>
      <c r="D18099">
        <v>1</v>
      </c>
    </row>
    <row r="18100" spans="2:4">
      <c r="B18100">
        <v>1</v>
      </c>
      <c r="C18100">
        <v>102</v>
      </c>
      <c r="D18100">
        <v>1</v>
      </c>
    </row>
    <row r="18101" spans="2:4">
      <c r="B18101">
        <v>1</v>
      </c>
      <c r="C18101">
        <v>102</v>
      </c>
      <c r="D18101">
        <v>1</v>
      </c>
    </row>
    <row r="18103" spans="2:4">
      <c r="B18103">
        <v>1</v>
      </c>
      <c r="C18103">
        <v>102</v>
      </c>
      <c r="D18103">
        <v>1</v>
      </c>
    </row>
    <row r="18104" spans="2:4">
      <c r="B18104">
        <v>1</v>
      </c>
      <c r="C18104">
        <v>102</v>
      </c>
      <c r="D18104">
        <v>1</v>
      </c>
    </row>
    <row r="18105" spans="2:4">
      <c r="B18105">
        <v>1</v>
      </c>
      <c r="C18105">
        <v>102</v>
      </c>
      <c r="D18105">
        <v>1</v>
      </c>
    </row>
    <row r="18109" spans="2:4">
      <c r="B18109">
        <v>1</v>
      </c>
      <c r="C18109">
        <v>102</v>
      </c>
      <c r="D18109">
        <v>1</v>
      </c>
    </row>
    <row r="18113" spans="2:4">
      <c r="B18113">
        <v>1</v>
      </c>
      <c r="C18113">
        <v>102</v>
      </c>
      <c r="D18113">
        <v>1</v>
      </c>
    </row>
    <row r="18114" spans="2:4">
      <c r="B18114">
        <v>1</v>
      </c>
      <c r="C18114">
        <v>102</v>
      </c>
      <c r="D18114">
        <v>1</v>
      </c>
    </row>
    <row r="18118" spans="2:4">
      <c r="B18118">
        <v>1</v>
      </c>
      <c r="C18118">
        <v>102</v>
      </c>
      <c r="D18118">
        <v>1</v>
      </c>
    </row>
    <row r="18119" spans="2:4">
      <c r="B18119">
        <v>1</v>
      </c>
      <c r="C18119">
        <v>102</v>
      </c>
      <c r="D18119">
        <v>1</v>
      </c>
    </row>
    <row r="18120" spans="2:4">
      <c r="B18120">
        <v>1</v>
      </c>
      <c r="C18120">
        <v>102</v>
      </c>
      <c r="D18120">
        <v>1</v>
      </c>
    </row>
    <row r="18122" spans="2:4">
      <c r="B18122">
        <v>1</v>
      </c>
      <c r="C18122">
        <v>102</v>
      </c>
      <c r="D18122">
        <v>1</v>
      </c>
    </row>
    <row r="18123" spans="2:4">
      <c r="B18123">
        <v>1</v>
      </c>
      <c r="C18123">
        <v>102</v>
      </c>
      <c r="D18123">
        <v>1</v>
      </c>
    </row>
    <row r="18125" spans="2:4">
      <c r="B18125">
        <v>1</v>
      </c>
      <c r="C18125">
        <v>102</v>
      </c>
      <c r="D18125">
        <v>1</v>
      </c>
    </row>
    <row r="18126" spans="2:4">
      <c r="B18126">
        <v>1</v>
      </c>
      <c r="C18126">
        <v>102</v>
      </c>
      <c r="D18126">
        <v>1</v>
      </c>
    </row>
    <row r="18134" spans="2:4">
      <c r="B18134">
        <v>1</v>
      </c>
      <c r="C18134">
        <v>102</v>
      </c>
      <c r="D18134">
        <v>1</v>
      </c>
    </row>
    <row r="18137" spans="2:4">
      <c r="B18137">
        <v>1</v>
      </c>
      <c r="C18137">
        <v>102</v>
      </c>
      <c r="D18137">
        <v>1</v>
      </c>
    </row>
    <row r="18138" spans="2:4">
      <c r="B18138">
        <v>1</v>
      </c>
      <c r="C18138">
        <v>102</v>
      </c>
      <c r="D18138">
        <v>1</v>
      </c>
    </row>
    <row r="18144" spans="2:4">
      <c r="B18144">
        <v>1</v>
      </c>
      <c r="C18144">
        <v>102</v>
      </c>
      <c r="D18144">
        <v>1</v>
      </c>
    </row>
    <row r="18145" spans="2:4">
      <c r="B18145">
        <v>1</v>
      </c>
      <c r="C18145">
        <v>102</v>
      </c>
      <c r="D18145">
        <v>1</v>
      </c>
    </row>
    <row r="18157" spans="2:4">
      <c r="B18157">
        <v>1</v>
      </c>
      <c r="C18157">
        <v>102</v>
      </c>
      <c r="D18157">
        <v>1</v>
      </c>
    </row>
    <row r="18159" spans="2:4">
      <c r="B18159">
        <v>1</v>
      </c>
      <c r="C18159">
        <v>102</v>
      </c>
      <c r="D18159">
        <v>1</v>
      </c>
    </row>
    <row r="18160" spans="2:4">
      <c r="B18160">
        <v>1</v>
      </c>
      <c r="C18160">
        <v>102</v>
      </c>
      <c r="D18160">
        <v>1</v>
      </c>
    </row>
    <row r="18162" spans="2:4">
      <c r="B18162">
        <v>1</v>
      </c>
      <c r="C18162">
        <v>102</v>
      </c>
      <c r="D18162">
        <v>1</v>
      </c>
    </row>
    <row r="18164" spans="2:4">
      <c r="B18164">
        <v>1</v>
      </c>
      <c r="C18164">
        <v>102</v>
      </c>
      <c r="D18164">
        <v>1</v>
      </c>
    </row>
    <row r="18172" spans="2:4">
      <c r="B18172">
        <v>1</v>
      </c>
      <c r="C18172">
        <v>102</v>
      </c>
      <c r="D18172">
        <v>1</v>
      </c>
    </row>
    <row r="18174" spans="2:4">
      <c r="B18174">
        <v>1</v>
      </c>
      <c r="C18174">
        <v>102</v>
      </c>
      <c r="D18174">
        <v>1</v>
      </c>
    </row>
    <row r="18177" spans="2:4">
      <c r="B18177">
        <v>1</v>
      </c>
      <c r="C18177">
        <v>102</v>
      </c>
      <c r="D18177">
        <v>1</v>
      </c>
    </row>
    <row r="18180" spans="2:4">
      <c r="B18180">
        <v>1</v>
      </c>
      <c r="C18180">
        <v>102</v>
      </c>
      <c r="D18180">
        <v>1</v>
      </c>
    </row>
    <row r="18182" spans="2:4">
      <c r="B18182">
        <v>1</v>
      </c>
      <c r="C18182">
        <v>102</v>
      </c>
      <c r="D18182">
        <v>1</v>
      </c>
    </row>
    <row r="18185" spans="2:4">
      <c r="B18185">
        <v>1</v>
      </c>
      <c r="C18185">
        <v>102</v>
      </c>
      <c r="D18185">
        <v>1</v>
      </c>
    </row>
    <row r="18186" spans="2:4">
      <c r="B18186">
        <v>1</v>
      </c>
      <c r="C18186">
        <v>102</v>
      </c>
      <c r="D18186">
        <v>1</v>
      </c>
    </row>
    <row r="18188" spans="2:4">
      <c r="B18188">
        <v>1</v>
      </c>
      <c r="C18188">
        <v>102</v>
      </c>
      <c r="D18188">
        <v>1</v>
      </c>
    </row>
    <row r="18189" spans="2:4">
      <c r="B18189">
        <v>1</v>
      </c>
      <c r="C18189">
        <v>102</v>
      </c>
      <c r="D18189">
        <v>1</v>
      </c>
    </row>
    <row r="18190" spans="2:4">
      <c r="B18190">
        <v>1</v>
      </c>
      <c r="C18190">
        <v>102</v>
      </c>
      <c r="D18190">
        <v>1</v>
      </c>
    </row>
    <row r="18191" spans="2:4">
      <c r="B18191">
        <v>1</v>
      </c>
      <c r="C18191">
        <v>102</v>
      </c>
      <c r="D18191">
        <v>1</v>
      </c>
    </row>
    <row r="18200" spans="2:4">
      <c r="B18200">
        <v>1</v>
      </c>
      <c r="C18200">
        <v>102</v>
      </c>
      <c r="D18200">
        <v>1</v>
      </c>
    </row>
    <row r="18207" spans="2:4">
      <c r="B18207">
        <v>1</v>
      </c>
      <c r="C18207">
        <v>102</v>
      </c>
      <c r="D18207">
        <v>1</v>
      </c>
    </row>
    <row r="18210" spans="2:4">
      <c r="B18210">
        <v>1</v>
      </c>
      <c r="C18210">
        <v>102</v>
      </c>
      <c r="D18210">
        <v>1</v>
      </c>
    </row>
    <row r="18213" spans="2:4">
      <c r="B18213">
        <v>1</v>
      </c>
      <c r="C18213">
        <v>102</v>
      </c>
      <c r="D18213">
        <v>1</v>
      </c>
    </row>
    <row r="18216" spans="2:4">
      <c r="B18216">
        <v>1</v>
      </c>
      <c r="C18216">
        <v>102</v>
      </c>
      <c r="D18216">
        <v>1</v>
      </c>
    </row>
    <row r="18217" spans="2:4">
      <c r="B18217">
        <v>1</v>
      </c>
      <c r="C18217">
        <v>102</v>
      </c>
      <c r="D18217">
        <v>1</v>
      </c>
    </row>
    <row r="18223" spans="2:4">
      <c r="B18223">
        <v>1</v>
      </c>
      <c r="C18223">
        <v>102</v>
      </c>
      <c r="D18223">
        <v>1</v>
      </c>
    </row>
    <row r="18226" spans="2:4">
      <c r="B18226">
        <v>1</v>
      </c>
      <c r="C18226">
        <v>102</v>
      </c>
      <c r="D18226">
        <v>1</v>
      </c>
    </row>
    <row r="18230" spans="2:4">
      <c r="B18230">
        <v>1</v>
      </c>
      <c r="C18230">
        <v>102</v>
      </c>
      <c r="D18230">
        <v>1</v>
      </c>
    </row>
    <row r="18234" spans="2:4">
      <c r="B18234">
        <v>1</v>
      </c>
      <c r="C18234">
        <v>102</v>
      </c>
      <c r="D18234">
        <v>1</v>
      </c>
    </row>
    <row r="18236" spans="2:4">
      <c r="B18236">
        <v>1</v>
      </c>
      <c r="C18236">
        <v>102</v>
      </c>
      <c r="D18236">
        <v>1</v>
      </c>
    </row>
    <row r="18238" spans="2:4">
      <c r="B18238">
        <v>1</v>
      </c>
      <c r="C18238">
        <v>102</v>
      </c>
      <c r="D18238">
        <v>1</v>
      </c>
    </row>
    <row r="18239" spans="2:4">
      <c r="B18239">
        <v>1</v>
      </c>
      <c r="C18239">
        <v>102</v>
      </c>
      <c r="D18239">
        <v>1</v>
      </c>
    </row>
    <row r="18240" spans="2:4">
      <c r="B18240">
        <v>1</v>
      </c>
      <c r="C18240">
        <v>102</v>
      </c>
      <c r="D18240">
        <v>1</v>
      </c>
    </row>
    <row r="18243" spans="2:4">
      <c r="B18243">
        <v>1</v>
      </c>
      <c r="C18243">
        <v>102</v>
      </c>
      <c r="D18243">
        <v>1</v>
      </c>
    </row>
    <row r="18244" spans="2:4">
      <c r="B18244">
        <v>1</v>
      </c>
      <c r="C18244">
        <v>102</v>
      </c>
      <c r="D18244">
        <v>1</v>
      </c>
    </row>
    <row r="18245" spans="2:4">
      <c r="B18245">
        <v>1</v>
      </c>
      <c r="C18245">
        <v>102</v>
      </c>
      <c r="D18245">
        <v>1</v>
      </c>
    </row>
    <row r="18249" spans="2:4">
      <c r="B18249">
        <v>1</v>
      </c>
      <c r="C18249">
        <v>102</v>
      </c>
      <c r="D18249">
        <v>1</v>
      </c>
    </row>
    <row r="18252" spans="2:4">
      <c r="B18252">
        <v>1</v>
      </c>
      <c r="C18252">
        <v>102</v>
      </c>
      <c r="D18252">
        <v>1</v>
      </c>
    </row>
    <row r="18256" spans="2:4">
      <c r="B18256">
        <v>1</v>
      </c>
      <c r="C18256">
        <v>102</v>
      </c>
      <c r="D18256">
        <v>1</v>
      </c>
    </row>
    <row r="18260" spans="2:4">
      <c r="B18260">
        <v>1</v>
      </c>
      <c r="C18260">
        <v>102</v>
      </c>
      <c r="D18260">
        <v>1</v>
      </c>
    </row>
    <row r="18263" spans="2:4">
      <c r="B18263">
        <v>1</v>
      </c>
      <c r="C18263">
        <v>102</v>
      </c>
      <c r="D18263">
        <v>1</v>
      </c>
    </row>
    <row r="18264" spans="2:4">
      <c r="B18264">
        <v>1</v>
      </c>
      <c r="C18264">
        <v>102</v>
      </c>
      <c r="D18264">
        <v>1</v>
      </c>
    </row>
    <row r="18267" spans="2:4">
      <c r="B18267">
        <v>1</v>
      </c>
      <c r="C18267">
        <v>102</v>
      </c>
      <c r="D18267">
        <v>1</v>
      </c>
    </row>
    <row r="18269" spans="2:4">
      <c r="B18269">
        <v>1</v>
      </c>
      <c r="C18269">
        <v>102</v>
      </c>
      <c r="D18269">
        <v>1</v>
      </c>
    </row>
    <row r="18271" spans="2:4">
      <c r="B18271">
        <v>1</v>
      </c>
      <c r="C18271">
        <v>102</v>
      </c>
      <c r="D18271">
        <v>1</v>
      </c>
    </row>
    <row r="18275" spans="2:4">
      <c r="B18275">
        <v>1</v>
      </c>
      <c r="C18275">
        <v>102</v>
      </c>
      <c r="D18275">
        <v>1</v>
      </c>
    </row>
    <row r="18277" spans="2:4">
      <c r="B18277">
        <v>1</v>
      </c>
      <c r="C18277">
        <v>102</v>
      </c>
      <c r="D18277">
        <v>1</v>
      </c>
    </row>
    <row r="18278" spans="2:4">
      <c r="B18278">
        <v>1</v>
      </c>
      <c r="C18278">
        <v>102</v>
      </c>
      <c r="D18278">
        <v>1</v>
      </c>
    </row>
    <row r="18280" spans="2:4">
      <c r="B18280">
        <v>1</v>
      </c>
      <c r="C18280">
        <v>102</v>
      </c>
      <c r="D18280">
        <v>1</v>
      </c>
    </row>
    <row r="18281" spans="2:4">
      <c r="B18281">
        <v>1</v>
      </c>
      <c r="C18281">
        <v>102</v>
      </c>
      <c r="D18281">
        <v>1</v>
      </c>
    </row>
    <row r="18282" spans="2:4">
      <c r="B18282">
        <v>1</v>
      </c>
      <c r="C18282">
        <v>102</v>
      </c>
      <c r="D18282">
        <v>1</v>
      </c>
    </row>
    <row r="18283" spans="2:4">
      <c r="B18283">
        <v>1</v>
      </c>
      <c r="C18283">
        <v>102</v>
      </c>
      <c r="D18283">
        <v>1</v>
      </c>
    </row>
    <row r="18286" spans="2:4">
      <c r="B18286">
        <v>1</v>
      </c>
      <c r="C18286">
        <v>102</v>
      </c>
      <c r="D18286">
        <v>1</v>
      </c>
    </row>
    <row r="18289" spans="2:4">
      <c r="B18289">
        <v>1</v>
      </c>
      <c r="C18289">
        <v>102</v>
      </c>
      <c r="D18289">
        <v>1</v>
      </c>
    </row>
    <row r="18291" spans="2:4">
      <c r="B18291">
        <v>1</v>
      </c>
      <c r="C18291">
        <v>102</v>
      </c>
      <c r="D18291">
        <v>1</v>
      </c>
    </row>
    <row r="18293" spans="2:4">
      <c r="B18293">
        <v>1</v>
      </c>
      <c r="C18293">
        <v>102</v>
      </c>
      <c r="D18293">
        <v>1</v>
      </c>
    </row>
    <row r="18294" spans="2:4">
      <c r="B18294">
        <v>1</v>
      </c>
      <c r="C18294">
        <v>102</v>
      </c>
      <c r="D18294">
        <v>1</v>
      </c>
    </row>
    <row r="18295" spans="2:4">
      <c r="B18295">
        <v>1</v>
      </c>
      <c r="C18295">
        <v>102</v>
      </c>
      <c r="D18295">
        <v>1</v>
      </c>
    </row>
    <row r="18298" spans="2:4">
      <c r="B18298">
        <v>1</v>
      </c>
      <c r="C18298">
        <v>102</v>
      </c>
      <c r="D18298">
        <v>1</v>
      </c>
    </row>
    <row r="18299" spans="2:4">
      <c r="B18299">
        <v>1</v>
      </c>
      <c r="C18299">
        <v>102</v>
      </c>
      <c r="D18299">
        <v>1</v>
      </c>
    </row>
    <row r="18301" spans="2:4">
      <c r="B18301">
        <v>1</v>
      </c>
      <c r="C18301">
        <v>102</v>
      </c>
      <c r="D18301">
        <v>1</v>
      </c>
    </row>
    <row r="18306" spans="2:4">
      <c r="B18306">
        <v>1</v>
      </c>
      <c r="C18306">
        <v>102</v>
      </c>
      <c r="D18306">
        <v>1</v>
      </c>
    </row>
    <row r="18307" spans="2:4">
      <c r="B18307">
        <v>1</v>
      </c>
      <c r="C18307">
        <v>102</v>
      </c>
      <c r="D18307">
        <v>1</v>
      </c>
    </row>
    <row r="18311" spans="2:4">
      <c r="B18311">
        <v>1</v>
      </c>
      <c r="C18311">
        <v>102</v>
      </c>
      <c r="D18311">
        <v>1</v>
      </c>
    </row>
    <row r="18315" spans="2:4">
      <c r="B18315">
        <v>1</v>
      </c>
      <c r="C18315">
        <v>102</v>
      </c>
      <c r="D18315">
        <v>1</v>
      </c>
    </row>
    <row r="18320" spans="2:4">
      <c r="B18320">
        <v>1</v>
      </c>
      <c r="C18320">
        <v>102</v>
      </c>
      <c r="D18320">
        <v>1</v>
      </c>
    </row>
    <row r="18321" spans="2:4">
      <c r="B18321">
        <v>1</v>
      </c>
      <c r="C18321">
        <v>102</v>
      </c>
      <c r="D18321">
        <v>1</v>
      </c>
    </row>
    <row r="18322" spans="2:4">
      <c r="B18322">
        <v>1</v>
      </c>
      <c r="C18322">
        <v>102</v>
      </c>
      <c r="D18322">
        <v>1</v>
      </c>
    </row>
    <row r="18323" spans="2:4">
      <c r="B18323">
        <v>1</v>
      </c>
      <c r="C18323">
        <v>102</v>
      </c>
      <c r="D18323">
        <v>1</v>
      </c>
    </row>
    <row r="18324" spans="2:4">
      <c r="B18324">
        <v>1</v>
      </c>
      <c r="C18324">
        <v>102</v>
      </c>
      <c r="D18324">
        <v>1</v>
      </c>
    </row>
    <row r="18325" spans="2:4">
      <c r="B18325">
        <v>1</v>
      </c>
      <c r="C18325">
        <v>102</v>
      </c>
      <c r="D18325">
        <v>1</v>
      </c>
    </row>
    <row r="18327" spans="2:4">
      <c r="B18327">
        <v>1</v>
      </c>
      <c r="C18327">
        <v>102</v>
      </c>
      <c r="D18327">
        <v>1</v>
      </c>
    </row>
    <row r="18329" spans="2:4">
      <c r="B18329">
        <v>1</v>
      </c>
      <c r="C18329">
        <v>102</v>
      </c>
      <c r="D18329">
        <v>1</v>
      </c>
    </row>
    <row r="18331" spans="2:4">
      <c r="B18331">
        <v>1</v>
      </c>
      <c r="C18331">
        <v>102</v>
      </c>
      <c r="D18331">
        <v>1</v>
      </c>
    </row>
    <row r="18332" spans="2:4">
      <c r="B18332">
        <v>1</v>
      </c>
      <c r="C18332">
        <v>102</v>
      </c>
      <c r="D18332">
        <v>1</v>
      </c>
    </row>
    <row r="18333" spans="2:4">
      <c r="B18333">
        <v>1</v>
      </c>
      <c r="C18333">
        <v>102</v>
      </c>
      <c r="D18333">
        <v>1</v>
      </c>
    </row>
    <row r="18334" spans="2:4">
      <c r="B18334">
        <v>1</v>
      </c>
      <c r="C18334">
        <v>102</v>
      </c>
      <c r="D18334">
        <v>1</v>
      </c>
    </row>
    <row r="18336" spans="2:4">
      <c r="B18336">
        <v>1</v>
      </c>
      <c r="C18336">
        <v>102</v>
      </c>
      <c r="D18336">
        <v>1</v>
      </c>
    </row>
    <row r="18340" spans="2:4">
      <c r="B18340">
        <v>1</v>
      </c>
      <c r="C18340">
        <v>102</v>
      </c>
      <c r="D18340">
        <v>1</v>
      </c>
    </row>
    <row r="18343" spans="2:4">
      <c r="B18343">
        <v>1</v>
      </c>
      <c r="C18343">
        <v>102</v>
      </c>
      <c r="D18343">
        <v>1</v>
      </c>
    </row>
    <row r="18346" spans="2:4">
      <c r="B18346">
        <v>1</v>
      </c>
      <c r="C18346">
        <v>102</v>
      </c>
      <c r="D18346">
        <v>1</v>
      </c>
    </row>
    <row r="18347" spans="2:4">
      <c r="B18347">
        <v>1</v>
      </c>
      <c r="C18347">
        <v>102</v>
      </c>
      <c r="D18347">
        <v>1</v>
      </c>
    </row>
    <row r="18348" spans="2:4">
      <c r="B18348">
        <v>1</v>
      </c>
      <c r="C18348">
        <v>102</v>
      </c>
      <c r="D18348">
        <v>1</v>
      </c>
    </row>
    <row r="18350" spans="2:4">
      <c r="B18350">
        <v>1</v>
      </c>
      <c r="C18350">
        <v>102</v>
      </c>
      <c r="D18350">
        <v>1</v>
      </c>
    </row>
    <row r="18352" spans="2:4">
      <c r="B18352">
        <v>1</v>
      </c>
      <c r="C18352">
        <v>102</v>
      </c>
      <c r="D18352">
        <v>1</v>
      </c>
    </row>
    <row r="18353" spans="2:4">
      <c r="B18353">
        <v>1</v>
      </c>
      <c r="C18353">
        <v>102</v>
      </c>
      <c r="D18353">
        <v>1</v>
      </c>
    </row>
    <row r="18355" spans="2:4">
      <c r="B18355">
        <v>1</v>
      </c>
      <c r="C18355">
        <v>102</v>
      </c>
      <c r="D18355">
        <v>1</v>
      </c>
    </row>
    <row r="18356" spans="2:4">
      <c r="B18356">
        <v>1</v>
      </c>
      <c r="C18356">
        <v>102</v>
      </c>
      <c r="D18356">
        <v>1</v>
      </c>
    </row>
    <row r="18357" spans="2:4">
      <c r="B18357">
        <v>1</v>
      </c>
      <c r="C18357">
        <v>102</v>
      </c>
      <c r="D18357">
        <v>1</v>
      </c>
    </row>
    <row r="18359" spans="2:4">
      <c r="B18359">
        <v>1</v>
      </c>
      <c r="C18359">
        <v>102</v>
      </c>
      <c r="D18359">
        <v>1</v>
      </c>
    </row>
    <row r="18360" spans="2:4">
      <c r="B18360">
        <v>1</v>
      </c>
      <c r="C18360">
        <v>102</v>
      </c>
      <c r="D18360">
        <v>1</v>
      </c>
    </row>
    <row r="18361" spans="2:4">
      <c r="B18361">
        <v>1</v>
      </c>
      <c r="C18361">
        <v>102</v>
      </c>
      <c r="D18361">
        <v>1</v>
      </c>
    </row>
    <row r="18365" spans="2:4">
      <c r="B18365">
        <v>1</v>
      </c>
      <c r="C18365">
        <v>102</v>
      </c>
      <c r="D18365">
        <v>1</v>
      </c>
    </row>
    <row r="18369" spans="2:4">
      <c r="B18369">
        <v>1</v>
      </c>
      <c r="C18369">
        <v>102</v>
      </c>
      <c r="D18369">
        <v>1</v>
      </c>
    </row>
    <row r="18370" spans="2:4">
      <c r="B18370">
        <v>1</v>
      </c>
      <c r="C18370">
        <v>102</v>
      </c>
      <c r="D18370">
        <v>1</v>
      </c>
    </row>
    <row r="18374" spans="2:4">
      <c r="B18374">
        <v>1</v>
      </c>
      <c r="C18374">
        <v>102</v>
      </c>
      <c r="D18374">
        <v>1</v>
      </c>
    </row>
    <row r="18375" spans="2:4">
      <c r="B18375">
        <v>1</v>
      </c>
      <c r="C18375">
        <v>102</v>
      </c>
      <c r="D18375">
        <v>1</v>
      </c>
    </row>
    <row r="18376" spans="2:4">
      <c r="B18376">
        <v>1</v>
      </c>
      <c r="C18376">
        <v>102</v>
      </c>
      <c r="D18376">
        <v>1</v>
      </c>
    </row>
    <row r="18378" spans="2:4">
      <c r="B18378">
        <v>1</v>
      </c>
      <c r="C18378">
        <v>102</v>
      </c>
      <c r="D18378">
        <v>1</v>
      </c>
    </row>
    <row r="18379" spans="2:4">
      <c r="B18379">
        <v>1</v>
      </c>
      <c r="C18379">
        <v>102</v>
      </c>
      <c r="D18379">
        <v>1</v>
      </c>
    </row>
    <row r="18381" spans="2:4">
      <c r="B18381">
        <v>1</v>
      </c>
      <c r="C18381">
        <v>102</v>
      </c>
      <c r="D18381">
        <v>1</v>
      </c>
    </row>
    <row r="18382" spans="2:4">
      <c r="B18382">
        <v>1</v>
      </c>
      <c r="C18382">
        <v>102</v>
      </c>
      <c r="D18382">
        <v>1</v>
      </c>
    </row>
    <row r="18390" spans="2:4">
      <c r="B18390">
        <v>1</v>
      </c>
      <c r="C18390">
        <v>102</v>
      </c>
      <c r="D18390">
        <v>1</v>
      </c>
    </row>
    <row r="18393" spans="2:4">
      <c r="B18393">
        <v>1</v>
      </c>
      <c r="C18393">
        <v>102</v>
      </c>
      <c r="D18393">
        <v>1</v>
      </c>
    </row>
    <row r="18394" spans="2:4">
      <c r="B18394">
        <v>1</v>
      </c>
      <c r="C18394">
        <v>102</v>
      </c>
      <c r="D18394">
        <v>1</v>
      </c>
    </row>
    <row r="18400" spans="2:4">
      <c r="B18400">
        <v>1</v>
      </c>
      <c r="C18400">
        <v>102</v>
      </c>
      <c r="D18400">
        <v>1</v>
      </c>
    </row>
    <row r="18401" spans="2:4">
      <c r="B18401">
        <v>1</v>
      </c>
      <c r="C18401">
        <v>102</v>
      </c>
      <c r="D18401">
        <v>1</v>
      </c>
    </row>
    <row r="18413" spans="2:4">
      <c r="B18413">
        <v>1</v>
      </c>
      <c r="C18413">
        <v>102</v>
      </c>
      <c r="D18413">
        <v>1</v>
      </c>
    </row>
    <row r="18415" spans="2:4">
      <c r="B18415">
        <v>1</v>
      </c>
      <c r="C18415">
        <v>102</v>
      </c>
      <c r="D18415">
        <v>1</v>
      </c>
    </row>
    <row r="18416" spans="2:4">
      <c r="B18416">
        <v>1</v>
      </c>
      <c r="C18416">
        <v>102</v>
      </c>
      <c r="D18416">
        <v>1</v>
      </c>
    </row>
    <row r="18418" spans="2:4">
      <c r="B18418">
        <v>1</v>
      </c>
      <c r="C18418">
        <v>102</v>
      </c>
      <c r="D18418">
        <v>1</v>
      </c>
    </row>
    <row r="18420" spans="2:4">
      <c r="B18420">
        <v>1</v>
      </c>
      <c r="C18420">
        <v>102</v>
      </c>
      <c r="D18420">
        <v>1</v>
      </c>
    </row>
    <row r="18428" spans="2:4">
      <c r="B18428">
        <v>1</v>
      </c>
      <c r="C18428">
        <v>102</v>
      </c>
      <c r="D18428">
        <v>1</v>
      </c>
    </row>
    <row r="18430" spans="2:4">
      <c r="B18430">
        <v>1</v>
      </c>
      <c r="C18430">
        <v>102</v>
      </c>
      <c r="D18430">
        <v>1</v>
      </c>
    </row>
    <row r="18433" spans="2:4">
      <c r="B18433">
        <v>1</v>
      </c>
      <c r="C18433">
        <v>102</v>
      </c>
      <c r="D18433">
        <v>1</v>
      </c>
    </row>
    <row r="18436" spans="2:4">
      <c r="B18436">
        <v>1</v>
      </c>
      <c r="C18436">
        <v>102</v>
      </c>
      <c r="D18436">
        <v>1</v>
      </c>
    </row>
    <row r="18438" spans="2:4">
      <c r="B18438">
        <v>1</v>
      </c>
      <c r="C18438">
        <v>102</v>
      </c>
      <c r="D18438">
        <v>1</v>
      </c>
    </row>
    <row r="18441" spans="2:4">
      <c r="B18441">
        <v>1</v>
      </c>
      <c r="C18441">
        <v>102</v>
      </c>
      <c r="D18441">
        <v>1</v>
      </c>
    </row>
    <row r="18442" spans="2:4">
      <c r="B18442">
        <v>1</v>
      </c>
      <c r="C18442">
        <v>102</v>
      </c>
      <c r="D18442">
        <v>1</v>
      </c>
    </row>
    <row r="18444" spans="2:4">
      <c r="B18444">
        <v>1</v>
      </c>
      <c r="C18444">
        <v>102</v>
      </c>
      <c r="D18444">
        <v>1</v>
      </c>
    </row>
    <row r="18445" spans="2:4">
      <c r="B18445">
        <v>1</v>
      </c>
      <c r="C18445">
        <v>102</v>
      </c>
      <c r="D18445">
        <v>1</v>
      </c>
    </row>
    <row r="18446" spans="2:4">
      <c r="B18446">
        <v>1</v>
      </c>
      <c r="C18446">
        <v>102</v>
      </c>
      <c r="D18446">
        <v>1</v>
      </c>
    </row>
    <row r="18447" spans="2:4">
      <c r="B18447">
        <v>1</v>
      </c>
      <c r="C18447">
        <v>102</v>
      </c>
      <c r="D18447">
        <v>1</v>
      </c>
    </row>
    <row r="18456" spans="2:4">
      <c r="B18456">
        <v>1</v>
      </c>
      <c r="C18456">
        <v>102</v>
      </c>
      <c r="D18456">
        <v>1</v>
      </c>
    </row>
    <row r="18463" spans="2:4">
      <c r="B18463">
        <v>1</v>
      </c>
      <c r="C18463">
        <v>102</v>
      </c>
      <c r="D18463">
        <v>1</v>
      </c>
    </row>
    <row r="18466" spans="2:4">
      <c r="B18466">
        <v>1</v>
      </c>
      <c r="C18466">
        <v>102</v>
      </c>
      <c r="D18466">
        <v>1</v>
      </c>
    </row>
    <row r="18469" spans="2:4">
      <c r="B18469">
        <v>1</v>
      </c>
      <c r="C18469">
        <v>102</v>
      </c>
      <c r="D18469">
        <v>1</v>
      </c>
    </row>
    <row r="18472" spans="2:4">
      <c r="B18472">
        <v>1</v>
      </c>
      <c r="C18472">
        <v>102</v>
      </c>
      <c r="D18472">
        <v>1</v>
      </c>
    </row>
    <row r="18473" spans="2:4">
      <c r="B18473">
        <v>1</v>
      </c>
      <c r="C18473">
        <v>102</v>
      </c>
      <c r="D18473">
        <v>1</v>
      </c>
    </row>
    <row r="18479" spans="2:4">
      <c r="B18479">
        <v>1</v>
      </c>
      <c r="C18479">
        <v>102</v>
      </c>
      <c r="D18479">
        <v>1</v>
      </c>
    </row>
    <row r="18482" spans="2:4">
      <c r="B18482">
        <v>1</v>
      </c>
      <c r="C18482">
        <v>102</v>
      </c>
      <c r="D18482">
        <v>1</v>
      </c>
    </row>
    <row r="18486" spans="2:4">
      <c r="B18486">
        <v>1</v>
      </c>
      <c r="C18486">
        <v>102</v>
      </c>
      <c r="D18486">
        <v>1</v>
      </c>
    </row>
    <row r="18490" spans="2:4">
      <c r="B18490">
        <v>1</v>
      </c>
      <c r="C18490">
        <v>102</v>
      </c>
      <c r="D18490">
        <v>1</v>
      </c>
    </row>
    <row r="18492" spans="2:4">
      <c r="B18492">
        <v>1</v>
      </c>
      <c r="C18492">
        <v>102</v>
      </c>
      <c r="D18492">
        <v>1</v>
      </c>
    </row>
    <row r="18494" spans="2:4">
      <c r="B18494">
        <v>1</v>
      </c>
      <c r="C18494">
        <v>102</v>
      </c>
      <c r="D18494">
        <v>1</v>
      </c>
    </row>
    <row r="18495" spans="2:4">
      <c r="B18495">
        <v>1</v>
      </c>
      <c r="C18495">
        <v>102</v>
      </c>
      <c r="D18495">
        <v>1</v>
      </c>
    </row>
    <row r="18496" spans="2:4">
      <c r="B18496">
        <v>1</v>
      </c>
      <c r="C18496">
        <v>102</v>
      </c>
      <c r="D18496">
        <v>1</v>
      </c>
    </row>
    <row r="18499" spans="2:4">
      <c r="B18499">
        <v>1</v>
      </c>
      <c r="C18499">
        <v>102</v>
      </c>
      <c r="D18499">
        <v>1</v>
      </c>
    </row>
    <row r="18500" spans="2:4">
      <c r="B18500">
        <v>1</v>
      </c>
      <c r="C18500">
        <v>102</v>
      </c>
      <c r="D18500">
        <v>1</v>
      </c>
    </row>
    <row r="18501" spans="2:4">
      <c r="B18501">
        <v>1</v>
      </c>
      <c r="C18501">
        <v>102</v>
      </c>
      <c r="D18501">
        <v>1</v>
      </c>
    </row>
    <row r="18505" spans="2:4">
      <c r="B18505">
        <v>1</v>
      </c>
      <c r="C18505">
        <v>102</v>
      </c>
      <c r="D18505">
        <v>1</v>
      </c>
    </row>
    <row r="18508" spans="2:4">
      <c r="B18508">
        <v>1</v>
      </c>
      <c r="C18508">
        <v>102</v>
      </c>
      <c r="D18508">
        <v>1</v>
      </c>
    </row>
    <row r="18512" spans="2:4">
      <c r="B18512">
        <v>1</v>
      </c>
      <c r="C18512">
        <v>102</v>
      </c>
      <c r="D18512">
        <v>1</v>
      </c>
    </row>
    <row r="18516" spans="2:4">
      <c r="B18516">
        <v>1</v>
      </c>
      <c r="C18516">
        <v>102</v>
      </c>
      <c r="D18516">
        <v>1</v>
      </c>
    </row>
    <row r="18519" spans="2:4">
      <c r="B18519">
        <v>1</v>
      </c>
      <c r="C18519">
        <v>102</v>
      </c>
      <c r="D18519">
        <v>1</v>
      </c>
    </row>
    <row r="18520" spans="2:4">
      <c r="B18520">
        <v>1</v>
      </c>
      <c r="C18520">
        <v>102</v>
      </c>
      <c r="D18520">
        <v>1</v>
      </c>
    </row>
    <row r="18523" spans="2:4">
      <c r="B18523">
        <v>1</v>
      </c>
      <c r="C18523">
        <v>102</v>
      </c>
      <c r="D18523">
        <v>1</v>
      </c>
    </row>
    <row r="18525" spans="2:4">
      <c r="B18525">
        <v>1</v>
      </c>
      <c r="C18525">
        <v>102</v>
      </c>
      <c r="D18525">
        <v>1</v>
      </c>
    </row>
    <row r="18527" spans="2:4">
      <c r="B18527">
        <v>1</v>
      </c>
      <c r="C18527">
        <v>102</v>
      </c>
      <c r="D18527">
        <v>1</v>
      </c>
    </row>
    <row r="18531" spans="2:4">
      <c r="B18531">
        <v>1</v>
      </c>
      <c r="C18531">
        <v>102</v>
      </c>
      <c r="D18531">
        <v>1</v>
      </c>
    </row>
    <row r="18533" spans="2:4">
      <c r="B18533">
        <v>1</v>
      </c>
      <c r="C18533">
        <v>102</v>
      </c>
      <c r="D18533">
        <v>1</v>
      </c>
    </row>
    <row r="18534" spans="2:4">
      <c r="B18534">
        <v>1</v>
      </c>
      <c r="C18534">
        <v>102</v>
      </c>
      <c r="D18534">
        <v>1</v>
      </c>
    </row>
    <row r="18536" spans="2:4">
      <c r="B18536">
        <v>1</v>
      </c>
      <c r="C18536">
        <v>102</v>
      </c>
      <c r="D18536">
        <v>1</v>
      </c>
    </row>
    <row r="18537" spans="2:4">
      <c r="B18537">
        <v>1</v>
      </c>
      <c r="C18537">
        <v>102</v>
      </c>
      <c r="D18537">
        <v>1</v>
      </c>
    </row>
    <row r="18538" spans="2:4">
      <c r="B18538">
        <v>1</v>
      </c>
      <c r="C18538">
        <v>102</v>
      </c>
      <c r="D18538">
        <v>1</v>
      </c>
    </row>
    <row r="18539" spans="2:4">
      <c r="B18539">
        <v>1</v>
      </c>
      <c r="C18539">
        <v>102</v>
      </c>
      <c r="D18539">
        <v>1</v>
      </c>
    </row>
    <row r="18542" spans="2:4">
      <c r="B18542">
        <v>1</v>
      </c>
      <c r="C18542">
        <v>102</v>
      </c>
      <c r="D18542">
        <v>1</v>
      </c>
    </row>
    <row r="18545" spans="2:4">
      <c r="B18545">
        <v>1</v>
      </c>
      <c r="C18545">
        <v>102</v>
      </c>
      <c r="D18545">
        <v>1</v>
      </c>
    </row>
    <row r="18547" spans="2:4">
      <c r="B18547">
        <v>1</v>
      </c>
      <c r="C18547">
        <v>102</v>
      </c>
      <c r="D18547">
        <v>1</v>
      </c>
    </row>
    <row r="18549" spans="2:4">
      <c r="B18549">
        <v>1</v>
      </c>
      <c r="C18549">
        <v>102</v>
      </c>
      <c r="D18549">
        <v>1</v>
      </c>
    </row>
    <row r="18550" spans="2:4">
      <c r="B18550">
        <v>1</v>
      </c>
      <c r="C18550">
        <v>102</v>
      </c>
      <c r="D18550">
        <v>1</v>
      </c>
    </row>
    <row r="18551" spans="2:4">
      <c r="B18551">
        <v>1</v>
      </c>
      <c r="C18551">
        <v>102</v>
      </c>
      <c r="D18551">
        <v>1</v>
      </c>
    </row>
    <row r="18554" spans="2:4">
      <c r="B18554">
        <v>1</v>
      </c>
      <c r="C18554">
        <v>102</v>
      </c>
      <c r="D18554">
        <v>1</v>
      </c>
    </row>
    <row r="18555" spans="2:4">
      <c r="B18555">
        <v>1</v>
      </c>
      <c r="C18555">
        <v>102</v>
      </c>
      <c r="D18555">
        <v>1</v>
      </c>
    </row>
    <row r="18557" spans="2:4">
      <c r="B18557">
        <v>1</v>
      </c>
      <c r="C18557">
        <v>102</v>
      </c>
      <c r="D18557">
        <v>1</v>
      </c>
    </row>
    <row r="18562" spans="2:4">
      <c r="B18562">
        <v>1</v>
      </c>
      <c r="C18562">
        <v>102</v>
      </c>
      <c r="D18562">
        <v>1</v>
      </c>
    </row>
    <row r="18563" spans="2:4">
      <c r="B18563">
        <v>1</v>
      </c>
      <c r="C18563">
        <v>102</v>
      </c>
      <c r="D18563">
        <v>1</v>
      </c>
    </row>
    <row r="18567" spans="2:4">
      <c r="B18567">
        <v>1</v>
      </c>
      <c r="C18567">
        <v>102</v>
      </c>
      <c r="D18567">
        <v>1</v>
      </c>
    </row>
    <row r="18571" spans="2:4">
      <c r="B18571">
        <v>1</v>
      </c>
      <c r="C18571">
        <v>102</v>
      </c>
      <c r="D18571">
        <v>1</v>
      </c>
    </row>
    <row r="18576" spans="2:4">
      <c r="B18576">
        <v>1</v>
      </c>
      <c r="C18576">
        <v>102</v>
      </c>
      <c r="D18576">
        <v>1</v>
      </c>
    </row>
    <row r="18577" spans="2:4">
      <c r="B18577">
        <v>1</v>
      </c>
      <c r="C18577">
        <v>102</v>
      </c>
      <c r="D18577">
        <v>1</v>
      </c>
    </row>
    <row r="18578" spans="2:4">
      <c r="B18578">
        <v>1</v>
      </c>
      <c r="C18578">
        <v>102</v>
      </c>
      <c r="D18578">
        <v>1</v>
      </c>
    </row>
    <row r="18579" spans="2:4">
      <c r="B18579">
        <v>1</v>
      </c>
      <c r="C18579">
        <v>102</v>
      </c>
      <c r="D18579">
        <v>1</v>
      </c>
    </row>
    <row r="18580" spans="2:4">
      <c r="B18580">
        <v>1</v>
      </c>
      <c r="C18580">
        <v>102</v>
      </c>
      <c r="D18580">
        <v>1</v>
      </c>
    </row>
    <row r="18581" spans="2:4">
      <c r="B18581">
        <v>1</v>
      </c>
      <c r="C18581">
        <v>102</v>
      </c>
      <c r="D18581">
        <v>1</v>
      </c>
    </row>
    <row r="18583" spans="2:4">
      <c r="B18583">
        <v>1</v>
      </c>
      <c r="C18583">
        <v>102</v>
      </c>
      <c r="D18583">
        <v>1</v>
      </c>
    </row>
    <row r="18585" spans="2:4">
      <c r="B18585">
        <v>1</v>
      </c>
      <c r="C18585">
        <v>102</v>
      </c>
      <c r="D18585">
        <v>1</v>
      </c>
    </row>
    <row r="18587" spans="2:4">
      <c r="B18587">
        <v>1</v>
      </c>
      <c r="C18587">
        <v>102</v>
      </c>
      <c r="D18587">
        <v>1</v>
      </c>
    </row>
    <row r="18588" spans="2:4">
      <c r="B18588">
        <v>1</v>
      </c>
      <c r="C18588">
        <v>102</v>
      </c>
      <c r="D18588">
        <v>1</v>
      </c>
    </row>
    <row r="18589" spans="2:4">
      <c r="B18589">
        <v>1</v>
      </c>
      <c r="C18589">
        <v>102</v>
      </c>
      <c r="D18589">
        <v>1</v>
      </c>
    </row>
    <row r="18590" spans="2:4">
      <c r="B18590">
        <v>1</v>
      </c>
      <c r="C18590">
        <v>102</v>
      </c>
      <c r="D18590">
        <v>1</v>
      </c>
    </row>
    <row r="18592" spans="2:4">
      <c r="B18592">
        <v>1</v>
      </c>
      <c r="C18592">
        <v>102</v>
      </c>
      <c r="D18592">
        <v>1</v>
      </c>
    </row>
    <row r="18596" spans="2:4">
      <c r="B18596">
        <v>1</v>
      </c>
      <c r="C18596">
        <v>102</v>
      </c>
      <c r="D18596">
        <v>1</v>
      </c>
    </row>
    <row r="18599" spans="2:4">
      <c r="B18599">
        <v>1</v>
      </c>
      <c r="C18599">
        <v>102</v>
      </c>
      <c r="D18599">
        <v>1</v>
      </c>
    </row>
    <row r="18602" spans="2:4">
      <c r="B18602">
        <v>1</v>
      </c>
      <c r="C18602">
        <v>102</v>
      </c>
      <c r="D18602">
        <v>1</v>
      </c>
    </row>
    <row r="18603" spans="2:4">
      <c r="B18603">
        <v>1</v>
      </c>
      <c r="C18603">
        <v>102</v>
      </c>
      <c r="D18603">
        <v>1</v>
      </c>
    </row>
    <row r="18604" spans="2:4">
      <c r="B18604">
        <v>1</v>
      </c>
      <c r="C18604">
        <v>102</v>
      </c>
      <c r="D18604">
        <v>1</v>
      </c>
    </row>
    <row r="18606" spans="2:4">
      <c r="B18606">
        <v>1</v>
      </c>
      <c r="C18606">
        <v>102</v>
      </c>
      <c r="D18606">
        <v>1</v>
      </c>
    </row>
    <row r="18608" spans="2:4">
      <c r="B18608">
        <v>1</v>
      </c>
      <c r="C18608">
        <v>102</v>
      </c>
      <c r="D18608">
        <v>1</v>
      </c>
    </row>
    <row r="18609" spans="2:4">
      <c r="B18609">
        <v>1</v>
      </c>
      <c r="C18609">
        <v>102</v>
      </c>
      <c r="D18609">
        <v>1</v>
      </c>
    </row>
    <row r="18611" spans="2:4">
      <c r="B18611">
        <v>1</v>
      </c>
      <c r="C18611">
        <v>102</v>
      </c>
      <c r="D18611">
        <v>1</v>
      </c>
    </row>
    <row r="18612" spans="2:4">
      <c r="B18612">
        <v>1</v>
      </c>
      <c r="C18612">
        <v>102</v>
      </c>
      <c r="D18612">
        <v>1</v>
      </c>
    </row>
    <row r="18613" spans="2:4">
      <c r="B18613">
        <v>1</v>
      </c>
      <c r="C18613">
        <v>102</v>
      </c>
      <c r="D18613">
        <v>1</v>
      </c>
    </row>
    <row r="18615" spans="2:4">
      <c r="B18615">
        <v>1</v>
      </c>
      <c r="C18615">
        <v>102</v>
      </c>
      <c r="D18615">
        <v>1</v>
      </c>
    </row>
    <row r="18616" spans="2:4">
      <c r="B18616">
        <v>1</v>
      </c>
      <c r="C18616">
        <v>102</v>
      </c>
      <c r="D18616">
        <v>1</v>
      </c>
    </row>
    <row r="18617" spans="2:4">
      <c r="B18617">
        <v>1</v>
      </c>
      <c r="C18617">
        <v>102</v>
      </c>
      <c r="D18617">
        <v>1</v>
      </c>
    </row>
    <row r="18621" spans="2:4">
      <c r="B18621">
        <v>1</v>
      </c>
      <c r="C18621">
        <v>102</v>
      </c>
      <c r="D18621">
        <v>1</v>
      </c>
    </row>
    <row r="18625" spans="2:4">
      <c r="B18625">
        <v>1</v>
      </c>
      <c r="C18625">
        <v>102</v>
      </c>
      <c r="D18625">
        <v>1</v>
      </c>
    </row>
    <row r="18626" spans="2:4">
      <c r="B18626">
        <v>1</v>
      </c>
      <c r="C18626">
        <v>102</v>
      </c>
      <c r="D18626">
        <v>1</v>
      </c>
    </row>
    <row r="18630" spans="2:4">
      <c r="B18630">
        <v>1</v>
      </c>
      <c r="C18630">
        <v>102</v>
      </c>
      <c r="D18630">
        <v>1</v>
      </c>
    </row>
    <row r="18631" spans="2:4">
      <c r="B18631">
        <v>1</v>
      </c>
      <c r="C18631">
        <v>102</v>
      </c>
      <c r="D18631">
        <v>1</v>
      </c>
    </row>
    <row r="18632" spans="2:4">
      <c r="B18632">
        <v>1</v>
      </c>
      <c r="C18632">
        <v>102</v>
      </c>
      <c r="D18632">
        <v>1</v>
      </c>
    </row>
    <row r="18634" spans="2:4">
      <c r="B18634">
        <v>1</v>
      </c>
      <c r="C18634">
        <v>102</v>
      </c>
      <c r="D18634">
        <v>1</v>
      </c>
    </row>
    <row r="18635" spans="2:4">
      <c r="B18635">
        <v>1</v>
      </c>
      <c r="C18635">
        <v>102</v>
      </c>
      <c r="D18635">
        <v>1</v>
      </c>
    </row>
    <row r="18637" spans="2:4">
      <c r="B18637">
        <v>1</v>
      </c>
      <c r="C18637">
        <v>102</v>
      </c>
      <c r="D18637">
        <v>1</v>
      </c>
    </row>
    <row r="18638" spans="2:4">
      <c r="B18638">
        <v>1</v>
      </c>
      <c r="C18638">
        <v>102</v>
      </c>
      <c r="D18638">
        <v>1</v>
      </c>
    </row>
    <row r="18646" spans="2:4">
      <c r="B18646">
        <v>1</v>
      </c>
      <c r="C18646">
        <v>102</v>
      </c>
      <c r="D18646">
        <v>1</v>
      </c>
    </row>
    <row r="18649" spans="2:4">
      <c r="B18649">
        <v>1</v>
      </c>
      <c r="C18649">
        <v>102</v>
      </c>
      <c r="D18649">
        <v>1</v>
      </c>
    </row>
    <row r="18650" spans="2:4">
      <c r="B18650">
        <v>1</v>
      </c>
      <c r="C18650">
        <v>102</v>
      </c>
      <c r="D18650">
        <v>1</v>
      </c>
    </row>
    <row r="18656" spans="2:4">
      <c r="B18656">
        <v>1</v>
      </c>
      <c r="C18656">
        <v>102</v>
      </c>
      <c r="D18656">
        <v>1</v>
      </c>
    </row>
    <row r="18657" spans="2:4">
      <c r="B18657">
        <v>1</v>
      </c>
      <c r="C18657">
        <v>102</v>
      </c>
      <c r="D18657">
        <v>1</v>
      </c>
    </row>
    <row r="18669" spans="2:4">
      <c r="B18669">
        <v>1</v>
      </c>
      <c r="C18669">
        <v>102</v>
      </c>
      <c r="D18669">
        <v>1</v>
      </c>
    </row>
    <row r="18671" spans="2:4">
      <c r="B18671">
        <v>1</v>
      </c>
      <c r="C18671">
        <v>102</v>
      </c>
      <c r="D18671">
        <v>1</v>
      </c>
    </row>
    <row r="18672" spans="2:4">
      <c r="B18672">
        <v>1</v>
      </c>
      <c r="C18672">
        <v>102</v>
      </c>
      <c r="D18672">
        <v>1</v>
      </c>
    </row>
    <row r="18674" spans="2:4">
      <c r="B18674">
        <v>1</v>
      </c>
      <c r="C18674">
        <v>102</v>
      </c>
      <c r="D18674">
        <v>1</v>
      </c>
    </row>
    <row r="18676" spans="2:4">
      <c r="B18676">
        <v>1</v>
      </c>
      <c r="C18676">
        <v>102</v>
      </c>
      <c r="D18676">
        <v>1</v>
      </c>
    </row>
    <row r="18684" spans="2:4">
      <c r="B18684">
        <v>1</v>
      </c>
      <c r="C18684">
        <v>102</v>
      </c>
      <c r="D18684">
        <v>1</v>
      </c>
    </row>
    <row r="18686" spans="2:4">
      <c r="B18686">
        <v>1</v>
      </c>
      <c r="C18686">
        <v>102</v>
      </c>
      <c r="D18686">
        <v>1</v>
      </c>
    </row>
    <row r="18689" spans="2:4">
      <c r="B18689">
        <v>1</v>
      </c>
      <c r="C18689">
        <v>102</v>
      </c>
      <c r="D18689">
        <v>1</v>
      </c>
    </row>
    <row r="18692" spans="2:4">
      <c r="B18692">
        <v>1</v>
      </c>
      <c r="C18692">
        <v>102</v>
      </c>
      <c r="D18692">
        <v>1</v>
      </c>
    </row>
    <row r="18694" spans="2:4">
      <c r="B18694">
        <v>1</v>
      </c>
      <c r="C18694">
        <v>102</v>
      </c>
      <c r="D18694">
        <v>1</v>
      </c>
    </row>
    <row r="18697" spans="2:4">
      <c r="B18697">
        <v>1</v>
      </c>
      <c r="C18697">
        <v>102</v>
      </c>
      <c r="D18697">
        <v>1</v>
      </c>
    </row>
    <row r="18698" spans="2:4">
      <c r="B18698">
        <v>1</v>
      </c>
      <c r="C18698">
        <v>102</v>
      </c>
      <c r="D18698">
        <v>1</v>
      </c>
    </row>
    <row r="18700" spans="2:4">
      <c r="B18700">
        <v>1</v>
      </c>
      <c r="C18700">
        <v>102</v>
      </c>
      <c r="D18700">
        <v>1</v>
      </c>
    </row>
    <row r="18701" spans="2:4">
      <c r="B18701">
        <v>1</v>
      </c>
      <c r="C18701">
        <v>102</v>
      </c>
      <c r="D18701">
        <v>1</v>
      </c>
    </row>
    <row r="18702" spans="2:4">
      <c r="B18702">
        <v>1</v>
      </c>
      <c r="C18702">
        <v>102</v>
      </c>
      <c r="D18702">
        <v>1</v>
      </c>
    </row>
    <row r="18703" spans="2:4">
      <c r="B18703">
        <v>1</v>
      </c>
      <c r="C18703">
        <v>102</v>
      </c>
      <c r="D18703">
        <v>1</v>
      </c>
    </row>
    <row r="18712" spans="2:4">
      <c r="B18712">
        <v>1</v>
      </c>
      <c r="C18712">
        <v>102</v>
      </c>
      <c r="D18712">
        <v>1</v>
      </c>
    </row>
    <row r="18719" spans="2:4">
      <c r="B18719">
        <v>1</v>
      </c>
      <c r="C18719">
        <v>102</v>
      </c>
      <c r="D18719">
        <v>1</v>
      </c>
    </row>
    <row r="18722" spans="2:4">
      <c r="B18722">
        <v>1</v>
      </c>
      <c r="C18722">
        <v>102</v>
      </c>
      <c r="D18722">
        <v>1</v>
      </c>
    </row>
    <row r="18725" spans="2:4">
      <c r="B18725">
        <v>1</v>
      </c>
      <c r="C18725">
        <v>102</v>
      </c>
      <c r="D18725">
        <v>1</v>
      </c>
    </row>
    <row r="18728" spans="2:4">
      <c r="B18728">
        <v>1</v>
      </c>
      <c r="C18728">
        <v>102</v>
      </c>
      <c r="D18728">
        <v>1</v>
      </c>
    </row>
    <row r="18729" spans="2:4">
      <c r="B18729">
        <v>1</v>
      </c>
      <c r="C18729">
        <v>102</v>
      </c>
      <c r="D18729">
        <v>1</v>
      </c>
    </row>
    <row r="18735" spans="2:4">
      <c r="B18735">
        <v>1</v>
      </c>
      <c r="C18735">
        <v>102</v>
      </c>
      <c r="D18735">
        <v>1</v>
      </c>
    </row>
    <row r="18738" spans="2:4">
      <c r="B18738">
        <v>1</v>
      </c>
      <c r="C18738">
        <v>102</v>
      </c>
      <c r="D18738">
        <v>1</v>
      </c>
    </row>
    <row r="18742" spans="2:4">
      <c r="B18742">
        <v>1</v>
      </c>
      <c r="C18742">
        <v>102</v>
      </c>
      <c r="D18742">
        <v>1</v>
      </c>
    </row>
    <row r="18746" spans="2:4">
      <c r="B18746">
        <v>1</v>
      </c>
      <c r="C18746">
        <v>102</v>
      </c>
      <c r="D18746">
        <v>1</v>
      </c>
    </row>
    <row r="18748" spans="2:4">
      <c r="B18748">
        <v>1</v>
      </c>
      <c r="C18748">
        <v>102</v>
      </c>
      <c r="D18748">
        <v>1</v>
      </c>
    </row>
    <row r="18750" spans="2:4">
      <c r="B18750">
        <v>1</v>
      </c>
      <c r="C18750">
        <v>102</v>
      </c>
      <c r="D18750">
        <v>1</v>
      </c>
    </row>
    <row r="18751" spans="2:4">
      <c r="B18751">
        <v>1</v>
      </c>
      <c r="C18751">
        <v>102</v>
      </c>
      <c r="D18751">
        <v>1</v>
      </c>
    </row>
    <row r="18752" spans="2:4">
      <c r="B18752">
        <v>1</v>
      </c>
      <c r="C18752">
        <v>102</v>
      </c>
      <c r="D18752">
        <v>1</v>
      </c>
    </row>
    <row r="18755" spans="2:4">
      <c r="B18755">
        <v>1</v>
      </c>
      <c r="C18755">
        <v>102</v>
      </c>
      <c r="D18755">
        <v>1</v>
      </c>
    </row>
    <row r="18756" spans="2:4">
      <c r="B18756">
        <v>1</v>
      </c>
      <c r="C18756">
        <v>102</v>
      </c>
      <c r="D18756">
        <v>1</v>
      </c>
    </row>
    <row r="18757" spans="2:4">
      <c r="B18757">
        <v>1</v>
      </c>
      <c r="C18757">
        <v>102</v>
      </c>
      <c r="D18757">
        <v>1</v>
      </c>
    </row>
    <row r="18761" spans="2:4">
      <c r="B18761">
        <v>1</v>
      </c>
      <c r="C18761">
        <v>102</v>
      </c>
      <c r="D18761">
        <v>1</v>
      </c>
    </row>
    <row r="18764" spans="2:4">
      <c r="B18764">
        <v>1</v>
      </c>
      <c r="C18764">
        <v>102</v>
      </c>
      <c r="D18764">
        <v>1</v>
      </c>
    </row>
    <row r="18768" spans="2:4">
      <c r="B18768">
        <v>1</v>
      </c>
      <c r="C18768">
        <v>102</v>
      </c>
      <c r="D18768">
        <v>1</v>
      </c>
    </row>
    <row r="18772" spans="2:4">
      <c r="B18772">
        <v>1</v>
      </c>
      <c r="C18772">
        <v>102</v>
      </c>
      <c r="D18772">
        <v>1</v>
      </c>
    </row>
    <row r="18775" spans="2:4">
      <c r="B18775">
        <v>1</v>
      </c>
      <c r="C18775">
        <v>102</v>
      </c>
      <c r="D18775">
        <v>1</v>
      </c>
    </row>
    <row r="18776" spans="2:4">
      <c r="B18776">
        <v>1</v>
      </c>
      <c r="C18776">
        <v>102</v>
      </c>
      <c r="D18776">
        <v>1</v>
      </c>
    </row>
    <row r="18779" spans="2:4">
      <c r="B18779">
        <v>1</v>
      </c>
      <c r="C18779">
        <v>102</v>
      </c>
      <c r="D18779">
        <v>1</v>
      </c>
    </row>
    <row r="18781" spans="2:4">
      <c r="B18781">
        <v>1</v>
      </c>
      <c r="C18781">
        <v>102</v>
      </c>
      <c r="D18781">
        <v>1</v>
      </c>
    </row>
    <row r="18783" spans="2:4">
      <c r="B18783">
        <v>1</v>
      </c>
      <c r="C18783">
        <v>102</v>
      </c>
      <c r="D18783">
        <v>1</v>
      </c>
    </row>
    <row r="18787" spans="2:4">
      <c r="B18787">
        <v>1</v>
      </c>
      <c r="C18787">
        <v>102</v>
      </c>
      <c r="D18787">
        <v>1</v>
      </c>
    </row>
    <row r="18789" spans="2:4">
      <c r="B18789">
        <v>1</v>
      </c>
      <c r="C18789">
        <v>102</v>
      </c>
      <c r="D18789">
        <v>1</v>
      </c>
    </row>
    <row r="18790" spans="2:4">
      <c r="B18790">
        <v>1</v>
      </c>
      <c r="C18790">
        <v>102</v>
      </c>
      <c r="D18790">
        <v>1</v>
      </c>
    </row>
    <row r="18792" spans="2:4">
      <c r="B18792">
        <v>1</v>
      </c>
      <c r="C18792">
        <v>102</v>
      </c>
      <c r="D18792">
        <v>1</v>
      </c>
    </row>
    <row r="18793" spans="2:4">
      <c r="B18793">
        <v>1</v>
      </c>
      <c r="C18793">
        <v>102</v>
      </c>
      <c r="D18793">
        <v>1</v>
      </c>
    </row>
    <row r="18794" spans="2:4">
      <c r="B18794">
        <v>1</v>
      </c>
      <c r="C18794">
        <v>102</v>
      </c>
      <c r="D18794">
        <v>1</v>
      </c>
    </row>
    <row r="18795" spans="2:4">
      <c r="B18795">
        <v>1</v>
      </c>
      <c r="C18795">
        <v>102</v>
      </c>
      <c r="D18795">
        <v>1</v>
      </c>
    </row>
    <row r="18798" spans="2:4">
      <c r="B18798">
        <v>1</v>
      </c>
      <c r="C18798">
        <v>102</v>
      </c>
      <c r="D18798">
        <v>1</v>
      </c>
    </row>
    <row r="18801" spans="2:4">
      <c r="B18801">
        <v>1</v>
      </c>
      <c r="C18801">
        <v>102</v>
      </c>
      <c r="D18801">
        <v>1</v>
      </c>
    </row>
    <row r="18803" spans="2:4">
      <c r="B18803">
        <v>1</v>
      </c>
      <c r="C18803">
        <v>102</v>
      </c>
      <c r="D18803">
        <v>1</v>
      </c>
    </row>
    <row r="18805" spans="2:4">
      <c r="B18805">
        <v>1</v>
      </c>
      <c r="C18805">
        <v>102</v>
      </c>
      <c r="D18805">
        <v>1</v>
      </c>
    </row>
    <row r="18806" spans="2:4">
      <c r="B18806">
        <v>1</v>
      </c>
      <c r="C18806">
        <v>102</v>
      </c>
      <c r="D18806">
        <v>1</v>
      </c>
    </row>
    <row r="18807" spans="2:4">
      <c r="B18807">
        <v>1</v>
      </c>
      <c r="C18807">
        <v>102</v>
      </c>
      <c r="D18807">
        <v>1</v>
      </c>
    </row>
    <row r="18810" spans="2:4">
      <c r="B18810">
        <v>1</v>
      </c>
      <c r="C18810">
        <v>102</v>
      </c>
      <c r="D18810">
        <v>1</v>
      </c>
    </row>
    <row r="18811" spans="2:4">
      <c r="B18811">
        <v>1</v>
      </c>
      <c r="C18811">
        <v>102</v>
      </c>
      <c r="D18811">
        <v>1</v>
      </c>
    </row>
    <row r="18813" spans="2:4">
      <c r="B18813">
        <v>1</v>
      </c>
      <c r="C18813">
        <v>102</v>
      </c>
      <c r="D18813">
        <v>1</v>
      </c>
    </row>
    <row r="18818" spans="2:4">
      <c r="B18818">
        <v>1</v>
      </c>
      <c r="C18818">
        <v>102</v>
      </c>
      <c r="D18818">
        <v>1</v>
      </c>
    </row>
    <row r="18819" spans="2:4">
      <c r="B18819">
        <v>1</v>
      </c>
      <c r="C18819">
        <v>102</v>
      </c>
      <c r="D18819">
        <v>1</v>
      </c>
    </row>
    <row r="18823" spans="2:4">
      <c r="B18823">
        <v>1</v>
      </c>
      <c r="C18823">
        <v>102</v>
      </c>
      <c r="D18823">
        <v>1</v>
      </c>
    </row>
    <row r="18827" spans="2:4">
      <c r="B18827">
        <v>1</v>
      </c>
      <c r="C18827">
        <v>102</v>
      </c>
      <c r="D18827">
        <v>1</v>
      </c>
    </row>
    <row r="18832" spans="2:4">
      <c r="B18832">
        <v>1</v>
      </c>
      <c r="C18832">
        <v>102</v>
      </c>
      <c r="D18832">
        <v>1</v>
      </c>
    </row>
    <row r="18833" spans="2:4">
      <c r="B18833">
        <v>1</v>
      </c>
      <c r="C18833">
        <v>102</v>
      </c>
      <c r="D18833">
        <v>1</v>
      </c>
    </row>
    <row r="18834" spans="2:4">
      <c r="B18834">
        <v>1</v>
      </c>
      <c r="C18834">
        <v>102</v>
      </c>
      <c r="D18834">
        <v>1</v>
      </c>
    </row>
    <row r="18835" spans="2:4">
      <c r="B18835">
        <v>1</v>
      </c>
      <c r="C18835">
        <v>102</v>
      </c>
      <c r="D18835">
        <v>1</v>
      </c>
    </row>
    <row r="18836" spans="2:4">
      <c r="B18836">
        <v>1</v>
      </c>
      <c r="C18836">
        <v>102</v>
      </c>
      <c r="D18836">
        <v>1</v>
      </c>
    </row>
    <row r="18837" spans="2:4">
      <c r="B18837">
        <v>1</v>
      </c>
      <c r="C18837">
        <v>102</v>
      </c>
      <c r="D18837">
        <v>1</v>
      </c>
    </row>
    <row r="18839" spans="2:4">
      <c r="B18839">
        <v>1</v>
      </c>
      <c r="C18839">
        <v>102</v>
      </c>
      <c r="D18839">
        <v>1</v>
      </c>
    </row>
    <row r="18841" spans="2:4">
      <c r="B18841">
        <v>1</v>
      </c>
      <c r="C18841">
        <v>102</v>
      </c>
      <c r="D18841">
        <v>1</v>
      </c>
    </row>
    <row r="18843" spans="2:4">
      <c r="B18843">
        <v>1</v>
      </c>
      <c r="C18843">
        <v>102</v>
      </c>
      <c r="D18843">
        <v>1</v>
      </c>
    </row>
    <row r="18844" spans="2:4">
      <c r="B18844">
        <v>1</v>
      </c>
      <c r="C18844">
        <v>102</v>
      </c>
      <c r="D18844">
        <v>1</v>
      </c>
    </row>
    <row r="18845" spans="2:4">
      <c r="B18845">
        <v>1</v>
      </c>
      <c r="C18845">
        <v>102</v>
      </c>
      <c r="D18845">
        <v>1</v>
      </c>
    </row>
    <row r="18846" spans="2:4">
      <c r="B18846">
        <v>1</v>
      </c>
      <c r="C18846">
        <v>102</v>
      </c>
      <c r="D18846">
        <v>1</v>
      </c>
    </row>
    <row r="18848" spans="2:4">
      <c r="B18848">
        <v>1</v>
      </c>
      <c r="C18848">
        <v>102</v>
      </c>
      <c r="D18848">
        <v>1</v>
      </c>
    </row>
    <row r="18852" spans="2:4">
      <c r="B18852">
        <v>1</v>
      </c>
      <c r="C18852">
        <v>102</v>
      </c>
      <c r="D18852">
        <v>1</v>
      </c>
    </row>
    <row r="18855" spans="2:4">
      <c r="B18855">
        <v>1</v>
      </c>
      <c r="C18855">
        <v>102</v>
      </c>
      <c r="D18855">
        <v>1</v>
      </c>
    </row>
    <row r="18858" spans="2:4">
      <c r="B18858">
        <v>1</v>
      </c>
      <c r="C18858">
        <v>102</v>
      </c>
      <c r="D18858">
        <v>1</v>
      </c>
    </row>
    <row r="18859" spans="2:4">
      <c r="B18859">
        <v>1</v>
      </c>
      <c r="C18859">
        <v>102</v>
      </c>
      <c r="D18859">
        <v>1</v>
      </c>
    </row>
    <row r="18860" spans="2:4">
      <c r="B18860">
        <v>1</v>
      </c>
      <c r="C18860">
        <v>102</v>
      </c>
      <c r="D18860">
        <v>1</v>
      </c>
    </row>
    <row r="18862" spans="2:4">
      <c r="B18862">
        <v>1</v>
      </c>
      <c r="C18862">
        <v>102</v>
      </c>
      <c r="D18862">
        <v>1</v>
      </c>
    </row>
    <row r="18864" spans="2:4">
      <c r="B18864">
        <v>1</v>
      </c>
      <c r="C18864">
        <v>102</v>
      </c>
      <c r="D18864">
        <v>1</v>
      </c>
    </row>
    <row r="18865" spans="2:4">
      <c r="B18865">
        <v>1</v>
      </c>
      <c r="C18865">
        <v>102</v>
      </c>
      <c r="D18865">
        <v>1</v>
      </c>
    </row>
    <row r="18867" spans="2:4">
      <c r="B18867">
        <v>1</v>
      </c>
      <c r="C18867">
        <v>102</v>
      </c>
      <c r="D18867">
        <v>1</v>
      </c>
    </row>
    <row r="18868" spans="2:4">
      <c r="B18868">
        <v>1</v>
      </c>
      <c r="C18868">
        <v>102</v>
      </c>
      <c r="D18868">
        <v>1</v>
      </c>
    </row>
    <row r="18869" spans="2:4">
      <c r="B18869">
        <v>1</v>
      </c>
      <c r="C18869">
        <v>102</v>
      </c>
      <c r="D18869">
        <v>1</v>
      </c>
    </row>
    <row r="18871" spans="2:4">
      <c r="B18871">
        <v>1</v>
      </c>
      <c r="C18871">
        <v>102</v>
      </c>
      <c r="D18871">
        <v>1</v>
      </c>
    </row>
    <row r="18872" spans="2:4">
      <c r="B18872">
        <v>1</v>
      </c>
      <c r="C18872">
        <v>102</v>
      </c>
      <c r="D18872">
        <v>1</v>
      </c>
    </row>
    <row r="18873" spans="2:4">
      <c r="B18873">
        <v>1</v>
      </c>
      <c r="C18873">
        <v>102</v>
      </c>
      <c r="D18873">
        <v>1</v>
      </c>
    </row>
    <row r="18877" spans="2:4">
      <c r="B18877">
        <v>1</v>
      </c>
      <c r="C18877">
        <v>102</v>
      </c>
      <c r="D18877">
        <v>1</v>
      </c>
    </row>
    <row r="18881" spans="2:4">
      <c r="B18881">
        <v>1</v>
      </c>
      <c r="C18881">
        <v>102</v>
      </c>
      <c r="D18881">
        <v>1</v>
      </c>
    </row>
    <row r="18882" spans="2:4">
      <c r="B18882">
        <v>1</v>
      </c>
      <c r="C18882">
        <v>102</v>
      </c>
      <c r="D18882">
        <v>1</v>
      </c>
    </row>
    <row r="18886" spans="2:4">
      <c r="B18886">
        <v>1</v>
      </c>
      <c r="C18886">
        <v>102</v>
      </c>
      <c r="D18886">
        <v>1</v>
      </c>
    </row>
    <row r="18887" spans="2:4">
      <c r="B18887">
        <v>1</v>
      </c>
      <c r="C18887">
        <v>102</v>
      </c>
      <c r="D18887">
        <v>1</v>
      </c>
    </row>
    <row r="18888" spans="2:4">
      <c r="B18888">
        <v>1</v>
      </c>
      <c r="C18888">
        <v>102</v>
      </c>
      <c r="D18888">
        <v>1</v>
      </c>
    </row>
    <row r="18890" spans="2:4">
      <c r="B18890">
        <v>1</v>
      </c>
      <c r="C18890">
        <v>102</v>
      </c>
      <c r="D18890">
        <v>1</v>
      </c>
    </row>
    <row r="18891" spans="2:4">
      <c r="B18891">
        <v>1</v>
      </c>
      <c r="C18891">
        <v>102</v>
      </c>
      <c r="D18891">
        <v>1</v>
      </c>
    </row>
    <row r="18893" spans="2:4">
      <c r="B18893">
        <v>1</v>
      </c>
      <c r="C18893">
        <v>102</v>
      </c>
      <c r="D18893">
        <v>1</v>
      </c>
    </row>
    <row r="18894" spans="2:4">
      <c r="B18894">
        <v>1</v>
      </c>
      <c r="C18894">
        <v>102</v>
      </c>
      <c r="D18894">
        <v>1</v>
      </c>
    </row>
    <row r="18902" spans="2:4">
      <c r="B18902">
        <v>1</v>
      </c>
      <c r="C18902">
        <v>102</v>
      </c>
      <c r="D18902">
        <v>1</v>
      </c>
    </row>
    <row r="18905" spans="2:4">
      <c r="B18905">
        <v>1</v>
      </c>
      <c r="C18905">
        <v>102</v>
      </c>
      <c r="D18905">
        <v>1</v>
      </c>
    </row>
    <row r="18906" spans="2:4">
      <c r="B18906">
        <v>1</v>
      </c>
      <c r="C18906">
        <v>102</v>
      </c>
      <c r="D18906">
        <v>1</v>
      </c>
    </row>
    <row r="18912" spans="2:4">
      <c r="B18912">
        <v>1</v>
      </c>
      <c r="C18912">
        <v>102</v>
      </c>
      <c r="D18912">
        <v>1</v>
      </c>
    </row>
    <row r="18913" spans="2:4">
      <c r="B18913">
        <v>1</v>
      </c>
      <c r="C18913">
        <v>102</v>
      </c>
      <c r="D18913">
        <v>1</v>
      </c>
    </row>
    <row r="18925" spans="2:4">
      <c r="B18925">
        <v>1</v>
      </c>
      <c r="C18925">
        <v>102</v>
      </c>
      <c r="D18925">
        <v>1</v>
      </c>
    </row>
    <row r="18927" spans="2:4">
      <c r="B18927">
        <v>1</v>
      </c>
      <c r="C18927">
        <v>102</v>
      </c>
      <c r="D18927">
        <v>1</v>
      </c>
    </row>
    <row r="18928" spans="2:4">
      <c r="B18928">
        <v>1</v>
      </c>
      <c r="C18928">
        <v>102</v>
      </c>
      <c r="D18928">
        <v>1</v>
      </c>
    </row>
    <row r="18930" spans="2:4">
      <c r="B18930">
        <v>1</v>
      </c>
      <c r="C18930">
        <v>102</v>
      </c>
      <c r="D18930">
        <v>1</v>
      </c>
    </row>
    <row r="18932" spans="2:4">
      <c r="B18932">
        <v>1</v>
      </c>
      <c r="C18932">
        <v>102</v>
      </c>
      <c r="D18932">
        <v>1</v>
      </c>
    </row>
    <row r="18940" spans="2:4">
      <c r="B18940">
        <v>1</v>
      </c>
      <c r="C18940">
        <v>102</v>
      </c>
      <c r="D18940">
        <v>1</v>
      </c>
    </row>
    <row r="18942" spans="2:4">
      <c r="B18942">
        <v>1</v>
      </c>
      <c r="C18942">
        <v>102</v>
      </c>
      <c r="D18942">
        <v>1</v>
      </c>
    </row>
    <row r="18945" spans="2:4">
      <c r="B18945">
        <v>1</v>
      </c>
      <c r="C18945">
        <v>102</v>
      </c>
      <c r="D18945">
        <v>1</v>
      </c>
    </row>
    <row r="18948" spans="2:4">
      <c r="B18948">
        <v>1</v>
      </c>
      <c r="C18948">
        <v>102</v>
      </c>
      <c r="D18948">
        <v>1</v>
      </c>
    </row>
    <row r="18950" spans="2:4">
      <c r="B18950">
        <v>1</v>
      </c>
      <c r="C18950">
        <v>102</v>
      </c>
      <c r="D18950">
        <v>1</v>
      </c>
    </row>
    <row r="18953" spans="2:4">
      <c r="B18953">
        <v>1</v>
      </c>
      <c r="C18953">
        <v>102</v>
      </c>
      <c r="D18953">
        <v>1</v>
      </c>
    </row>
    <row r="18954" spans="2:4">
      <c r="B18954">
        <v>1</v>
      </c>
      <c r="C18954">
        <v>102</v>
      </c>
      <c r="D18954">
        <v>1</v>
      </c>
    </row>
    <row r="18956" spans="2:4">
      <c r="B18956">
        <v>1</v>
      </c>
      <c r="C18956">
        <v>102</v>
      </c>
      <c r="D18956">
        <v>1</v>
      </c>
    </row>
    <row r="18957" spans="2:4">
      <c r="B18957">
        <v>1</v>
      </c>
      <c r="C18957">
        <v>102</v>
      </c>
      <c r="D18957">
        <v>1</v>
      </c>
    </row>
    <row r="18958" spans="2:4">
      <c r="B18958">
        <v>1</v>
      </c>
      <c r="C18958">
        <v>102</v>
      </c>
      <c r="D18958">
        <v>1</v>
      </c>
    </row>
    <row r="18959" spans="2:4">
      <c r="B18959">
        <v>1</v>
      </c>
      <c r="C18959">
        <v>102</v>
      </c>
      <c r="D18959">
        <v>1</v>
      </c>
    </row>
    <row r="18968" spans="2:4">
      <c r="B18968">
        <v>1</v>
      </c>
      <c r="C18968">
        <v>102</v>
      </c>
      <c r="D18968">
        <v>1</v>
      </c>
    </row>
    <row r="18975" spans="2:4">
      <c r="B18975">
        <v>1</v>
      </c>
      <c r="C18975">
        <v>102</v>
      </c>
      <c r="D18975">
        <v>1</v>
      </c>
    </row>
    <row r="18978" spans="2:4">
      <c r="B18978">
        <v>1</v>
      </c>
      <c r="C18978">
        <v>102</v>
      </c>
      <c r="D18978">
        <v>1</v>
      </c>
    </row>
    <row r="18981" spans="2:4">
      <c r="B18981">
        <v>1</v>
      </c>
      <c r="C18981">
        <v>102</v>
      </c>
      <c r="D18981">
        <v>1</v>
      </c>
    </row>
    <row r="18984" spans="2:4">
      <c r="B18984">
        <v>1</v>
      </c>
      <c r="C18984">
        <v>102</v>
      </c>
      <c r="D18984">
        <v>1</v>
      </c>
    </row>
    <row r="18985" spans="2:4">
      <c r="B18985">
        <v>1</v>
      </c>
      <c r="C18985">
        <v>102</v>
      </c>
      <c r="D18985">
        <v>1</v>
      </c>
    </row>
    <row r="18991" spans="2:4">
      <c r="B18991">
        <v>1</v>
      </c>
      <c r="C18991">
        <v>102</v>
      </c>
      <c r="D18991">
        <v>1</v>
      </c>
    </row>
    <row r="18994" spans="2:4">
      <c r="B18994">
        <v>1</v>
      </c>
      <c r="C18994">
        <v>102</v>
      </c>
      <c r="D18994">
        <v>1</v>
      </c>
    </row>
    <row r="18998" spans="2:4">
      <c r="B18998">
        <v>1</v>
      </c>
      <c r="C18998">
        <v>102</v>
      </c>
      <c r="D18998">
        <v>1</v>
      </c>
    </row>
    <row r="19002" spans="2:4">
      <c r="B19002">
        <v>1</v>
      </c>
      <c r="C19002">
        <v>102</v>
      </c>
      <c r="D19002">
        <v>1</v>
      </c>
    </row>
    <row r="19004" spans="2:4">
      <c r="B19004">
        <v>1</v>
      </c>
      <c r="C19004">
        <v>102</v>
      </c>
      <c r="D19004">
        <v>1</v>
      </c>
    </row>
    <row r="19006" spans="2:4">
      <c r="B19006">
        <v>1</v>
      </c>
      <c r="C19006">
        <v>102</v>
      </c>
      <c r="D19006">
        <v>1</v>
      </c>
    </row>
    <row r="19007" spans="2:4">
      <c r="B19007">
        <v>1</v>
      </c>
      <c r="C19007">
        <v>102</v>
      </c>
      <c r="D19007">
        <v>1</v>
      </c>
    </row>
    <row r="19008" spans="2:4">
      <c r="B19008">
        <v>1</v>
      </c>
      <c r="C19008">
        <v>102</v>
      </c>
      <c r="D19008">
        <v>1</v>
      </c>
    </row>
    <row r="19011" spans="2:4">
      <c r="B19011">
        <v>1</v>
      </c>
      <c r="C19011">
        <v>102</v>
      </c>
      <c r="D19011">
        <v>1</v>
      </c>
    </row>
    <row r="19012" spans="2:4">
      <c r="B19012">
        <v>1</v>
      </c>
      <c r="C19012">
        <v>102</v>
      </c>
      <c r="D19012">
        <v>1</v>
      </c>
    </row>
    <row r="19013" spans="2:4">
      <c r="B19013">
        <v>1</v>
      </c>
      <c r="C19013">
        <v>102</v>
      </c>
      <c r="D19013">
        <v>1</v>
      </c>
    </row>
    <row r="19017" spans="2:4">
      <c r="B19017">
        <v>1</v>
      </c>
      <c r="C19017">
        <v>102</v>
      </c>
      <c r="D19017">
        <v>1</v>
      </c>
    </row>
    <row r="19020" spans="2:4">
      <c r="B19020">
        <v>1</v>
      </c>
      <c r="C19020">
        <v>102</v>
      </c>
      <c r="D19020">
        <v>1</v>
      </c>
    </row>
    <row r="19024" spans="2:4">
      <c r="B19024">
        <v>1</v>
      </c>
      <c r="C19024">
        <v>102</v>
      </c>
      <c r="D19024">
        <v>1</v>
      </c>
    </row>
    <row r="19028" spans="2:4">
      <c r="B19028">
        <v>1</v>
      </c>
      <c r="C19028">
        <v>102</v>
      </c>
      <c r="D19028">
        <v>1</v>
      </c>
    </row>
    <row r="19031" spans="2:4">
      <c r="B19031">
        <v>1</v>
      </c>
      <c r="C19031">
        <v>102</v>
      </c>
      <c r="D19031">
        <v>1</v>
      </c>
    </row>
    <row r="19032" spans="2:4">
      <c r="B19032">
        <v>1</v>
      </c>
      <c r="C19032">
        <v>102</v>
      </c>
      <c r="D19032">
        <v>1</v>
      </c>
    </row>
    <row r="19035" spans="2:4">
      <c r="B19035">
        <v>1</v>
      </c>
      <c r="C19035">
        <v>102</v>
      </c>
      <c r="D19035">
        <v>1</v>
      </c>
    </row>
    <row r="19037" spans="2:4">
      <c r="B19037">
        <v>1</v>
      </c>
      <c r="C19037">
        <v>102</v>
      </c>
      <c r="D19037">
        <v>1</v>
      </c>
    </row>
    <row r="19039" spans="2:4">
      <c r="B19039">
        <v>1</v>
      </c>
      <c r="C19039">
        <v>102</v>
      </c>
      <c r="D19039">
        <v>1</v>
      </c>
    </row>
    <row r="19043" spans="2:4">
      <c r="B19043">
        <v>1</v>
      </c>
      <c r="C19043">
        <v>102</v>
      </c>
      <c r="D19043">
        <v>1</v>
      </c>
    </row>
    <row r="19045" spans="2:4">
      <c r="B19045">
        <v>1</v>
      </c>
      <c r="C19045">
        <v>102</v>
      </c>
      <c r="D19045">
        <v>1</v>
      </c>
    </row>
    <row r="19046" spans="2:4">
      <c r="B19046">
        <v>1</v>
      </c>
      <c r="C19046">
        <v>102</v>
      </c>
      <c r="D19046">
        <v>1</v>
      </c>
    </row>
    <row r="19048" spans="2:4">
      <c r="B19048">
        <v>1</v>
      </c>
      <c r="C19048">
        <v>102</v>
      </c>
      <c r="D19048">
        <v>1</v>
      </c>
    </row>
    <row r="19049" spans="2:4">
      <c r="B19049">
        <v>1</v>
      </c>
      <c r="C19049">
        <v>102</v>
      </c>
      <c r="D19049">
        <v>1</v>
      </c>
    </row>
    <row r="19050" spans="2:4">
      <c r="B19050">
        <v>1</v>
      </c>
      <c r="C19050">
        <v>102</v>
      </c>
      <c r="D19050">
        <v>1</v>
      </c>
    </row>
    <row r="19051" spans="2:4">
      <c r="B19051">
        <v>1</v>
      </c>
      <c r="C19051">
        <v>102</v>
      </c>
      <c r="D19051">
        <v>1</v>
      </c>
    </row>
    <row r="19054" spans="2:4">
      <c r="B19054">
        <v>1</v>
      </c>
      <c r="C19054">
        <v>102</v>
      </c>
      <c r="D19054">
        <v>1</v>
      </c>
    </row>
    <row r="19057" spans="2:4">
      <c r="B19057">
        <v>1</v>
      </c>
      <c r="C19057">
        <v>102</v>
      </c>
      <c r="D19057">
        <v>1</v>
      </c>
    </row>
    <row r="19059" spans="2:4">
      <c r="B19059">
        <v>1</v>
      </c>
      <c r="C19059">
        <v>102</v>
      </c>
      <c r="D19059">
        <v>1</v>
      </c>
    </row>
    <row r="19061" spans="2:4">
      <c r="B19061">
        <v>1</v>
      </c>
      <c r="C19061">
        <v>102</v>
      </c>
      <c r="D19061">
        <v>1</v>
      </c>
    </row>
    <row r="19062" spans="2:4">
      <c r="B19062">
        <v>1</v>
      </c>
      <c r="C19062">
        <v>102</v>
      </c>
      <c r="D19062">
        <v>1</v>
      </c>
    </row>
    <row r="19063" spans="2:4">
      <c r="B19063">
        <v>1</v>
      </c>
      <c r="C19063">
        <v>102</v>
      </c>
      <c r="D19063">
        <v>1</v>
      </c>
    </row>
    <row r="19066" spans="2:4">
      <c r="B19066">
        <v>1</v>
      </c>
      <c r="C19066">
        <v>102</v>
      </c>
      <c r="D19066">
        <v>1</v>
      </c>
    </row>
    <row r="19067" spans="2:4">
      <c r="B19067">
        <v>1</v>
      </c>
      <c r="C19067">
        <v>102</v>
      </c>
      <c r="D19067">
        <v>1</v>
      </c>
    </row>
    <row r="19069" spans="2:4">
      <c r="B19069">
        <v>1</v>
      </c>
      <c r="C19069">
        <v>102</v>
      </c>
      <c r="D19069">
        <v>1</v>
      </c>
    </row>
    <row r="19074" spans="2:4">
      <c r="B19074">
        <v>1</v>
      </c>
      <c r="C19074">
        <v>102</v>
      </c>
      <c r="D19074">
        <v>1</v>
      </c>
    </row>
    <row r="19075" spans="2:4">
      <c r="B19075">
        <v>1</v>
      </c>
      <c r="C19075">
        <v>102</v>
      </c>
      <c r="D19075">
        <v>1</v>
      </c>
    </row>
    <row r="19079" spans="2:4">
      <c r="B19079">
        <v>1</v>
      </c>
      <c r="C19079">
        <v>102</v>
      </c>
      <c r="D19079">
        <v>1</v>
      </c>
    </row>
    <row r="19083" spans="2:4">
      <c r="B19083">
        <v>1</v>
      </c>
      <c r="C19083">
        <v>102</v>
      </c>
      <c r="D19083">
        <v>1</v>
      </c>
    </row>
    <row r="19088" spans="2:4">
      <c r="B19088">
        <v>1</v>
      </c>
      <c r="C19088">
        <v>102</v>
      </c>
      <c r="D19088">
        <v>1</v>
      </c>
    </row>
    <row r="19089" spans="2:4">
      <c r="B19089">
        <v>1</v>
      </c>
      <c r="C19089">
        <v>102</v>
      </c>
      <c r="D19089">
        <v>1</v>
      </c>
    </row>
    <row r="19090" spans="2:4">
      <c r="B19090">
        <v>1</v>
      </c>
      <c r="C19090">
        <v>102</v>
      </c>
      <c r="D19090">
        <v>1</v>
      </c>
    </row>
    <row r="19091" spans="2:4">
      <c r="B19091">
        <v>1</v>
      </c>
      <c r="C19091">
        <v>102</v>
      </c>
      <c r="D19091">
        <v>1</v>
      </c>
    </row>
    <row r="19092" spans="2:4">
      <c r="B19092">
        <v>1</v>
      </c>
      <c r="C19092">
        <v>102</v>
      </c>
      <c r="D19092">
        <v>1</v>
      </c>
    </row>
    <row r="19093" spans="2:4">
      <c r="B19093">
        <v>1</v>
      </c>
      <c r="C19093">
        <v>102</v>
      </c>
      <c r="D19093">
        <v>1</v>
      </c>
    </row>
    <row r="19095" spans="2:4">
      <c r="B19095">
        <v>1</v>
      </c>
      <c r="C19095">
        <v>102</v>
      </c>
      <c r="D19095">
        <v>1</v>
      </c>
    </row>
    <row r="19097" spans="2:4">
      <c r="B19097">
        <v>1</v>
      </c>
      <c r="C19097">
        <v>102</v>
      </c>
      <c r="D19097">
        <v>1</v>
      </c>
    </row>
    <row r="19099" spans="2:4">
      <c r="B19099">
        <v>1</v>
      </c>
      <c r="C19099">
        <v>102</v>
      </c>
      <c r="D19099">
        <v>1</v>
      </c>
    </row>
    <row r="19100" spans="2:4">
      <c r="B19100">
        <v>1</v>
      </c>
      <c r="C19100">
        <v>102</v>
      </c>
      <c r="D19100">
        <v>1</v>
      </c>
    </row>
    <row r="19101" spans="2:4">
      <c r="B19101">
        <v>1</v>
      </c>
      <c r="C19101">
        <v>102</v>
      </c>
      <c r="D19101">
        <v>1</v>
      </c>
    </row>
    <row r="19102" spans="2:4">
      <c r="B19102">
        <v>1</v>
      </c>
      <c r="C19102">
        <v>102</v>
      </c>
      <c r="D19102">
        <v>1</v>
      </c>
    </row>
    <row r="19104" spans="2:4">
      <c r="B19104">
        <v>1</v>
      </c>
      <c r="C19104">
        <v>102</v>
      </c>
      <c r="D19104">
        <v>1</v>
      </c>
    </row>
    <row r="19108" spans="2:4">
      <c r="B19108">
        <v>1</v>
      </c>
      <c r="C19108">
        <v>102</v>
      </c>
      <c r="D19108">
        <v>1</v>
      </c>
    </row>
    <row r="19111" spans="2:4">
      <c r="B19111">
        <v>1</v>
      </c>
      <c r="C19111">
        <v>102</v>
      </c>
      <c r="D19111">
        <v>1</v>
      </c>
    </row>
    <row r="19114" spans="2:4">
      <c r="B19114">
        <v>1</v>
      </c>
      <c r="C19114">
        <v>102</v>
      </c>
      <c r="D19114">
        <v>1</v>
      </c>
    </row>
    <row r="19115" spans="2:4">
      <c r="B19115">
        <v>1</v>
      </c>
      <c r="C19115">
        <v>102</v>
      </c>
      <c r="D19115">
        <v>1</v>
      </c>
    </row>
    <row r="19116" spans="2:4">
      <c r="B19116">
        <v>1</v>
      </c>
      <c r="C19116">
        <v>102</v>
      </c>
      <c r="D19116">
        <v>1</v>
      </c>
    </row>
    <row r="19118" spans="2:4">
      <c r="B19118">
        <v>1</v>
      </c>
      <c r="C19118">
        <v>102</v>
      </c>
      <c r="D19118">
        <v>1</v>
      </c>
    </row>
    <row r="19120" spans="2:4">
      <c r="B19120">
        <v>1</v>
      </c>
      <c r="C19120">
        <v>102</v>
      </c>
      <c r="D19120">
        <v>1</v>
      </c>
    </row>
    <row r="19121" spans="2:4">
      <c r="B19121">
        <v>1</v>
      </c>
      <c r="C19121">
        <v>102</v>
      </c>
      <c r="D19121">
        <v>1</v>
      </c>
    </row>
    <row r="19123" spans="2:4">
      <c r="B19123">
        <v>1</v>
      </c>
      <c r="C19123">
        <v>102</v>
      </c>
      <c r="D19123">
        <v>1</v>
      </c>
    </row>
    <row r="19124" spans="2:4">
      <c r="B19124">
        <v>1</v>
      </c>
      <c r="C19124">
        <v>102</v>
      </c>
      <c r="D19124">
        <v>1</v>
      </c>
    </row>
    <row r="19125" spans="2:4">
      <c r="B19125">
        <v>1</v>
      </c>
      <c r="C19125">
        <v>102</v>
      </c>
      <c r="D19125">
        <v>1</v>
      </c>
    </row>
    <row r="19127" spans="2:4">
      <c r="B19127">
        <v>1</v>
      </c>
      <c r="C19127">
        <v>102</v>
      </c>
      <c r="D19127">
        <v>1</v>
      </c>
    </row>
    <row r="19128" spans="2:4">
      <c r="B19128">
        <v>1</v>
      </c>
      <c r="C19128">
        <v>102</v>
      </c>
      <c r="D19128">
        <v>1</v>
      </c>
    </row>
    <row r="19129" spans="2:4">
      <c r="B19129">
        <v>1</v>
      </c>
      <c r="C19129">
        <v>102</v>
      </c>
      <c r="D19129">
        <v>1</v>
      </c>
    </row>
    <row r="19133" spans="2:4">
      <c r="B19133">
        <v>1</v>
      </c>
      <c r="C19133">
        <v>102</v>
      </c>
      <c r="D19133">
        <v>1</v>
      </c>
    </row>
    <row r="19137" spans="2:4">
      <c r="B19137">
        <v>1</v>
      </c>
      <c r="C19137">
        <v>102</v>
      </c>
      <c r="D19137">
        <v>1</v>
      </c>
    </row>
    <row r="19138" spans="2:4">
      <c r="B19138">
        <v>1</v>
      </c>
      <c r="C19138">
        <v>102</v>
      </c>
      <c r="D19138">
        <v>1</v>
      </c>
    </row>
    <row r="19142" spans="2:4">
      <c r="B19142">
        <v>1</v>
      </c>
      <c r="C19142">
        <v>102</v>
      </c>
      <c r="D19142">
        <v>1</v>
      </c>
    </row>
    <row r="19143" spans="2:4">
      <c r="B19143">
        <v>1</v>
      </c>
      <c r="C19143">
        <v>102</v>
      </c>
      <c r="D19143">
        <v>1</v>
      </c>
    </row>
    <row r="19144" spans="2:4">
      <c r="B19144">
        <v>1</v>
      </c>
      <c r="C19144">
        <v>102</v>
      </c>
      <c r="D19144">
        <v>1</v>
      </c>
    </row>
    <row r="19146" spans="2:4">
      <c r="B19146">
        <v>1</v>
      </c>
      <c r="C19146">
        <v>102</v>
      </c>
      <c r="D19146">
        <v>1</v>
      </c>
    </row>
    <row r="19147" spans="2:4">
      <c r="B19147">
        <v>1</v>
      </c>
      <c r="C19147">
        <v>102</v>
      </c>
      <c r="D19147">
        <v>1</v>
      </c>
    </row>
    <row r="19149" spans="2:4">
      <c r="B19149">
        <v>1</v>
      </c>
      <c r="C19149">
        <v>102</v>
      </c>
      <c r="D19149">
        <v>1</v>
      </c>
    </row>
    <row r="19150" spans="2:4">
      <c r="B19150">
        <v>1</v>
      </c>
      <c r="C19150">
        <v>102</v>
      </c>
      <c r="D19150">
        <v>1</v>
      </c>
    </row>
    <row r="19158" spans="2:4">
      <c r="B19158">
        <v>1</v>
      </c>
      <c r="C19158">
        <v>102</v>
      </c>
      <c r="D19158">
        <v>1</v>
      </c>
    </row>
    <row r="19161" spans="2:4">
      <c r="B19161">
        <v>1</v>
      </c>
      <c r="C19161">
        <v>102</v>
      </c>
      <c r="D19161">
        <v>1</v>
      </c>
    </row>
    <row r="19162" spans="2:4">
      <c r="B19162">
        <v>1</v>
      </c>
      <c r="C19162">
        <v>102</v>
      </c>
      <c r="D19162">
        <v>1</v>
      </c>
    </row>
    <row r="19168" spans="2:4">
      <c r="B19168">
        <v>1</v>
      </c>
      <c r="C19168">
        <v>102</v>
      </c>
      <c r="D19168">
        <v>1</v>
      </c>
    </row>
    <row r="19169" spans="2:4">
      <c r="B19169">
        <v>1</v>
      </c>
      <c r="C19169">
        <v>102</v>
      </c>
      <c r="D19169">
        <v>1</v>
      </c>
    </row>
    <row r="19181" spans="2:4">
      <c r="B19181">
        <v>1</v>
      </c>
      <c r="C19181">
        <v>102</v>
      </c>
      <c r="D19181">
        <v>1</v>
      </c>
    </row>
    <row r="19183" spans="2:4">
      <c r="B19183">
        <v>1</v>
      </c>
      <c r="C19183">
        <v>102</v>
      </c>
      <c r="D19183">
        <v>1</v>
      </c>
    </row>
    <row r="19184" spans="2:4">
      <c r="B19184">
        <v>1</v>
      </c>
      <c r="C19184">
        <v>102</v>
      </c>
      <c r="D19184">
        <v>1</v>
      </c>
    </row>
    <row r="19186" spans="2:4">
      <c r="B19186">
        <v>1</v>
      </c>
      <c r="C19186">
        <v>102</v>
      </c>
      <c r="D19186">
        <v>1</v>
      </c>
    </row>
    <row r="19188" spans="2:4">
      <c r="B19188">
        <v>1</v>
      </c>
      <c r="C19188">
        <v>102</v>
      </c>
      <c r="D19188">
        <v>1</v>
      </c>
    </row>
    <row r="19196" spans="2:4">
      <c r="B19196">
        <v>1</v>
      </c>
      <c r="C19196">
        <v>102</v>
      </c>
      <c r="D19196">
        <v>1</v>
      </c>
    </row>
    <row r="19198" spans="2:4">
      <c r="B19198">
        <v>1</v>
      </c>
      <c r="C19198">
        <v>102</v>
      </c>
      <c r="D19198">
        <v>1</v>
      </c>
    </row>
    <row r="19201" spans="2:4">
      <c r="B19201">
        <v>1</v>
      </c>
      <c r="C19201">
        <v>102</v>
      </c>
      <c r="D19201">
        <v>1</v>
      </c>
    </row>
    <row r="19204" spans="2:4">
      <c r="B19204">
        <v>1</v>
      </c>
      <c r="C19204">
        <v>102</v>
      </c>
      <c r="D19204">
        <v>1</v>
      </c>
    </row>
    <row r="19206" spans="2:4">
      <c r="B19206">
        <v>1</v>
      </c>
      <c r="C19206">
        <v>102</v>
      </c>
      <c r="D19206">
        <v>1</v>
      </c>
    </row>
    <row r="19209" spans="2:4">
      <c r="B19209">
        <v>1</v>
      </c>
      <c r="C19209">
        <v>102</v>
      </c>
      <c r="D19209">
        <v>1</v>
      </c>
    </row>
    <row r="19210" spans="2:4">
      <c r="B19210">
        <v>1</v>
      </c>
      <c r="C19210">
        <v>102</v>
      </c>
      <c r="D19210">
        <v>1</v>
      </c>
    </row>
    <row r="19212" spans="2:4">
      <c r="B19212">
        <v>1</v>
      </c>
      <c r="C19212">
        <v>102</v>
      </c>
      <c r="D19212">
        <v>1</v>
      </c>
    </row>
    <row r="19213" spans="2:4">
      <c r="B19213">
        <v>1</v>
      </c>
      <c r="C19213">
        <v>102</v>
      </c>
      <c r="D19213">
        <v>1</v>
      </c>
    </row>
    <row r="19214" spans="2:4">
      <c r="B19214">
        <v>1</v>
      </c>
      <c r="C19214">
        <v>102</v>
      </c>
      <c r="D19214">
        <v>1</v>
      </c>
    </row>
    <row r="19215" spans="2:4">
      <c r="B19215">
        <v>1</v>
      </c>
      <c r="C19215">
        <v>102</v>
      </c>
      <c r="D19215">
        <v>1</v>
      </c>
    </row>
    <row r="19224" spans="2:4">
      <c r="B19224">
        <v>1</v>
      </c>
      <c r="C19224">
        <v>102</v>
      </c>
      <c r="D19224">
        <v>1</v>
      </c>
    </row>
    <row r="19231" spans="2:4">
      <c r="B19231">
        <v>1</v>
      </c>
      <c r="C19231">
        <v>102</v>
      </c>
      <c r="D19231">
        <v>1</v>
      </c>
    </row>
    <row r="19234" spans="2:4">
      <c r="B19234">
        <v>1</v>
      </c>
      <c r="C19234">
        <v>102</v>
      </c>
      <c r="D19234">
        <v>1</v>
      </c>
    </row>
    <row r="19237" spans="2:4">
      <c r="B19237">
        <v>1</v>
      </c>
      <c r="C19237">
        <v>102</v>
      </c>
      <c r="D19237">
        <v>1</v>
      </c>
    </row>
    <row r="19240" spans="2:4">
      <c r="B19240">
        <v>1</v>
      </c>
      <c r="C19240">
        <v>102</v>
      </c>
      <c r="D19240">
        <v>1</v>
      </c>
    </row>
    <row r="19241" spans="2:4">
      <c r="B19241">
        <v>1</v>
      </c>
      <c r="C19241">
        <v>102</v>
      </c>
      <c r="D19241">
        <v>1</v>
      </c>
    </row>
    <row r="19247" spans="2:4">
      <c r="B19247">
        <v>1</v>
      </c>
      <c r="C19247">
        <v>102</v>
      </c>
      <c r="D19247">
        <v>1</v>
      </c>
    </row>
    <row r="19250" spans="2:4">
      <c r="B19250">
        <v>1</v>
      </c>
      <c r="C19250">
        <v>102</v>
      </c>
      <c r="D19250">
        <v>1</v>
      </c>
    </row>
    <row r="19254" spans="2:4">
      <c r="B19254">
        <v>1</v>
      </c>
      <c r="C19254">
        <v>102</v>
      </c>
      <c r="D19254">
        <v>1</v>
      </c>
    </row>
    <row r="19258" spans="2:4">
      <c r="B19258">
        <v>1</v>
      </c>
      <c r="C19258">
        <v>102</v>
      </c>
      <c r="D19258">
        <v>1</v>
      </c>
    </row>
    <row r="19260" spans="2:4">
      <c r="B19260">
        <v>1</v>
      </c>
      <c r="C19260">
        <v>102</v>
      </c>
      <c r="D19260">
        <v>1</v>
      </c>
    </row>
    <row r="19262" spans="2:4">
      <c r="B19262">
        <v>1</v>
      </c>
      <c r="C19262">
        <v>102</v>
      </c>
      <c r="D19262">
        <v>1</v>
      </c>
    </row>
    <row r="19263" spans="2:4">
      <c r="B19263">
        <v>1</v>
      </c>
      <c r="C19263">
        <v>102</v>
      </c>
      <c r="D19263">
        <v>1</v>
      </c>
    </row>
    <row r="19264" spans="2:4">
      <c r="B19264">
        <v>1</v>
      </c>
      <c r="C19264">
        <v>102</v>
      </c>
      <c r="D19264">
        <v>1</v>
      </c>
    </row>
    <row r="19267" spans="2:4">
      <c r="B19267">
        <v>1</v>
      </c>
      <c r="C19267">
        <v>102</v>
      </c>
      <c r="D19267">
        <v>1</v>
      </c>
    </row>
    <row r="19268" spans="2:4">
      <c r="B19268">
        <v>1</v>
      </c>
      <c r="C19268">
        <v>102</v>
      </c>
      <c r="D19268">
        <v>1</v>
      </c>
    </row>
    <row r="19269" spans="2:4">
      <c r="B19269">
        <v>1</v>
      </c>
      <c r="C19269">
        <v>102</v>
      </c>
      <c r="D19269">
        <v>1</v>
      </c>
    </row>
    <row r="19273" spans="2:4">
      <c r="B19273">
        <v>1</v>
      </c>
      <c r="C19273">
        <v>102</v>
      </c>
      <c r="D19273">
        <v>1</v>
      </c>
    </row>
    <row r="19276" spans="2:4">
      <c r="B19276">
        <v>1</v>
      </c>
      <c r="C19276">
        <v>102</v>
      </c>
      <c r="D19276">
        <v>1</v>
      </c>
    </row>
    <row r="19280" spans="2:4">
      <c r="B19280">
        <v>1</v>
      </c>
      <c r="C19280">
        <v>102</v>
      </c>
      <c r="D19280">
        <v>1</v>
      </c>
    </row>
    <row r="19284" spans="2:4">
      <c r="B19284">
        <v>1</v>
      </c>
      <c r="C19284">
        <v>102</v>
      </c>
      <c r="D19284">
        <v>1</v>
      </c>
    </row>
    <row r="19287" spans="2:4">
      <c r="B19287">
        <v>1</v>
      </c>
      <c r="C19287">
        <v>102</v>
      </c>
      <c r="D19287">
        <v>1</v>
      </c>
    </row>
    <row r="19288" spans="2:4">
      <c r="B19288">
        <v>1</v>
      </c>
      <c r="C19288">
        <v>102</v>
      </c>
      <c r="D19288">
        <v>1</v>
      </c>
    </row>
    <row r="19291" spans="2:4">
      <c r="B19291">
        <v>1</v>
      </c>
      <c r="C19291">
        <v>102</v>
      </c>
      <c r="D19291">
        <v>1</v>
      </c>
    </row>
    <row r="19293" spans="2:4">
      <c r="B19293">
        <v>1</v>
      </c>
      <c r="C19293">
        <v>102</v>
      </c>
      <c r="D19293">
        <v>1</v>
      </c>
    </row>
    <row r="19295" spans="2:4">
      <c r="B19295">
        <v>1</v>
      </c>
      <c r="C19295">
        <v>102</v>
      </c>
      <c r="D19295">
        <v>1</v>
      </c>
    </row>
    <row r="19299" spans="2:4">
      <c r="B19299">
        <v>1</v>
      </c>
      <c r="C19299">
        <v>102</v>
      </c>
      <c r="D19299">
        <v>1</v>
      </c>
    </row>
    <row r="19301" spans="2:4">
      <c r="B19301">
        <v>1</v>
      </c>
      <c r="C19301">
        <v>102</v>
      </c>
      <c r="D19301">
        <v>1</v>
      </c>
    </row>
    <row r="19302" spans="2:4">
      <c r="B19302">
        <v>1</v>
      </c>
      <c r="C19302">
        <v>102</v>
      </c>
      <c r="D19302">
        <v>1</v>
      </c>
    </row>
    <row r="19304" spans="2:4">
      <c r="B19304">
        <v>1</v>
      </c>
      <c r="C19304">
        <v>102</v>
      </c>
      <c r="D19304">
        <v>1</v>
      </c>
    </row>
    <row r="19305" spans="2:4">
      <c r="B19305">
        <v>1</v>
      </c>
      <c r="C19305">
        <v>102</v>
      </c>
      <c r="D19305">
        <v>1</v>
      </c>
    </row>
    <row r="19306" spans="2:4">
      <c r="B19306">
        <v>1</v>
      </c>
      <c r="C19306">
        <v>102</v>
      </c>
      <c r="D19306">
        <v>1</v>
      </c>
    </row>
    <row r="19307" spans="2:4">
      <c r="B19307">
        <v>1</v>
      </c>
      <c r="C19307">
        <v>102</v>
      </c>
      <c r="D19307">
        <v>1</v>
      </c>
    </row>
    <row r="19310" spans="2:4">
      <c r="B19310">
        <v>1</v>
      </c>
      <c r="C19310">
        <v>102</v>
      </c>
      <c r="D19310">
        <v>1</v>
      </c>
    </row>
    <row r="19313" spans="2:4">
      <c r="B19313">
        <v>1</v>
      </c>
      <c r="C19313">
        <v>102</v>
      </c>
      <c r="D19313">
        <v>1</v>
      </c>
    </row>
    <row r="19315" spans="2:4">
      <c r="B19315">
        <v>1</v>
      </c>
      <c r="C19315">
        <v>102</v>
      </c>
      <c r="D19315">
        <v>1</v>
      </c>
    </row>
    <row r="19317" spans="2:4">
      <c r="B19317">
        <v>1</v>
      </c>
      <c r="C19317">
        <v>102</v>
      </c>
      <c r="D19317">
        <v>1</v>
      </c>
    </row>
    <row r="19318" spans="2:4">
      <c r="B19318">
        <v>1</v>
      </c>
      <c r="C19318">
        <v>102</v>
      </c>
      <c r="D19318">
        <v>1</v>
      </c>
    </row>
    <row r="19319" spans="2:4">
      <c r="B19319">
        <v>1</v>
      </c>
      <c r="C19319">
        <v>102</v>
      </c>
      <c r="D19319">
        <v>1</v>
      </c>
    </row>
    <row r="19322" spans="2:4">
      <c r="B19322">
        <v>1</v>
      </c>
      <c r="C19322">
        <v>102</v>
      </c>
      <c r="D19322">
        <v>1</v>
      </c>
    </row>
    <row r="19323" spans="2:4">
      <c r="B19323">
        <v>1</v>
      </c>
      <c r="C19323">
        <v>102</v>
      </c>
      <c r="D19323">
        <v>1</v>
      </c>
    </row>
    <row r="19325" spans="2:4">
      <c r="B19325">
        <v>1</v>
      </c>
      <c r="C19325">
        <v>102</v>
      </c>
      <c r="D19325">
        <v>1</v>
      </c>
    </row>
    <row r="19330" spans="2:4">
      <c r="B19330">
        <v>1</v>
      </c>
      <c r="C19330">
        <v>102</v>
      </c>
      <c r="D19330">
        <v>1</v>
      </c>
    </row>
    <row r="19331" spans="2:4">
      <c r="B19331">
        <v>1</v>
      </c>
      <c r="C19331">
        <v>102</v>
      </c>
      <c r="D19331">
        <v>1</v>
      </c>
    </row>
    <row r="19335" spans="2:4">
      <c r="B19335">
        <v>1</v>
      </c>
      <c r="C19335">
        <v>102</v>
      </c>
      <c r="D19335">
        <v>1</v>
      </c>
    </row>
    <row r="19339" spans="2:4">
      <c r="B19339">
        <v>1</v>
      </c>
      <c r="C19339">
        <v>102</v>
      </c>
      <c r="D19339">
        <v>1</v>
      </c>
    </row>
    <row r="19344" spans="2:4">
      <c r="B19344">
        <v>1</v>
      </c>
      <c r="C19344">
        <v>102</v>
      </c>
      <c r="D19344">
        <v>1</v>
      </c>
    </row>
    <row r="19345" spans="2:4">
      <c r="B19345">
        <v>1</v>
      </c>
      <c r="C19345">
        <v>102</v>
      </c>
      <c r="D19345">
        <v>1</v>
      </c>
    </row>
    <row r="19346" spans="2:4">
      <c r="B19346">
        <v>1</v>
      </c>
      <c r="C19346">
        <v>102</v>
      </c>
      <c r="D19346">
        <v>1</v>
      </c>
    </row>
    <row r="19347" spans="2:4">
      <c r="B19347">
        <v>1</v>
      </c>
      <c r="C19347">
        <v>102</v>
      </c>
      <c r="D19347">
        <v>1</v>
      </c>
    </row>
    <row r="19348" spans="2:4">
      <c r="B19348">
        <v>1</v>
      </c>
      <c r="C19348">
        <v>102</v>
      </c>
      <c r="D19348">
        <v>1</v>
      </c>
    </row>
    <row r="19349" spans="2:4">
      <c r="B19349">
        <v>1</v>
      </c>
      <c r="C19349">
        <v>102</v>
      </c>
      <c r="D19349">
        <v>1</v>
      </c>
    </row>
    <row r="19351" spans="2:4">
      <c r="B19351">
        <v>1</v>
      </c>
      <c r="C19351">
        <v>102</v>
      </c>
      <c r="D19351">
        <v>1</v>
      </c>
    </row>
    <row r="19353" spans="2:4">
      <c r="B19353">
        <v>1</v>
      </c>
      <c r="C19353">
        <v>102</v>
      </c>
      <c r="D19353">
        <v>1</v>
      </c>
    </row>
    <row r="19355" spans="2:4">
      <c r="B19355">
        <v>1</v>
      </c>
      <c r="C19355">
        <v>102</v>
      </c>
      <c r="D19355">
        <v>1</v>
      </c>
    </row>
    <row r="19356" spans="2:4">
      <c r="B19356">
        <v>1</v>
      </c>
      <c r="C19356">
        <v>102</v>
      </c>
      <c r="D19356">
        <v>1</v>
      </c>
    </row>
    <row r="19357" spans="2:4">
      <c r="B19357">
        <v>1</v>
      </c>
      <c r="C19357">
        <v>102</v>
      </c>
      <c r="D19357">
        <v>1</v>
      </c>
    </row>
    <row r="19358" spans="2:4">
      <c r="B19358">
        <v>1</v>
      </c>
      <c r="C19358">
        <v>102</v>
      </c>
      <c r="D19358">
        <v>1</v>
      </c>
    </row>
    <row r="19360" spans="2:4">
      <c r="B19360">
        <v>1</v>
      </c>
      <c r="C19360">
        <v>102</v>
      </c>
      <c r="D19360">
        <v>1</v>
      </c>
    </row>
    <row r="19364" spans="2:4">
      <c r="B19364">
        <v>1</v>
      </c>
      <c r="C19364">
        <v>102</v>
      </c>
      <c r="D19364">
        <v>1</v>
      </c>
    </row>
    <row r="19367" spans="2:4">
      <c r="B19367">
        <v>1</v>
      </c>
      <c r="C19367">
        <v>102</v>
      </c>
      <c r="D19367">
        <v>1</v>
      </c>
    </row>
    <row r="19370" spans="2:4">
      <c r="B19370">
        <v>1</v>
      </c>
      <c r="C19370">
        <v>102</v>
      </c>
      <c r="D19370">
        <v>1</v>
      </c>
    </row>
    <row r="19371" spans="2:4">
      <c r="B19371">
        <v>1</v>
      </c>
      <c r="C19371">
        <v>102</v>
      </c>
      <c r="D19371">
        <v>1</v>
      </c>
    </row>
    <row r="19372" spans="2:4">
      <c r="B19372">
        <v>1</v>
      </c>
      <c r="C19372">
        <v>102</v>
      </c>
      <c r="D19372">
        <v>1</v>
      </c>
    </row>
    <row r="19374" spans="2:4">
      <c r="B19374">
        <v>1</v>
      </c>
      <c r="C19374">
        <v>102</v>
      </c>
      <c r="D19374">
        <v>1</v>
      </c>
    </row>
    <row r="19376" spans="2:4">
      <c r="B19376">
        <v>1</v>
      </c>
      <c r="C19376">
        <v>102</v>
      </c>
      <c r="D19376">
        <v>1</v>
      </c>
    </row>
    <row r="19377" spans="2:4">
      <c r="B19377">
        <v>1</v>
      </c>
      <c r="C19377">
        <v>102</v>
      </c>
      <c r="D19377">
        <v>1</v>
      </c>
    </row>
    <row r="19379" spans="2:4">
      <c r="B19379">
        <v>1</v>
      </c>
      <c r="C19379">
        <v>102</v>
      </c>
      <c r="D19379">
        <v>1</v>
      </c>
    </row>
    <row r="19380" spans="2:4">
      <c r="B19380">
        <v>1</v>
      </c>
      <c r="C19380">
        <v>102</v>
      </c>
      <c r="D19380">
        <v>1</v>
      </c>
    </row>
    <row r="19381" spans="2:4">
      <c r="B19381">
        <v>1</v>
      </c>
      <c r="C19381">
        <v>102</v>
      </c>
      <c r="D19381">
        <v>1</v>
      </c>
    </row>
    <row r="19383" spans="2:4">
      <c r="B19383">
        <v>1</v>
      </c>
      <c r="C19383">
        <v>102</v>
      </c>
      <c r="D19383">
        <v>1</v>
      </c>
    </row>
    <row r="19384" spans="2:4">
      <c r="B19384">
        <v>1</v>
      </c>
      <c r="C19384">
        <v>102</v>
      </c>
      <c r="D19384">
        <v>1</v>
      </c>
    </row>
    <row r="19385" spans="2:4">
      <c r="B19385">
        <v>1</v>
      </c>
      <c r="C19385">
        <v>102</v>
      </c>
      <c r="D19385">
        <v>1</v>
      </c>
    </row>
    <row r="19389" spans="2:4">
      <c r="B19389">
        <v>1</v>
      </c>
      <c r="C19389">
        <v>102</v>
      </c>
      <c r="D19389">
        <v>1</v>
      </c>
    </row>
    <row r="19393" spans="2:4">
      <c r="B19393">
        <v>1</v>
      </c>
      <c r="C19393">
        <v>102</v>
      </c>
      <c r="D19393">
        <v>1</v>
      </c>
    </row>
    <row r="19394" spans="2:4">
      <c r="B19394">
        <v>1</v>
      </c>
      <c r="C19394">
        <v>102</v>
      </c>
      <c r="D19394">
        <v>1</v>
      </c>
    </row>
    <row r="19398" spans="2:4">
      <c r="B19398">
        <v>1</v>
      </c>
      <c r="C19398">
        <v>102</v>
      </c>
      <c r="D19398">
        <v>1</v>
      </c>
    </row>
    <row r="19399" spans="2:4">
      <c r="B19399">
        <v>1</v>
      </c>
      <c r="C19399">
        <v>102</v>
      </c>
      <c r="D19399">
        <v>1</v>
      </c>
    </row>
    <row r="19400" spans="2:4">
      <c r="B19400">
        <v>1</v>
      </c>
      <c r="C19400">
        <v>102</v>
      </c>
      <c r="D19400">
        <v>1</v>
      </c>
    </row>
    <row r="19402" spans="2:4">
      <c r="B19402">
        <v>1</v>
      </c>
      <c r="C19402">
        <v>102</v>
      </c>
      <c r="D19402">
        <v>1</v>
      </c>
    </row>
    <row r="19403" spans="2:4">
      <c r="B19403">
        <v>1</v>
      </c>
      <c r="C19403">
        <v>102</v>
      </c>
      <c r="D19403">
        <v>1</v>
      </c>
    </row>
    <row r="19405" spans="2:4">
      <c r="B19405">
        <v>1</v>
      </c>
      <c r="C19405">
        <v>102</v>
      </c>
      <c r="D19405">
        <v>1</v>
      </c>
    </row>
    <row r="19406" spans="2:4">
      <c r="B19406">
        <v>1</v>
      </c>
      <c r="C19406">
        <v>102</v>
      </c>
      <c r="D19406">
        <v>1</v>
      </c>
    </row>
    <row r="19414" spans="2:4">
      <c r="B19414">
        <v>1</v>
      </c>
      <c r="C19414">
        <v>102</v>
      </c>
      <c r="D19414">
        <v>1</v>
      </c>
    </row>
    <row r="19417" spans="2:4">
      <c r="B19417">
        <v>1</v>
      </c>
      <c r="C19417">
        <v>102</v>
      </c>
      <c r="D19417">
        <v>1</v>
      </c>
    </row>
    <row r="19418" spans="2:4">
      <c r="B19418">
        <v>1</v>
      </c>
      <c r="C19418">
        <v>102</v>
      </c>
      <c r="D19418">
        <v>1</v>
      </c>
    </row>
    <row r="19424" spans="2:4">
      <c r="B19424">
        <v>1</v>
      </c>
      <c r="C19424">
        <v>102</v>
      </c>
      <c r="D19424">
        <v>1</v>
      </c>
    </row>
    <row r="19425" spans="2:4">
      <c r="B19425">
        <v>1</v>
      </c>
      <c r="C19425">
        <v>102</v>
      </c>
      <c r="D19425">
        <v>1</v>
      </c>
    </row>
    <row r="19437" spans="2:4">
      <c r="B19437">
        <v>1</v>
      </c>
      <c r="C19437">
        <v>102</v>
      </c>
      <c r="D19437">
        <v>1</v>
      </c>
    </row>
    <row r="19439" spans="2:4">
      <c r="B19439">
        <v>1</v>
      </c>
      <c r="C19439">
        <v>102</v>
      </c>
      <c r="D19439">
        <v>1</v>
      </c>
    </row>
    <row r="19440" spans="2:4">
      <c r="B19440">
        <v>1</v>
      </c>
      <c r="C19440">
        <v>102</v>
      </c>
      <c r="D19440">
        <v>1</v>
      </c>
    </row>
    <row r="19442" spans="2:4">
      <c r="B19442">
        <v>1</v>
      </c>
      <c r="C19442">
        <v>102</v>
      </c>
      <c r="D19442">
        <v>1</v>
      </c>
    </row>
    <row r="19444" spans="2:4">
      <c r="B19444">
        <v>1</v>
      </c>
      <c r="C19444">
        <v>102</v>
      </c>
      <c r="D19444">
        <v>1</v>
      </c>
    </row>
    <row r="19452" spans="2:4">
      <c r="B19452">
        <v>1</v>
      </c>
      <c r="C19452">
        <v>102</v>
      </c>
      <c r="D19452">
        <v>1</v>
      </c>
    </row>
    <row r="19454" spans="2:4">
      <c r="B19454">
        <v>1</v>
      </c>
      <c r="C19454">
        <v>102</v>
      </c>
      <c r="D19454">
        <v>1</v>
      </c>
    </row>
    <row r="19457" spans="2:4">
      <c r="B19457">
        <v>1</v>
      </c>
      <c r="C19457">
        <v>102</v>
      </c>
      <c r="D19457">
        <v>1</v>
      </c>
    </row>
    <row r="19460" spans="2:4">
      <c r="B19460">
        <v>1</v>
      </c>
      <c r="C19460">
        <v>102</v>
      </c>
      <c r="D19460">
        <v>1</v>
      </c>
    </row>
    <row r="19462" spans="2:4">
      <c r="B19462">
        <v>1</v>
      </c>
      <c r="C19462">
        <v>102</v>
      </c>
      <c r="D19462">
        <v>1</v>
      </c>
    </row>
    <row r="19465" spans="2:4">
      <c r="B19465">
        <v>1</v>
      </c>
      <c r="C19465">
        <v>102</v>
      </c>
      <c r="D19465">
        <v>1</v>
      </c>
    </row>
    <row r="19466" spans="2:4">
      <c r="B19466">
        <v>1</v>
      </c>
      <c r="C19466">
        <v>102</v>
      </c>
      <c r="D19466">
        <v>1</v>
      </c>
    </row>
    <row r="19468" spans="2:4">
      <c r="B19468">
        <v>1</v>
      </c>
      <c r="C19468">
        <v>102</v>
      </c>
      <c r="D19468">
        <v>1</v>
      </c>
    </row>
    <row r="19469" spans="2:4">
      <c r="B19469">
        <v>1</v>
      </c>
      <c r="C19469">
        <v>102</v>
      </c>
      <c r="D19469">
        <v>1</v>
      </c>
    </row>
    <row r="19470" spans="2:4">
      <c r="B19470">
        <v>1</v>
      </c>
      <c r="C19470">
        <v>102</v>
      </c>
      <c r="D19470">
        <v>1</v>
      </c>
    </row>
    <row r="19471" spans="2:4">
      <c r="B19471">
        <v>1</v>
      </c>
      <c r="C19471">
        <v>102</v>
      </c>
      <c r="D19471">
        <v>1</v>
      </c>
    </row>
    <row r="19480" spans="2:4">
      <c r="B19480">
        <v>1</v>
      </c>
      <c r="C19480">
        <v>102</v>
      </c>
      <c r="D19480">
        <v>1</v>
      </c>
    </row>
    <row r="19487" spans="2:4">
      <c r="B19487">
        <v>1</v>
      </c>
      <c r="C19487">
        <v>102</v>
      </c>
      <c r="D19487">
        <v>1</v>
      </c>
    </row>
    <row r="19490" spans="2:4">
      <c r="B19490">
        <v>1</v>
      </c>
      <c r="C19490">
        <v>102</v>
      </c>
      <c r="D19490">
        <v>1</v>
      </c>
    </row>
    <row r="19493" spans="2:4">
      <c r="B19493">
        <v>1</v>
      </c>
      <c r="C19493">
        <v>102</v>
      </c>
      <c r="D19493">
        <v>1</v>
      </c>
    </row>
    <row r="19496" spans="2:4">
      <c r="B19496">
        <v>1</v>
      </c>
      <c r="C19496">
        <v>102</v>
      </c>
      <c r="D19496">
        <v>1</v>
      </c>
    </row>
    <row r="19497" spans="2:4">
      <c r="B19497">
        <v>1</v>
      </c>
      <c r="C19497">
        <v>102</v>
      </c>
      <c r="D19497">
        <v>1</v>
      </c>
    </row>
    <row r="19503" spans="2:4">
      <c r="B19503">
        <v>1</v>
      </c>
      <c r="C19503">
        <v>102</v>
      </c>
      <c r="D19503">
        <v>1</v>
      </c>
    </row>
    <row r="19506" spans="2:4">
      <c r="B19506">
        <v>1</v>
      </c>
      <c r="C19506">
        <v>102</v>
      </c>
      <c r="D19506">
        <v>1</v>
      </c>
    </row>
    <row r="19510" spans="2:4">
      <c r="B19510">
        <v>1</v>
      </c>
      <c r="C19510">
        <v>102</v>
      </c>
      <c r="D19510">
        <v>1</v>
      </c>
    </row>
    <row r="19514" spans="2:4">
      <c r="B19514">
        <v>1</v>
      </c>
      <c r="C19514">
        <v>102</v>
      </c>
      <c r="D19514">
        <v>1</v>
      </c>
    </row>
    <row r="19516" spans="2:4">
      <c r="B19516">
        <v>1</v>
      </c>
      <c r="C19516">
        <v>102</v>
      </c>
      <c r="D19516">
        <v>1</v>
      </c>
    </row>
    <row r="19518" spans="2:4">
      <c r="B19518">
        <v>1</v>
      </c>
      <c r="C19518">
        <v>102</v>
      </c>
      <c r="D19518">
        <v>1</v>
      </c>
    </row>
    <row r="19519" spans="2:4">
      <c r="B19519">
        <v>1</v>
      </c>
      <c r="C19519">
        <v>102</v>
      </c>
      <c r="D19519">
        <v>1</v>
      </c>
    </row>
    <row r="19520" spans="2:4">
      <c r="B19520">
        <v>1</v>
      </c>
      <c r="C19520">
        <v>102</v>
      </c>
      <c r="D19520">
        <v>1</v>
      </c>
    </row>
    <row r="19523" spans="2:4">
      <c r="B19523">
        <v>1</v>
      </c>
      <c r="C19523">
        <v>102</v>
      </c>
      <c r="D19523">
        <v>1</v>
      </c>
    </row>
    <row r="19524" spans="2:4">
      <c r="B19524">
        <v>1</v>
      </c>
      <c r="C19524">
        <v>102</v>
      </c>
      <c r="D19524">
        <v>1</v>
      </c>
    </row>
    <row r="19525" spans="2:4">
      <c r="B19525">
        <v>1</v>
      </c>
      <c r="C19525">
        <v>102</v>
      </c>
      <c r="D19525">
        <v>1</v>
      </c>
    </row>
    <row r="19529" spans="2:4">
      <c r="B19529">
        <v>1</v>
      </c>
      <c r="C19529">
        <v>102</v>
      </c>
      <c r="D19529">
        <v>1</v>
      </c>
    </row>
    <row r="19532" spans="2:4">
      <c r="B19532">
        <v>1</v>
      </c>
      <c r="C19532">
        <v>102</v>
      </c>
      <c r="D19532">
        <v>1</v>
      </c>
    </row>
    <row r="19536" spans="2:4">
      <c r="B19536">
        <v>1</v>
      </c>
      <c r="C19536">
        <v>102</v>
      </c>
      <c r="D19536">
        <v>1</v>
      </c>
    </row>
    <row r="19540" spans="2:4">
      <c r="B19540">
        <v>1</v>
      </c>
      <c r="C19540">
        <v>102</v>
      </c>
      <c r="D19540">
        <v>1</v>
      </c>
    </row>
    <row r="19543" spans="2:4">
      <c r="B19543">
        <v>1</v>
      </c>
      <c r="C19543">
        <v>102</v>
      </c>
      <c r="D19543">
        <v>1</v>
      </c>
    </row>
    <row r="19544" spans="2:4">
      <c r="B19544">
        <v>1</v>
      </c>
      <c r="C19544">
        <v>102</v>
      </c>
      <c r="D19544">
        <v>1</v>
      </c>
    </row>
    <row r="19547" spans="2:4">
      <c r="B19547">
        <v>1</v>
      </c>
      <c r="C19547">
        <v>102</v>
      </c>
      <c r="D19547">
        <v>1</v>
      </c>
    </row>
    <row r="19549" spans="2:4">
      <c r="B19549">
        <v>1</v>
      </c>
      <c r="C19549">
        <v>102</v>
      </c>
      <c r="D19549">
        <v>1</v>
      </c>
    </row>
    <row r="19551" spans="2:4">
      <c r="B19551">
        <v>1</v>
      </c>
      <c r="C19551">
        <v>102</v>
      </c>
      <c r="D19551">
        <v>1</v>
      </c>
    </row>
    <row r="19555" spans="2:4">
      <c r="B19555">
        <v>1</v>
      </c>
      <c r="C19555">
        <v>102</v>
      </c>
      <c r="D19555">
        <v>1</v>
      </c>
    </row>
    <row r="19557" spans="2:4">
      <c r="B19557">
        <v>1</v>
      </c>
      <c r="C19557">
        <v>102</v>
      </c>
      <c r="D19557">
        <v>1</v>
      </c>
    </row>
    <row r="19558" spans="2:4">
      <c r="B19558">
        <v>1</v>
      </c>
      <c r="C19558">
        <v>102</v>
      </c>
      <c r="D19558">
        <v>1</v>
      </c>
    </row>
    <row r="19560" spans="2:4">
      <c r="B19560">
        <v>1</v>
      </c>
      <c r="C19560">
        <v>102</v>
      </c>
      <c r="D19560">
        <v>1</v>
      </c>
    </row>
    <row r="19561" spans="2:4">
      <c r="B19561">
        <v>1</v>
      </c>
      <c r="C19561">
        <v>102</v>
      </c>
      <c r="D19561">
        <v>1</v>
      </c>
    </row>
    <row r="19562" spans="2:4">
      <c r="B19562">
        <v>1</v>
      </c>
      <c r="C19562">
        <v>102</v>
      </c>
      <c r="D19562">
        <v>1</v>
      </c>
    </row>
    <row r="19563" spans="2:4">
      <c r="B19563">
        <v>1</v>
      </c>
      <c r="C19563">
        <v>102</v>
      </c>
      <c r="D19563">
        <v>1</v>
      </c>
    </row>
    <row r="19566" spans="2:4">
      <c r="B19566">
        <v>1</v>
      </c>
      <c r="C19566">
        <v>102</v>
      </c>
      <c r="D19566">
        <v>1</v>
      </c>
    </row>
    <row r="19569" spans="2:4">
      <c r="B19569">
        <v>1</v>
      </c>
      <c r="C19569">
        <v>102</v>
      </c>
      <c r="D19569">
        <v>1</v>
      </c>
    </row>
    <row r="19571" spans="2:4">
      <c r="B19571">
        <v>1</v>
      </c>
      <c r="C19571">
        <v>102</v>
      </c>
      <c r="D19571">
        <v>1</v>
      </c>
    </row>
    <row r="19573" spans="2:4">
      <c r="B19573">
        <v>1</v>
      </c>
      <c r="C19573">
        <v>102</v>
      </c>
      <c r="D19573">
        <v>1</v>
      </c>
    </row>
    <row r="19574" spans="2:4">
      <c r="B19574">
        <v>1</v>
      </c>
      <c r="C19574">
        <v>102</v>
      </c>
      <c r="D19574">
        <v>1</v>
      </c>
    </row>
    <row r="19575" spans="2:4">
      <c r="B19575">
        <v>1</v>
      </c>
      <c r="C19575">
        <v>102</v>
      </c>
      <c r="D19575">
        <v>1</v>
      </c>
    </row>
    <row r="19578" spans="2:4">
      <c r="B19578">
        <v>1</v>
      </c>
      <c r="C19578">
        <v>102</v>
      </c>
      <c r="D19578">
        <v>1</v>
      </c>
    </row>
    <row r="19579" spans="2:4">
      <c r="B19579">
        <v>1</v>
      </c>
      <c r="C19579">
        <v>102</v>
      </c>
      <c r="D19579">
        <v>1</v>
      </c>
    </row>
    <row r="19581" spans="2:4">
      <c r="B19581">
        <v>1</v>
      </c>
      <c r="C19581">
        <v>102</v>
      </c>
      <c r="D19581">
        <v>1</v>
      </c>
    </row>
    <row r="19586" spans="2:4">
      <c r="B19586">
        <v>1</v>
      </c>
      <c r="C19586">
        <v>102</v>
      </c>
      <c r="D19586">
        <v>1</v>
      </c>
    </row>
    <row r="19587" spans="2:4">
      <c r="B19587">
        <v>1</v>
      </c>
      <c r="C19587">
        <v>102</v>
      </c>
      <c r="D19587">
        <v>1</v>
      </c>
    </row>
    <row r="19591" spans="2:4">
      <c r="B19591">
        <v>1</v>
      </c>
      <c r="C19591">
        <v>102</v>
      </c>
      <c r="D19591">
        <v>1</v>
      </c>
    </row>
    <row r="19595" spans="2:4">
      <c r="B19595">
        <v>1</v>
      </c>
      <c r="C19595">
        <v>102</v>
      </c>
      <c r="D19595">
        <v>1</v>
      </c>
    </row>
    <row r="19600" spans="2:4">
      <c r="B19600">
        <v>1</v>
      </c>
      <c r="C19600">
        <v>102</v>
      </c>
      <c r="D19600">
        <v>1</v>
      </c>
    </row>
    <row r="19601" spans="2:4">
      <c r="B19601">
        <v>1</v>
      </c>
      <c r="C19601">
        <v>102</v>
      </c>
      <c r="D19601">
        <v>1</v>
      </c>
    </row>
    <row r="19602" spans="2:4">
      <c r="B19602">
        <v>1</v>
      </c>
      <c r="C19602">
        <v>102</v>
      </c>
      <c r="D19602">
        <v>1</v>
      </c>
    </row>
    <row r="19603" spans="2:4">
      <c r="B19603">
        <v>1</v>
      </c>
      <c r="C19603">
        <v>102</v>
      </c>
      <c r="D19603">
        <v>1</v>
      </c>
    </row>
    <row r="19604" spans="2:4">
      <c r="B19604">
        <v>1</v>
      </c>
      <c r="C19604">
        <v>102</v>
      </c>
      <c r="D19604">
        <v>1</v>
      </c>
    </row>
    <row r="19605" spans="2:4">
      <c r="B19605">
        <v>1</v>
      </c>
      <c r="C19605">
        <v>102</v>
      </c>
      <c r="D19605">
        <v>1</v>
      </c>
    </row>
    <row r="19607" spans="2:4">
      <c r="B19607">
        <v>1</v>
      </c>
      <c r="C19607">
        <v>102</v>
      </c>
      <c r="D19607">
        <v>1</v>
      </c>
    </row>
    <row r="19609" spans="2:4">
      <c r="B19609">
        <v>1</v>
      </c>
      <c r="C19609">
        <v>102</v>
      </c>
      <c r="D19609">
        <v>1</v>
      </c>
    </row>
    <row r="19611" spans="2:4">
      <c r="B19611">
        <v>1</v>
      </c>
      <c r="C19611">
        <v>102</v>
      </c>
      <c r="D19611">
        <v>1</v>
      </c>
    </row>
    <row r="19612" spans="2:4">
      <c r="B19612">
        <v>1</v>
      </c>
      <c r="C19612">
        <v>102</v>
      </c>
      <c r="D19612">
        <v>1</v>
      </c>
    </row>
    <row r="19613" spans="2:4">
      <c r="B19613">
        <v>1</v>
      </c>
      <c r="C19613">
        <v>102</v>
      </c>
      <c r="D19613">
        <v>1</v>
      </c>
    </row>
    <row r="19614" spans="2:4">
      <c r="B19614">
        <v>1</v>
      </c>
      <c r="C19614">
        <v>102</v>
      </c>
      <c r="D19614">
        <v>1</v>
      </c>
    </row>
    <row r="19616" spans="2:4">
      <c r="B19616">
        <v>1</v>
      </c>
      <c r="C19616">
        <v>102</v>
      </c>
      <c r="D19616">
        <v>1</v>
      </c>
    </row>
    <row r="19620" spans="2:4">
      <c r="B19620">
        <v>1</v>
      </c>
      <c r="C19620">
        <v>102</v>
      </c>
      <c r="D19620">
        <v>1</v>
      </c>
    </row>
    <row r="19623" spans="2:4">
      <c r="B19623">
        <v>1</v>
      </c>
      <c r="C19623">
        <v>102</v>
      </c>
      <c r="D19623">
        <v>1</v>
      </c>
    </row>
    <row r="19626" spans="2:4">
      <c r="B19626">
        <v>1</v>
      </c>
      <c r="C19626">
        <v>102</v>
      </c>
      <c r="D19626">
        <v>1</v>
      </c>
    </row>
    <row r="19627" spans="2:4">
      <c r="B19627">
        <v>1</v>
      </c>
      <c r="C19627">
        <v>102</v>
      </c>
      <c r="D19627">
        <v>1</v>
      </c>
    </row>
    <row r="19628" spans="2:4">
      <c r="B19628">
        <v>1</v>
      </c>
      <c r="C19628">
        <v>102</v>
      </c>
      <c r="D19628">
        <v>1</v>
      </c>
    </row>
    <row r="19630" spans="2:4">
      <c r="B19630">
        <v>1</v>
      </c>
      <c r="C19630">
        <v>102</v>
      </c>
      <c r="D19630">
        <v>1</v>
      </c>
    </row>
    <row r="19632" spans="2:4">
      <c r="B19632">
        <v>1</v>
      </c>
      <c r="C19632">
        <v>102</v>
      </c>
      <c r="D19632">
        <v>1</v>
      </c>
    </row>
    <row r="19633" spans="2:4">
      <c r="B19633">
        <v>1</v>
      </c>
      <c r="C19633">
        <v>102</v>
      </c>
      <c r="D19633">
        <v>1</v>
      </c>
    </row>
    <row r="19635" spans="2:4">
      <c r="B19635">
        <v>1</v>
      </c>
      <c r="C19635">
        <v>102</v>
      </c>
      <c r="D19635">
        <v>1</v>
      </c>
    </row>
    <row r="19636" spans="2:4">
      <c r="B19636">
        <v>1</v>
      </c>
      <c r="C19636">
        <v>102</v>
      </c>
      <c r="D19636">
        <v>1</v>
      </c>
    </row>
    <row r="19637" spans="2:4">
      <c r="B19637">
        <v>1</v>
      </c>
      <c r="C19637">
        <v>102</v>
      </c>
      <c r="D19637">
        <v>1</v>
      </c>
    </row>
    <row r="19639" spans="2:4">
      <c r="B19639">
        <v>1</v>
      </c>
      <c r="C19639">
        <v>102</v>
      </c>
      <c r="D19639">
        <v>1</v>
      </c>
    </row>
    <row r="19640" spans="2:4">
      <c r="B19640">
        <v>1</v>
      </c>
      <c r="C19640">
        <v>102</v>
      </c>
      <c r="D19640">
        <v>1</v>
      </c>
    </row>
    <row r="19641" spans="2:4">
      <c r="B19641">
        <v>1</v>
      </c>
      <c r="C19641">
        <v>102</v>
      </c>
      <c r="D19641">
        <v>1</v>
      </c>
    </row>
    <row r="19645" spans="2:4">
      <c r="B19645">
        <v>1</v>
      </c>
      <c r="C19645">
        <v>102</v>
      </c>
      <c r="D19645">
        <v>1</v>
      </c>
    </row>
    <row r="19649" spans="2:4">
      <c r="B19649">
        <v>1</v>
      </c>
      <c r="C19649">
        <v>102</v>
      </c>
      <c r="D19649">
        <v>1</v>
      </c>
    </row>
    <row r="19650" spans="2:4">
      <c r="B19650">
        <v>1</v>
      </c>
      <c r="C19650">
        <v>102</v>
      </c>
      <c r="D19650">
        <v>1</v>
      </c>
    </row>
    <row r="19654" spans="2:4">
      <c r="B19654">
        <v>1</v>
      </c>
      <c r="C19654">
        <v>102</v>
      </c>
      <c r="D19654">
        <v>1</v>
      </c>
    </row>
    <row r="19655" spans="2:4">
      <c r="B19655">
        <v>1</v>
      </c>
      <c r="C19655">
        <v>102</v>
      </c>
      <c r="D19655">
        <v>1</v>
      </c>
    </row>
    <row r="19656" spans="2:4">
      <c r="B19656">
        <v>1</v>
      </c>
      <c r="C19656">
        <v>102</v>
      </c>
      <c r="D19656">
        <v>1</v>
      </c>
    </row>
    <row r="19658" spans="2:4">
      <c r="B19658">
        <v>1</v>
      </c>
      <c r="C19658">
        <v>102</v>
      </c>
      <c r="D19658">
        <v>1</v>
      </c>
    </row>
    <row r="19659" spans="2:4">
      <c r="B19659">
        <v>1</v>
      </c>
      <c r="C19659">
        <v>102</v>
      </c>
      <c r="D19659">
        <v>1</v>
      </c>
    </row>
    <row r="19661" spans="2:4">
      <c r="B19661">
        <v>1</v>
      </c>
      <c r="C19661">
        <v>102</v>
      </c>
      <c r="D19661">
        <v>1</v>
      </c>
    </row>
    <row r="19662" spans="2:4">
      <c r="B19662">
        <v>1</v>
      </c>
      <c r="C19662">
        <v>102</v>
      </c>
      <c r="D19662">
        <v>1</v>
      </c>
    </row>
    <row r="19670" spans="2:4">
      <c r="B19670">
        <v>1</v>
      </c>
      <c r="C19670">
        <v>102</v>
      </c>
      <c r="D19670">
        <v>1</v>
      </c>
    </row>
    <row r="19673" spans="2:4">
      <c r="B19673">
        <v>1</v>
      </c>
      <c r="C19673">
        <v>102</v>
      </c>
      <c r="D19673">
        <v>1</v>
      </c>
    </row>
    <row r="19674" spans="2:4">
      <c r="B19674">
        <v>1</v>
      </c>
      <c r="C19674">
        <v>102</v>
      </c>
      <c r="D19674">
        <v>1</v>
      </c>
    </row>
    <row r="19680" spans="2:4">
      <c r="B19680">
        <v>1</v>
      </c>
      <c r="C19680">
        <v>102</v>
      </c>
      <c r="D19680">
        <v>1</v>
      </c>
    </row>
    <row r="19681" spans="2:4">
      <c r="B19681">
        <v>1</v>
      </c>
      <c r="C19681">
        <v>102</v>
      </c>
      <c r="D19681">
        <v>1</v>
      </c>
    </row>
    <row r="19693" spans="2:4">
      <c r="B19693">
        <v>1</v>
      </c>
      <c r="C19693">
        <v>102</v>
      </c>
      <c r="D19693">
        <v>1</v>
      </c>
    </row>
    <row r="19695" spans="2:4">
      <c r="B19695">
        <v>1</v>
      </c>
      <c r="C19695">
        <v>102</v>
      </c>
      <c r="D19695">
        <v>1</v>
      </c>
    </row>
    <row r="19696" spans="2:4">
      <c r="B19696">
        <v>1</v>
      </c>
      <c r="C19696">
        <v>102</v>
      </c>
      <c r="D19696">
        <v>1</v>
      </c>
    </row>
    <row r="19698" spans="2:4">
      <c r="B19698">
        <v>1</v>
      </c>
      <c r="C19698">
        <v>102</v>
      </c>
      <c r="D19698">
        <v>1</v>
      </c>
    </row>
    <row r="19700" spans="2:4">
      <c r="B19700">
        <v>1</v>
      </c>
      <c r="C19700">
        <v>102</v>
      </c>
      <c r="D19700">
        <v>1</v>
      </c>
    </row>
    <row r="19708" spans="2:4">
      <c r="B19708">
        <v>1</v>
      </c>
      <c r="C19708">
        <v>102</v>
      </c>
      <c r="D19708">
        <v>1</v>
      </c>
    </row>
    <row r="19710" spans="2:4">
      <c r="B19710">
        <v>1</v>
      </c>
      <c r="C19710">
        <v>102</v>
      </c>
      <c r="D19710">
        <v>1</v>
      </c>
    </row>
    <row r="19713" spans="2:4">
      <c r="B19713">
        <v>1</v>
      </c>
      <c r="C19713">
        <v>102</v>
      </c>
      <c r="D19713">
        <v>1</v>
      </c>
    </row>
    <row r="19716" spans="2:4">
      <c r="B19716">
        <v>1</v>
      </c>
      <c r="C19716">
        <v>102</v>
      </c>
      <c r="D19716">
        <v>1</v>
      </c>
    </row>
    <row r="19718" spans="2:4">
      <c r="B19718">
        <v>1</v>
      </c>
      <c r="C19718">
        <v>102</v>
      </c>
      <c r="D19718">
        <v>1</v>
      </c>
    </row>
    <row r="19721" spans="2:4">
      <c r="B19721">
        <v>1</v>
      </c>
      <c r="C19721">
        <v>102</v>
      </c>
      <c r="D19721">
        <v>1</v>
      </c>
    </row>
    <row r="19722" spans="2:4">
      <c r="B19722">
        <v>1</v>
      </c>
      <c r="C19722">
        <v>102</v>
      </c>
      <c r="D19722">
        <v>1</v>
      </c>
    </row>
    <row r="19724" spans="2:4">
      <c r="B19724">
        <v>1</v>
      </c>
      <c r="C19724">
        <v>102</v>
      </c>
      <c r="D19724">
        <v>1</v>
      </c>
    </row>
    <row r="19725" spans="2:4">
      <c r="B19725">
        <v>1</v>
      </c>
      <c r="C19725">
        <v>102</v>
      </c>
      <c r="D19725">
        <v>1</v>
      </c>
    </row>
    <row r="19726" spans="2:4">
      <c r="B19726">
        <v>1</v>
      </c>
      <c r="C19726">
        <v>102</v>
      </c>
      <c r="D19726">
        <v>1</v>
      </c>
    </row>
    <row r="19727" spans="2:4">
      <c r="B19727">
        <v>1</v>
      </c>
      <c r="C19727">
        <v>102</v>
      </c>
      <c r="D19727">
        <v>1</v>
      </c>
    </row>
    <row r="19736" spans="2:4">
      <c r="B19736">
        <v>1</v>
      </c>
      <c r="C19736">
        <v>102</v>
      </c>
      <c r="D19736">
        <v>1</v>
      </c>
    </row>
    <row r="19743" spans="2:4">
      <c r="B19743">
        <v>1</v>
      </c>
      <c r="C19743">
        <v>102</v>
      </c>
      <c r="D19743">
        <v>1</v>
      </c>
    </row>
    <row r="19746" spans="2:4">
      <c r="B19746">
        <v>1</v>
      </c>
      <c r="C19746">
        <v>102</v>
      </c>
      <c r="D19746">
        <v>1</v>
      </c>
    </row>
    <row r="19749" spans="2:4">
      <c r="B19749">
        <v>1</v>
      </c>
      <c r="C19749">
        <v>102</v>
      </c>
      <c r="D19749">
        <v>1</v>
      </c>
    </row>
    <row r="19752" spans="2:4">
      <c r="B19752">
        <v>1</v>
      </c>
      <c r="C19752">
        <v>102</v>
      </c>
      <c r="D19752">
        <v>1</v>
      </c>
    </row>
    <row r="19753" spans="2:4">
      <c r="B19753">
        <v>1</v>
      </c>
      <c r="C19753">
        <v>102</v>
      </c>
      <c r="D19753">
        <v>1</v>
      </c>
    </row>
    <row r="19759" spans="2:4">
      <c r="B19759">
        <v>1</v>
      </c>
      <c r="C19759">
        <v>102</v>
      </c>
      <c r="D19759">
        <v>1</v>
      </c>
    </row>
    <row r="19762" spans="2:4">
      <c r="B19762">
        <v>1</v>
      </c>
      <c r="C19762">
        <v>102</v>
      </c>
      <c r="D19762">
        <v>1</v>
      </c>
    </row>
    <row r="19766" spans="2:4">
      <c r="B19766">
        <v>1</v>
      </c>
      <c r="C19766">
        <v>102</v>
      </c>
      <c r="D19766">
        <v>1</v>
      </c>
    </row>
    <row r="19770" spans="2:4">
      <c r="B19770">
        <v>1</v>
      </c>
      <c r="C19770">
        <v>102</v>
      </c>
      <c r="D19770">
        <v>1</v>
      </c>
    </row>
    <row r="19772" spans="2:4">
      <c r="B19772">
        <v>1</v>
      </c>
      <c r="C19772">
        <v>102</v>
      </c>
      <c r="D19772">
        <v>1</v>
      </c>
    </row>
    <row r="19774" spans="2:4">
      <c r="B19774">
        <v>1</v>
      </c>
      <c r="C19774">
        <v>102</v>
      </c>
      <c r="D19774">
        <v>1</v>
      </c>
    </row>
    <row r="19775" spans="2:4">
      <c r="B19775">
        <v>1</v>
      </c>
      <c r="C19775">
        <v>102</v>
      </c>
      <c r="D19775">
        <v>1</v>
      </c>
    </row>
    <row r="19776" spans="2:4">
      <c r="B19776">
        <v>1</v>
      </c>
      <c r="C19776">
        <v>102</v>
      </c>
      <c r="D19776">
        <v>1</v>
      </c>
    </row>
    <row r="19779" spans="2:4">
      <c r="B19779">
        <v>1</v>
      </c>
      <c r="C19779">
        <v>102</v>
      </c>
      <c r="D19779">
        <v>1</v>
      </c>
    </row>
    <row r="19780" spans="2:4">
      <c r="B19780">
        <v>1</v>
      </c>
      <c r="C19780">
        <v>102</v>
      </c>
      <c r="D19780">
        <v>1</v>
      </c>
    </row>
    <row r="19781" spans="2:4">
      <c r="B19781">
        <v>1</v>
      </c>
      <c r="C19781">
        <v>102</v>
      </c>
      <c r="D19781">
        <v>1</v>
      </c>
    </row>
    <row r="19785" spans="2:4">
      <c r="B19785">
        <v>1</v>
      </c>
      <c r="C19785">
        <v>102</v>
      </c>
      <c r="D19785">
        <v>1</v>
      </c>
    </row>
    <row r="19788" spans="2:4">
      <c r="B19788">
        <v>1</v>
      </c>
      <c r="C19788">
        <v>102</v>
      </c>
      <c r="D19788">
        <v>1</v>
      </c>
    </row>
    <row r="19792" spans="2:4">
      <c r="B19792">
        <v>1</v>
      </c>
      <c r="C19792">
        <v>102</v>
      </c>
      <c r="D19792">
        <v>1</v>
      </c>
    </row>
    <row r="19796" spans="2:4">
      <c r="B19796">
        <v>1</v>
      </c>
      <c r="C19796">
        <v>102</v>
      </c>
      <c r="D19796">
        <v>1</v>
      </c>
    </row>
    <row r="19799" spans="2:4">
      <c r="B19799">
        <v>1</v>
      </c>
      <c r="C19799">
        <v>102</v>
      </c>
      <c r="D19799">
        <v>1</v>
      </c>
    </row>
    <row r="19800" spans="2:4">
      <c r="B19800">
        <v>1</v>
      </c>
      <c r="C19800">
        <v>102</v>
      </c>
      <c r="D19800">
        <v>1</v>
      </c>
    </row>
    <row r="19803" spans="2:4">
      <c r="B19803">
        <v>1</v>
      </c>
      <c r="C19803">
        <v>102</v>
      </c>
      <c r="D19803">
        <v>1</v>
      </c>
    </row>
    <row r="19805" spans="2:4">
      <c r="B19805">
        <v>1</v>
      </c>
      <c r="C19805">
        <v>102</v>
      </c>
      <c r="D19805">
        <v>1</v>
      </c>
    </row>
    <row r="19807" spans="2:4">
      <c r="B19807">
        <v>1</v>
      </c>
      <c r="C19807">
        <v>102</v>
      </c>
      <c r="D19807">
        <v>1</v>
      </c>
    </row>
    <row r="19811" spans="2:4">
      <c r="B19811">
        <v>1</v>
      </c>
      <c r="C19811">
        <v>102</v>
      </c>
      <c r="D19811">
        <v>1</v>
      </c>
    </row>
    <row r="19813" spans="2:4">
      <c r="B19813">
        <v>1</v>
      </c>
      <c r="C19813">
        <v>102</v>
      </c>
      <c r="D19813">
        <v>1</v>
      </c>
    </row>
    <row r="19814" spans="2:4">
      <c r="B19814">
        <v>1</v>
      </c>
      <c r="C19814">
        <v>102</v>
      </c>
      <c r="D19814">
        <v>1</v>
      </c>
    </row>
    <row r="19816" spans="2:4">
      <c r="B19816">
        <v>1</v>
      </c>
      <c r="C19816">
        <v>102</v>
      </c>
      <c r="D19816">
        <v>1</v>
      </c>
    </row>
    <row r="19817" spans="2:4">
      <c r="B19817">
        <v>1</v>
      </c>
      <c r="C19817">
        <v>102</v>
      </c>
      <c r="D19817">
        <v>1</v>
      </c>
    </row>
    <row r="19818" spans="2:4">
      <c r="B19818">
        <v>1</v>
      </c>
      <c r="C19818">
        <v>102</v>
      </c>
      <c r="D19818">
        <v>1</v>
      </c>
    </row>
    <row r="19819" spans="2:4">
      <c r="B19819">
        <v>1</v>
      </c>
      <c r="C19819">
        <v>102</v>
      </c>
      <c r="D19819">
        <v>1</v>
      </c>
    </row>
    <row r="19822" spans="2:4">
      <c r="B19822">
        <v>1</v>
      </c>
      <c r="C19822">
        <v>102</v>
      </c>
      <c r="D19822">
        <v>1</v>
      </c>
    </row>
    <row r="19825" spans="2:4">
      <c r="B19825">
        <v>1</v>
      </c>
      <c r="C19825">
        <v>102</v>
      </c>
      <c r="D19825">
        <v>1</v>
      </c>
    </row>
    <row r="19827" spans="2:4">
      <c r="B19827">
        <v>1</v>
      </c>
      <c r="C19827">
        <v>102</v>
      </c>
      <c r="D19827">
        <v>1</v>
      </c>
    </row>
    <row r="19829" spans="2:4">
      <c r="B19829">
        <v>1</v>
      </c>
      <c r="C19829">
        <v>102</v>
      </c>
      <c r="D19829">
        <v>1</v>
      </c>
    </row>
    <row r="19830" spans="2:4">
      <c r="B19830">
        <v>1</v>
      </c>
      <c r="C19830">
        <v>102</v>
      </c>
      <c r="D19830">
        <v>1</v>
      </c>
    </row>
    <row r="19831" spans="2:4">
      <c r="B19831">
        <v>1</v>
      </c>
      <c r="C19831">
        <v>102</v>
      </c>
      <c r="D19831">
        <v>1</v>
      </c>
    </row>
    <row r="19834" spans="2:4">
      <c r="B19834">
        <v>1</v>
      </c>
      <c r="C19834">
        <v>102</v>
      </c>
      <c r="D19834">
        <v>1</v>
      </c>
    </row>
    <row r="19835" spans="2:4">
      <c r="B19835">
        <v>1</v>
      </c>
      <c r="C19835">
        <v>102</v>
      </c>
      <c r="D19835">
        <v>1</v>
      </c>
    </row>
    <row r="19837" spans="2:4">
      <c r="B19837">
        <v>1</v>
      </c>
      <c r="C19837">
        <v>102</v>
      </c>
      <c r="D19837">
        <v>1</v>
      </c>
    </row>
    <row r="19842" spans="2:4">
      <c r="B19842">
        <v>1</v>
      </c>
      <c r="C19842">
        <v>102</v>
      </c>
      <c r="D19842">
        <v>1</v>
      </c>
    </row>
    <row r="19843" spans="2:4">
      <c r="B19843">
        <v>1</v>
      </c>
      <c r="C19843">
        <v>102</v>
      </c>
      <c r="D19843">
        <v>1</v>
      </c>
    </row>
    <row r="19847" spans="2:4">
      <c r="B19847">
        <v>1</v>
      </c>
      <c r="C19847">
        <v>102</v>
      </c>
      <c r="D19847">
        <v>1</v>
      </c>
    </row>
    <row r="19851" spans="2:4">
      <c r="B19851">
        <v>1</v>
      </c>
      <c r="C19851">
        <v>102</v>
      </c>
      <c r="D19851">
        <v>1</v>
      </c>
    </row>
    <row r="19856" spans="2:4">
      <c r="B19856">
        <v>1</v>
      </c>
      <c r="C19856">
        <v>102</v>
      </c>
      <c r="D19856">
        <v>1</v>
      </c>
    </row>
    <row r="19857" spans="2:4">
      <c r="B19857">
        <v>1</v>
      </c>
      <c r="C19857">
        <v>102</v>
      </c>
      <c r="D19857">
        <v>1</v>
      </c>
    </row>
    <row r="19858" spans="2:4">
      <c r="B19858">
        <v>1</v>
      </c>
      <c r="C19858">
        <v>102</v>
      </c>
      <c r="D19858">
        <v>1</v>
      </c>
    </row>
    <row r="19859" spans="2:4">
      <c r="B19859">
        <v>1</v>
      </c>
      <c r="C19859">
        <v>102</v>
      </c>
      <c r="D19859">
        <v>1</v>
      </c>
    </row>
    <row r="19860" spans="2:4">
      <c r="B19860">
        <v>1</v>
      </c>
      <c r="C19860">
        <v>102</v>
      </c>
      <c r="D19860">
        <v>1</v>
      </c>
    </row>
    <row r="19861" spans="2:4">
      <c r="B19861">
        <v>1</v>
      </c>
      <c r="C19861">
        <v>102</v>
      </c>
      <c r="D19861">
        <v>1</v>
      </c>
    </row>
    <row r="19863" spans="2:4">
      <c r="B19863">
        <v>1</v>
      </c>
      <c r="C19863">
        <v>102</v>
      </c>
      <c r="D19863">
        <v>1</v>
      </c>
    </row>
    <row r="19865" spans="2:4">
      <c r="B19865">
        <v>1</v>
      </c>
      <c r="C19865">
        <v>102</v>
      </c>
      <c r="D19865">
        <v>1</v>
      </c>
    </row>
    <row r="19867" spans="2:4">
      <c r="B19867">
        <v>1</v>
      </c>
      <c r="C19867">
        <v>102</v>
      </c>
      <c r="D19867">
        <v>1</v>
      </c>
    </row>
    <row r="19868" spans="2:4">
      <c r="B19868">
        <v>1</v>
      </c>
      <c r="C19868">
        <v>102</v>
      </c>
      <c r="D19868">
        <v>1</v>
      </c>
    </row>
    <row r="19869" spans="2:4">
      <c r="B19869">
        <v>1</v>
      </c>
      <c r="C19869">
        <v>102</v>
      </c>
      <c r="D19869">
        <v>1</v>
      </c>
    </row>
    <row r="19870" spans="2:4">
      <c r="B19870">
        <v>1</v>
      </c>
      <c r="C19870">
        <v>102</v>
      </c>
      <c r="D19870">
        <v>1</v>
      </c>
    </row>
    <row r="19872" spans="2:4">
      <c r="B19872">
        <v>1</v>
      </c>
      <c r="C19872">
        <v>102</v>
      </c>
      <c r="D19872">
        <v>1</v>
      </c>
    </row>
    <row r="19876" spans="2:4">
      <c r="B19876">
        <v>1</v>
      </c>
      <c r="C19876">
        <v>102</v>
      </c>
      <c r="D19876">
        <v>1</v>
      </c>
    </row>
    <row r="19879" spans="2:4">
      <c r="B19879">
        <v>1</v>
      </c>
      <c r="C19879">
        <v>102</v>
      </c>
      <c r="D19879">
        <v>1</v>
      </c>
    </row>
    <row r="19882" spans="2:4">
      <c r="B19882">
        <v>1</v>
      </c>
      <c r="C19882">
        <v>102</v>
      </c>
      <c r="D19882">
        <v>1</v>
      </c>
    </row>
    <row r="19883" spans="2:4">
      <c r="B19883">
        <v>1</v>
      </c>
      <c r="C19883">
        <v>102</v>
      </c>
      <c r="D19883">
        <v>1</v>
      </c>
    </row>
    <row r="19884" spans="2:4">
      <c r="B19884">
        <v>1</v>
      </c>
      <c r="C19884">
        <v>102</v>
      </c>
      <c r="D19884">
        <v>1</v>
      </c>
    </row>
    <row r="19886" spans="2:4">
      <c r="B19886">
        <v>1</v>
      </c>
      <c r="C19886">
        <v>102</v>
      </c>
      <c r="D19886">
        <v>1</v>
      </c>
    </row>
    <row r="19888" spans="2:4">
      <c r="B19888">
        <v>1</v>
      </c>
      <c r="C19888">
        <v>102</v>
      </c>
      <c r="D19888">
        <v>1</v>
      </c>
    </row>
    <row r="19889" spans="2:4">
      <c r="B19889">
        <v>1</v>
      </c>
      <c r="C19889">
        <v>102</v>
      </c>
      <c r="D19889">
        <v>1</v>
      </c>
    </row>
    <row r="19891" spans="2:4">
      <c r="B19891">
        <v>1</v>
      </c>
      <c r="C19891">
        <v>102</v>
      </c>
      <c r="D19891">
        <v>1</v>
      </c>
    </row>
    <row r="19892" spans="2:4">
      <c r="B19892">
        <v>1</v>
      </c>
      <c r="C19892">
        <v>102</v>
      </c>
      <c r="D19892">
        <v>1</v>
      </c>
    </row>
    <row r="19893" spans="2:4">
      <c r="B19893">
        <v>1</v>
      </c>
      <c r="C19893">
        <v>102</v>
      </c>
      <c r="D19893">
        <v>1</v>
      </c>
    </row>
    <row r="19895" spans="2:4">
      <c r="B19895">
        <v>1</v>
      </c>
      <c r="C19895">
        <v>102</v>
      </c>
      <c r="D19895">
        <v>1</v>
      </c>
    </row>
    <row r="19896" spans="2:4">
      <c r="B19896">
        <v>1</v>
      </c>
      <c r="C19896">
        <v>102</v>
      </c>
      <c r="D19896">
        <v>1</v>
      </c>
    </row>
    <row r="19897" spans="2:4">
      <c r="B19897">
        <v>1</v>
      </c>
      <c r="C19897">
        <v>102</v>
      </c>
      <c r="D19897">
        <v>1</v>
      </c>
    </row>
    <row r="19901" spans="2:4">
      <c r="B19901">
        <v>1</v>
      </c>
      <c r="C19901">
        <v>102</v>
      </c>
      <c r="D19901">
        <v>1</v>
      </c>
    </row>
    <row r="19905" spans="2:4">
      <c r="B19905">
        <v>1</v>
      </c>
      <c r="C19905">
        <v>102</v>
      </c>
      <c r="D19905">
        <v>1</v>
      </c>
    </row>
    <row r="19906" spans="2:4">
      <c r="B19906">
        <v>1</v>
      </c>
      <c r="C19906">
        <v>102</v>
      </c>
      <c r="D19906">
        <v>1</v>
      </c>
    </row>
    <row r="19910" spans="2:4">
      <c r="B19910">
        <v>1</v>
      </c>
      <c r="C19910">
        <v>102</v>
      </c>
      <c r="D19910">
        <v>1</v>
      </c>
    </row>
    <row r="19911" spans="2:4">
      <c r="B19911">
        <v>1</v>
      </c>
      <c r="C19911">
        <v>102</v>
      </c>
      <c r="D19911">
        <v>1</v>
      </c>
    </row>
    <row r="19912" spans="2:4">
      <c r="B19912">
        <v>1</v>
      </c>
      <c r="C19912">
        <v>102</v>
      </c>
      <c r="D19912">
        <v>1</v>
      </c>
    </row>
    <row r="19914" spans="2:4">
      <c r="B19914">
        <v>1</v>
      </c>
      <c r="C19914">
        <v>102</v>
      </c>
      <c r="D19914">
        <v>1</v>
      </c>
    </row>
    <row r="19915" spans="2:4">
      <c r="B19915">
        <v>1</v>
      </c>
      <c r="C19915">
        <v>102</v>
      </c>
      <c r="D19915">
        <v>1</v>
      </c>
    </row>
    <row r="19917" spans="2:4">
      <c r="B19917">
        <v>1</v>
      </c>
      <c r="C19917">
        <v>102</v>
      </c>
      <c r="D19917">
        <v>1</v>
      </c>
    </row>
    <row r="19918" spans="2:4">
      <c r="B19918">
        <v>1</v>
      </c>
      <c r="C19918">
        <v>102</v>
      </c>
      <c r="D19918">
        <v>1</v>
      </c>
    </row>
    <row r="19926" spans="2:4">
      <c r="B19926">
        <v>1</v>
      </c>
      <c r="C19926">
        <v>102</v>
      </c>
      <c r="D19926">
        <v>1</v>
      </c>
    </row>
    <row r="19929" spans="2:4">
      <c r="B19929">
        <v>1</v>
      </c>
      <c r="C19929">
        <v>102</v>
      </c>
      <c r="D19929">
        <v>1</v>
      </c>
    </row>
    <row r="19930" spans="2:4">
      <c r="B19930">
        <v>1</v>
      </c>
      <c r="C19930">
        <v>102</v>
      </c>
      <c r="D19930">
        <v>1</v>
      </c>
    </row>
    <row r="19936" spans="2:4">
      <c r="B19936">
        <v>1</v>
      </c>
      <c r="C19936">
        <v>102</v>
      </c>
      <c r="D19936">
        <v>1</v>
      </c>
    </row>
    <row r="19937" spans="2:4">
      <c r="B19937">
        <v>1</v>
      </c>
      <c r="C19937">
        <v>102</v>
      </c>
      <c r="D19937">
        <v>1</v>
      </c>
    </row>
    <row r="19949" spans="2:4">
      <c r="B19949">
        <v>1</v>
      </c>
      <c r="C19949">
        <v>102</v>
      </c>
      <c r="D19949">
        <v>1</v>
      </c>
    </row>
    <row r="19951" spans="2:4">
      <c r="B19951">
        <v>1</v>
      </c>
      <c r="C19951">
        <v>102</v>
      </c>
      <c r="D19951">
        <v>1</v>
      </c>
    </row>
    <row r="19952" spans="2:4">
      <c r="B19952">
        <v>1</v>
      </c>
      <c r="C19952">
        <v>102</v>
      </c>
      <c r="D19952">
        <v>1</v>
      </c>
    </row>
    <row r="19954" spans="2:4">
      <c r="B19954">
        <v>1</v>
      </c>
      <c r="C19954">
        <v>102</v>
      </c>
      <c r="D19954">
        <v>1</v>
      </c>
    </row>
    <row r="19956" spans="2:4">
      <c r="B19956">
        <v>1</v>
      </c>
      <c r="C19956">
        <v>102</v>
      </c>
      <c r="D19956">
        <v>1</v>
      </c>
    </row>
    <row r="19964" spans="2:4">
      <c r="B19964">
        <v>1</v>
      </c>
      <c r="C19964">
        <v>102</v>
      </c>
      <c r="D19964">
        <v>1</v>
      </c>
    </row>
    <row r="19966" spans="2:4">
      <c r="B19966">
        <v>1</v>
      </c>
      <c r="C19966">
        <v>102</v>
      </c>
      <c r="D19966">
        <v>1</v>
      </c>
    </row>
    <row r="19969" spans="2:4">
      <c r="B19969">
        <v>1</v>
      </c>
      <c r="C19969">
        <v>102</v>
      </c>
      <c r="D19969">
        <v>1</v>
      </c>
    </row>
    <row r="19972" spans="2:4">
      <c r="B19972">
        <v>1</v>
      </c>
      <c r="C19972">
        <v>102</v>
      </c>
      <c r="D19972">
        <v>1</v>
      </c>
    </row>
    <row r="19974" spans="2:4">
      <c r="B19974">
        <v>1</v>
      </c>
      <c r="C19974">
        <v>102</v>
      </c>
      <c r="D19974">
        <v>1</v>
      </c>
    </row>
    <row r="19977" spans="2:4">
      <c r="B19977">
        <v>1</v>
      </c>
      <c r="C19977">
        <v>102</v>
      </c>
      <c r="D19977">
        <v>1</v>
      </c>
    </row>
    <row r="19978" spans="2:4">
      <c r="B19978">
        <v>1</v>
      </c>
      <c r="C19978">
        <v>102</v>
      </c>
      <c r="D19978">
        <v>1</v>
      </c>
    </row>
    <row r="19980" spans="2:4">
      <c r="B19980">
        <v>1</v>
      </c>
      <c r="C19980">
        <v>102</v>
      </c>
      <c r="D19980">
        <v>1</v>
      </c>
    </row>
    <row r="19981" spans="2:4">
      <c r="B19981">
        <v>1</v>
      </c>
      <c r="C19981">
        <v>102</v>
      </c>
      <c r="D19981">
        <v>1</v>
      </c>
    </row>
    <row r="19982" spans="2:4">
      <c r="B19982">
        <v>1</v>
      </c>
      <c r="C19982">
        <v>102</v>
      </c>
      <c r="D19982">
        <v>1</v>
      </c>
    </row>
    <row r="19983" spans="2:4">
      <c r="B19983">
        <v>1</v>
      </c>
      <c r="C19983">
        <v>102</v>
      </c>
      <c r="D19983">
        <v>1</v>
      </c>
    </row>
    <row r="19992" spans="2:4">
      <c r="B19992">
        <v>1</v>
      </c>
      <c r="C19992">
        <v>102</v>
      </c>
      <c r="D19992">
        <v>1</v>
      </c>
    </row>
    <row r="19999" spans="2:4">
      <c r="B19999">
        <v>1</v>
      </c>
      <c r="C19999">
        <v>102</v>
      </c>
      <c r="D19999">
        <v>1</v>
      </c>
    </row>
    <row r="20002" spans="2:4">
      <c r="B20002">
        <v>1</v>
      </c>
      <c r="C20002">
        <v>102</v>
      </c>
      <c r="D20002">
        <v>1</v>
      </c>
    </row>
    <row r="20005" spans="2:4">
      <c r="B20005">
        <v>1</v>
      </c>
      <c r="C20005">
        <v>102</v>
      </c>
      <c r="D20005">
        <v>1</v>
      </c>
    </row>
    <row r="20008" spans="2:4">
      <c r="B20008">
        <v>1</v>
      </c>
      <c r="C20008">
        <v>102</v>
      </c>
      <c r="D20008">
        <v>1</v>
      </c>
    </row>
    <row r="20009" spans="2:4">
      <c r="B20009">
        <v>1</v>
      </c>
      <c r="C20009">
        <v>102</v>
      </c>
      <c r="D20009">
        <v>1</v>
      </c>
    </row>
    <row r="20015" spans="2:4">
      <c r="B20015">
        <v>1</v>
      </c>
      <c r="C20015">
        <v>102</v>
      </c>
      <c r="D20015">
        <v>1</v>
      </c>
    </row>
    <row r="20018" spans="2:4">
      <c r="B20018">
        <v>1</v>
      </c>
      <c r="C20018">
        <v>102</v>
      </c>
      <c r="D20018">
        <v>1</v>
      </c>
    </row>
    <row r="20022" spans="2:4">
      <c r="B20022">
        <v>1</v>
      </c>
      <c r="C20022">
        <v>102</v>
      </c>
      <c r="D20022">
        <v>1</v>
      </c>
    </row>
    <row r="20026" spans="2:4">
      <c r="B20026">
        <v>1</v>
      </c>
      <c r="C20026">
        <v>102</v>
      </c>
      <c r="D20026">
        <v>1</v>
      </c>
    </row>
    <row r="20028" spans="2:4">
      <c r="B20028">
        <v>1</v>
      </c>
      <c r="C20028">
        <v>102</v>
      </c>
      <c r="D20028">
        <v>1</v>
      </c>
    </row>
    <row r="20030" spans="2:4">
      <c r="B20030">
        <v>1</v>
      </c>
      <c r="C20030">
        <v>102</v>
      </c>
      <c r="D20030">
        <v>1</v>
      </c>
    </row>
    <row r="20031" spans="2:4">
      <c r="B20031">
        <v>1</v>
      </c>
      <c r="C20031">
        <v>102</v>
      </c>
      <c r="D20031">
        <v>1</v>
      </c>
    </row>
    <row r="20032" spans="2:4">
      <c r="B20032">
        <v>1</v>
      </c>
      <c r="C20032">
        <v>102</v>
      </c>
      <c r="D20032">
        <v>1</v>
      </c>
    </row>
    <row r="20035" spans="2:4">
      <c r="B20035">
        <v>1</v>
      </c>
      <c r="C20035">
        <v>102</v>
      </c>
      <c r="D20035">
        <v>1</v>
      </c>
    </row>
    <row r="20036" spans="2:4">
      <c r="B20036">
        <v>1</v>
      </c>
      <c r="C20036">
        <v>102</v>
      </c>
      <c r="D20036">
        <v>1</v>
      </c>
    </row>
    <row r="20037" spans="2:4">
      <c r="B20037">
        <v>1</v>
      </c>
      <c r="C20037">
        <v>102</v>
      </c>
      <c r="D20037">
        <v>1</v>
      </c>
    </row>
    <row r="20041" spans="2:4">
      <c r="B20041">
        <v>1</v>
      </c>
      <c r="C20041">
        <v>102</v>
      </c>
      <c r="D20041">
        <v>1</v>
      </c>
    </row>
    <row r="20044" spans="2:4">
      <c r="B20044">
        <v>1</v>
      </c>
      <c r="C20044">
        <v>102</v>
      </c>
      <c r="D20044">
        <v>1</v>
      </c>
    </row>
    <row r="20048" spans="2:4">
      <c r="B20048">
        <v>1</v>
      </c>
      <c r="C20048">
        <v>102</v>
      </c>
      <c r="D20048">
        <v>1</v>
      </c>
    </row>
    <row r="20052" spans="2:4">
      <c r="B20052">
        <v>1</v>
      </c>
      <c r="C20052">
        <v>102</v>
      </c>
      <c r="D20052">
        <v>1</v>
      </c>
    </row>
    <row r="20055" spans="2:4">
      <c r="B20055">
        <v>1</v>
      </c>
      <c r="C20055">
        <v>102</v>
      </c>
      <c r="D20055">
        <v>1</v>
      </c>
    </row>
    <row r="20056" spans="2:4">
      <c r="B20056">
        <v>1</v>
      </c>
      <c r="C20056">
        <v>102</v>
      </c>
      <c r="D20056">
        <v>1</v>
      </c>
    </row>
    <row r="20059" spans="2:4">
      <c r="B20059">
        <v>1</v>
      </c>
      <c r="C20059">
        <v>102</v>
      </c>
      <c r="D20059">
        <v>1</v>
      </c>
    </row>
    <row r="20061" spans="2:4">
      <c r="B20061">
        <v>1</v>
      </c>
      <c r="C20061">
        <v>102</v>
      </c>
      <c r="D20061">
        <v>1</v>
      </c>
    </row>
    <row r="20063" spans="2:4">
      <c r="B20063">
        <v>1</v>
      </c>
      <c r="C20063">
        <v>102</v>
      </c>
      <c r="D20063">
        <v>1</v>
      </c>
    </row>
    <row r="20067" spans="2:4">
      <c r="B20067">
        <v>1</v>
      </c>
      <c r="C20067">
        <v>102</v>
      </c>
      <c r="D20067">
        <v>1</v>
      </c>
    </row>
    <row r="20069" spans="2:4">
      <c r="B20069">
        <v>1</v>
      </c>
      <c r="C20069">
        <v>102</v>
      </c>
      <c r="D20069">
        <v>1</v>
      </c>
    </row>
    <row r="20070" spans="2:4">
      <c r="B20070">
        <v>1</v>
      </c>
      <c r="C20070">
        <v>102</v>
      </c>
      <c r="D20070">
        <v>1</v>
      </c>
    </row>
    <row r="20072" spans="2:4">
      <c r="B20072">
        <v>1</v>
      </c>
      <c r="C20072">
        <v>102</v>
      </c>
      <c r="D20072">
        <v>1</v>
      </c>
    </row>
    <row r="20073" spans="2:4">
      <c r="B20073">
        <v>1</v>
      </c>
      <c r="C20073">
        <v>102</v>
      </c>
      <c r="D20073">
        <v>1</v>
      </c>
    </row>
    <row r="20074" spans="2:4">
      <c r="B20074">
        <v>1</v>
      </c>
      <c r="C20074">
        <v>102</v>
      </c>
      <c r="D20074">
        <v>1</v>
      </c>
    </row>
    <row r="20075" spans="2:4">
      <c r="B20075">
        <v>1</v>
      </c>
      <c r="C20075">
        <v>102</v>
      </c>
      <c r="D20075">
        <v>1</v>
      </c>
    </row>
    <row r="20078" spans="2:4">
      <c r="B20078">
        <v>1</v>
      </c>
      <c r="C20078">
        <v>102</v>
      </c>
      <c r="D20078">
        <v>1</v>
      </c>
    </row>
    <row r="20081" spans="2:4">
      <c r="B20081">
        <v>1</v>
      </c>
      <c r="C20081">
        <v>102</v>
      </c>
      <c r="D20081">
        <v>1</v>
      </c>
    </row>
    <row r="20083" spans="2:4">
      <c r="B20083">
        <v>1</v>
      </c>
      <c r="C20083">
        <v>102</v>
      </c>
      <c r="D20083">
        <v>1</v>
      </c>
    </row>
    <row r="20085" spans="2:4">
      <c r="B20085">
        <v>1</v>
      </c>
      <c r="C20085">
        <v>102</v>
      </c>
      <c r="D20085">
        <v>1</v>
      </c>
    </row>
    <row r="20086" spans="2:4">
      <c r="B20086">
        <v>1</v>
      </c>
      <c r="C20086">
        <v>102</v>
      </c>
      <c r="D20086">
        <v>1</v>
      </c>
    </row>
    <row r="20087" spans="2:4">
      <c r="B20087">
        <v>1</v>
      </c>
      <c r="C20087">
        <v>102</v>
      </c>
      <c r="D20087">
        <v>1</v>
      </c>
    </row>
    <row r="20090" spans="2:4">
      <c r="B20090">
        <v>1</v>
      </c>
      <c r="C20090">
        <v>102</v>
      </c>
      <c r="D20090">
        <v>1</v>
      </c>
    </row>
    <row r="20091" spans="2:4">
      <c r="B20091">
        <v>1</v>
      </c>
      <c r="C20091">
        <v>102</v>
      </c>
      <c r="D20091">
        <v>1</v>
      </c>
    </row>
    <row r="20093" spans="2:4">
      <c r="B20093">
        <v>1</v>
      </c>
      <c r="C20093">
        <v>102</v>
      </c>
      <c r="D20093">
        <v>1</v>
      </c>
    </row>
    <row r="20098" spans="2:4">
      <c r="B20098">
        <v>1</v>
      </c>
      <c r="C20098">
        <v>102</v>
      </c>
      <c r="D20098">
        <v>1</v>
      </c>
    </row>
    <row r="20099" spans="2:4">
      <c r="B20099">
        <v>1</v>
      </c>
      <c r="C20099">
        <v>102</v>
      </c>
      <c r="D20099">
        <v>1</v>
      </c>
    </row>
    <row r="20103" spans="2:4">
      <c r="B20103">
        <v>1</v>
      </c>
      <c r="C20103">
        <v>102</v>
      </c>
      <c r="D20103">
        <v>1</v>
      </c>
    </row>
    <row r="20107" spans="2:4">
      <c r="B20107">
        <v>1</v>
      </c>
      <c r="C20107">
        <v>102</v>
      </c>
      <c r="D20107">
        <v>1</v>
      </c>
    </row>
    <row r="20112" spans="2:4">
      <c r="B20112">
        <v>1</v>
      </c>
      <c r="C20112">
        <v>102</v>
      </c>
      <c r="D20112">
        <v>1</v>
      </c>
    </row>
    <row r="20113" spans="2:4">
      <c r="B20113">
        <v>1</v>
      </c>
      <c r="C20113">
        <v>102</v>
      </c>
      <c r="D20113">
        <v>1</v>
      </c>
    </row>
    <row r="20114" spans="2:4">
      <c r="B20114">
        <v>1</v>
      </c>
      <c r="C20114">
        <v>102</v>
      </c>
      <c r="D20114">
        <v>1</v>
      </c>
    </row>
    <row r="20115" spans="2:4">
      <c r="B20115">
        <v>1</v>
      </c>
      <c r="C20115">
        <v>102</v>
      </c>
      <c r="D20115">
        <v>1</v>
      </c>
    </row>
    <row r="20116" spans="2:4">
      <c r="B20116">
        <v>1</v>
      </c>
      <c r="C20116">
        <v>102</v>
      </c>
      <c r="D20116">
        <v>1</v>
      </c>
    </row>
    <row r="20117" spans="2:4">
      <c r="B20117">
        <v>1</v>
      </c>
      <c r="C20117">
        <v>102</v>
      </c>
      <c r="D20117">
        <v>1</v>
      </c>
    </row>
    <row r="20119" spans="2:4">
      <c r="B20119">
        <v>1</v>
      </c>
      <c r="C20119">
        <v>102</v>
      </c>
      <c r="D20119">
        <v>1</v>
      </c>
    </row>
    <row r="20121" spans="2:4">
      <c r="B20121">
        <v>1</v>
      </c>
      <c r="C20121">
        <v>102</v>
      </c>
      <c r="D20121">
        <v>1</v>
      </c>
    </row>
    <row r="20123" spans="2:4">
      <c r="B20123">
        <v>1</v>
      </c>
      <c r="C20123">
        <v>102</v>
      </c>
      <c r="D20123">
        <v>1</v>
      </c>
    </row>
    <row r="20124" spans="2:4">
      <c r="B20124">
        <v>1</v>
      </c>
      <c r="C20124">
        <v>102</v>
      </c>
      <c r="D20124">
        <v>1</v>
      </c>
    </row>
    <row r="20125" spans="2:4">
      <c r="B20125">
        <v>1</v>
      </c>
      <c r="C20125">
        <v>102</v>
      </c>
      <c r="D20125">
        <v>1</v>
      </c>
    </row>
    <row r="20126" spans="2:4">
      <c r="B20126">
        <v>1</v>
      </c>
      <c r="C20126">
        <v>102</v>
      </c>
      <c r="D20126">
        <v>1</v>
      </c>
    </row>
    <row r="20128" spans="2:4">
      <c r="B20128">
        <v>1</v>
      </c>
      <c r="C20128">
        <v>102</v>
      </c>
      <c r="D20128">
        <v>1</v>
      </c>
    </row>
    <row r="20132" spans="2:4">
      <c r="B20132">
        <v>1</v>
      </c>
      <c r="C20132">
        <v>102</v>
      </c>
      <c r="D20132">
        <v>1</v>
      </c>
    </row>
    <row r="20135" spans="2:4">
      <c r="B20135">
        <v>1</v>
      </c>
      <c r="C20135">
        <v>102</v>
      </c>
      <c r="D20135">
        <v>1</v>
      </c>
    </row>
    <row r="20138" spans="2:4">
      <c r="B20138">
        <v>1</v>
      </c>
      <c r="C20138">
        <v>102</v>
      </c>
      <c r="D20138">
        <v>1</v>
      </c>
    </row>
    <row r="20139" spans="2:4">
      <c r="B20139">
        <v>1</v>
      </c>
      <c r="C20139">
        <v>102</v>
      </c>
      <c r="D20139">
        <v>1</v>
      </c>
    </row>
    <row r="20140" spans="2:4">
      <c r="B20140">
        <v>1</v>
      </c>
      <c r="C20140">
        <v>102</v>
      </c>
      <c r="D20140">
        <v>1</v>
      </c>
    </row>
    <row r="20142" spans="2:4">
      <c r="B20142">
        <v>1</v>
      </c>
      <c r="C20142">
        <v>102</v>
      </c>
      <c r="D20142">
        <v>1</v>
      </c>
    </row>
    <row r="20144" spans="2:4">
      <c r="B20144">
        <v>1</v>
      </c>
      <c r="C20144">
        <v>102</v>
      </c>
      <c r="D20144">
        <v>1</v>
      </c>
    </row>
    <row r="20145" spans="2:4">
      <c r="B20145">
        <v>1</v>
      </c>
      <c r="C20145">
        <v>102</v>
      </c>
      <c r="D20145">
        <v>1</v>
      </c>
    </row>
    <row r="20147" spans="2:4">
      <c r="B20147">
        <v>1</v>
      </c>
      <c r="C20147">
        <v>102</v>
      </c>
      <c r="D20147">
        <v>1</v>
      </c>
    </row>
    <row r="20148" spans="2:4">
      <c r="B20148">
        <v>1</v>
      </c>
      <c r="C20148">
        <v>102</v>
      </c>
      <c r="D20148">
        <v>1</v>
      </c>
    </row>
    <row r="20149" spans="2:4">
      <c r="B20149">
        <v>1</v>
      </c>
      <c r="C20149">
        <v>102</v>
      </c>
      <c r="D20149">
        <v>1</v>
      </c>
    </row>
    <row r="20151" spans="2:4">
      <c r="B20151">
        <v>1</v>
      </c>
      <c r="C20151">
        <v>102</v>
      </c>
      <c r="D20151">
        <v>1</v>
      </c>
    </row>
    <row r="20152" spans="2:4">
      <c r="B20152">
        <v>1</v>
      </c>
      <c r="C20152">
        <v>102</v>
      </c>
      <c r="D20152">
        <v>1</v>
      </c>
    </row>
    <row r="20153" spans="2:4">
      <c r="B20153">
        <v>1</v>
      </c>
      <c r="C20153">
        <v>102</v>
      </c>
      <c r="D20153">
        <v>1</v>
      </c>
    </row>
    <row r="20157" spans="2:4">
      <c r="B20157">
        <v>1</v>
      </c>
      <c r="C20157">
        <v>102</v>
      </c>
      <c r="D20157">
        <v>1</v>
      </c>
    </row>
    <row r="20161" spans="2:4">
      <c r="B20161">
        <v>1</v>
      </c>
      <c r="C20161">
        <v>102</v>
      </c>
      <c r="D20161">
        <v>1</v>
      </c>
    </row>
    <row r="20162" spans="2:4">
      <c r="B20162">
        <v>1</v>
      </c>
      <c r="C20162">
        <v>102</v>
      </c>
      <c r="D20162">
        <v>1</v>
      </c>
    </row>
    <row r="20166" spans="2:4">
      <c r="B20166">
        <v>1</v>
      </c>
      <c r="C20166">
        <v>102</v>
      </c>
      <c r="D20166">
        <v>1</v>
      </c>
    </row>
    <row r="20167" spans="2:4">
      <c r="B20167">
        <v>1</v>
      </c>
      <c r="C20167">
        <v>102</v>
      </c>
      <c r="D20167">
        <v>1</v>
      </c>
    </row>
    <row r="20168" spans="2:4">
      <c r="B20168">
        <v>1</v>
      </c>
      <c r="C20168">
        <v>102</v>
      </c>
      <c r="D20168">
        <v>1</v>
      </c>
    </row>
    <row r="20170" spans="2:4">
      <c r="B20170">
        <v>1</v>
      </c>
      <c r="C20170">
        <v>102</v>
      </c>
      <c r="D20170">
        <v>1</v>
      </c>
    </row>
    <row r="20171" spans="2:4">
      <c r="B20171">
        <v>1</v>
      </c>
      <c r="C20171">
        <v>102</v>
      </c>
      <c r="D20171">
        <v>1</v>
      </c>
    </row>
    <row r="20173" spans="2:4">
      <c r="B20173">
        <v>1</v>
      </c>
      <c r="C20173">
        <v>102</v>
      </c>
      <c r="D20173">
        <v>1</v>
      </c>
    </row>
    <row r="20174" spans="2:4">
      <c r="B20174">
        <v>1</v>
      </c>
      <c r="C20174">
        <v>102</v>
      </c>
      <c r="D20174">
        <v>1</v>
      </c>
    </row>
    <row r="20182" spans="2:4">
      <c r="B20182">
        <v>1</v>
      </c>
      <c r="C20182">
        <v>102</v>
      </c>
      <c r="D20182">
        <v>1</v>
      </c>
    </row>
    <row r="20185" spans="2:4">
      <c r="B20185">
        <v>1</v>
      </c>
      <c r="C20185">
        <v>102</v>
      </c>
      <c r="D20185">
        <v>1</v>
      </c>
    </row>
    <row r="20186" spans="2:4">
      <c r="B20186">
        <v>1</v>
      </c>
      <c r="C20186">
        <v>102</v>
      </c>
      <c r="D20186">
        <v>1</v>
      </c>
    </row>
    <row r="20192" spans="2:4">
      <c r="B20192">
        <v>1</v>
      </c>
      <c r="C20192">
        <v>102</v>
      </c>
      <c r="D20192">
        <v>1</v>
      </c>
    </row>
    <row r="20193" spans="2:4">
      <c r="B20193">
        <v>1</v>
      </c>
      <c r="C20193">
        <v>102</v>
      </c>
      <c r="D20193">
        <v>1</v>
      </c>
    </row>
    <row r="20205" spans="2:4">
      <c r="B20205">
        <v>1</v>
      </c>
      <c r="C20205">
        <v>102</v>
      </c>
      <c r="D20205">
        <v>1</v>
      </c>
    </row>
    <row r="20207" spans="2:4">
      <c r="B20207">
        <v>1</v>
      </c>
      <c r="C20207">
        <v>102</v>
      </c>
      <c r="D20207">
        <v>1</v>
      </c>
    </row>
    <row r="20208" spans="2:4">
      <c r="B20208">
        <v>1</v>
      </c>
      <c r="C20208">
        <v>102</v>
      </c>
      <c r="D20208">
        <v>1</v>
      </c>
    </row>
    <row r="20210" spans="2:4">
      <c r="B20210">
        <v>1</v>
      </c>
      <c r="C20210">
        <v>102</v>
      </c>
      <c r="D20210">
        <v>1</v>
      </c>
    </row>
    <row r="20212" spans="2:4">
      <c r="B20212">
        <v>1</v>
      </c>
      <c r="C20212">
        <v>102</v>
      </c>
      <c r="D20212">
        <v>1</v>
      </c>
    </row>
    <row r="20220" spans="2:4">
      <c r="B20220">
        <v>1</v>
      </c>
      <c r="C20220">
        <v>102</v>
      </c>
      <c r="D20220">
        <v>1</v>
      </c>
    </row>
    <row r="20222" spans="2:4">
      <c r="B20222">
        <v>1</v>
      </c>
      <c r="C20222">
        <v>102</v>
      </c>
      <c r="D20222">
        <v>1</v>
      </c>
    </row>
    <row r="20225" spans="2:4">
      <c r="B20225">
        <v>1</v>
      </c>
      <c r="C20225">
        <v>102</v>
      </c>
      <c r="D20225">
        <v>1</v>
      </c>
    </row>
    <row r="20228" spans="2:4">
      <c r="B20228">
        <v>1</v>
      </c>
      <c r="C20228">
        <v>102</v>
      </c>
      <c r="D20228">
        <v>1</v>
      </c>
    </row>
    <row r="20230" spans="2:4">
      <c r="B20230">
        <v>1</v>
      </c>
      <c r="C20230">
        <v>102</v>
      </c>
      <c r="D20230">
        <v>1</v>
      </c>
    </row>
    <row r="20233" spans="2:4">
      <c r="B20233">
        <v>1</v>
      </c>
      <c r="C20233">
        <v>102</v>
      </c>
      <c r="D20233">
        <v>1</v>
      </c>
    </row>
    <row r="20234" spans="2:4">
      <c r="B20234">
        <v>1</v>
      </c>
      <c r="C20234">
        <v>102</v>
      </c>
      <c r="D20234">
        <v>1</v>
      </c>
    </row>
    <row r="20236" spans="2:4">
      <c r="B20236">
        <v>1</v>
      </c>
      <c r="C20236">
        <v>102</v>
      </c>
      <c r="D20236">
        <v>1</v>
      </c>
    </row>
    <row r="20237" spans="2:4">
      <c r="B20237">
        <v>1</v>
      </c>
      <c r="C20237">
        <v>102</v>
      </c>
      <c r="D20237">
        <v>1</v>
      </c>
    </row>
    <row r="20238" spans="2:4">
      <c r="B20238">
        <v>1</v>
      </c>
      <c r="C20238">
        <v>102</v>
      </c>
      <c r="D20238">
        <v>1</v>
      </c>
    </row>
    <row r="20239" spans="2:4">
      <c r="B20239">
        <v>1</v>
      </c>
      <c r="C20239">
        <v>102</v>
      </c>
      <c r="D20239">
        <v>1</v>
      </c>
    </row>
    <row r="20248" spans="2:4">
      <c r="B20248">
        <v>1</v>
      </c>
      <c r="C20248">
        <v>102</v>
      </c>
      <c r="D20248">
        <v>1</v>
      </c>
    </row>
    <row r="20255" spans="2:4">
      <c r="B20255">
        <v>1</v>
      </c>
      <c r="C20255">
        <v>102</v>
      </c>
      <c r="D20255">
        <v>1</v>
      </c>
    </row>
    <row r="20258" spans="2:4">
      <c r="B20258">
        <v>1</v>
      </c>
      <c r="C20258">
        <v>102</v>
      </c>
      <c r="D20258">
        <v>1</v>
      </c>
    </row>
    <row r="20261" spans="2:4">
      <c r="B20261">
        <v>1</v>
      </c>
      <c r="C20261">
        <v>102</v>
      </c>
      <c r="D20261">
        <v>1</v>
      </c>
    </row>
    <row r="20264" spans="2:4">
      <c r="B20264">
        <v>1</v>
      </c>
      <c r="C20264">
        <v>102</v>
      </c>
      <c r="D20264">
        <v>1</v>
      </c>
    </row>
    <row r="20265" spans="2:4">
      <c r="B20265">
        <v>1</v>
      </c>
      <c r="C20265">
        <v>102</v>
      </c>
      <c r="D20265">
        <v>1</v>
      </c>
    </row>
    <row r="20271" spans="2:4">
      <c r="B20271">
        <v>1</v>
      </c>
      <c r="C20271">
        <v>102</v>
      </c>
      <c r="D20271">
        <v>1</v>
      </c>
    </row>
    <row r="20274" spans="2:4">
      <c r="B20274">
        <v>1</v>
      </c>
      <c r="C20274">
        <v>102</v>
      </c>
      <c r="D20274">
        <v>1</v>
      </c>
    </row>
    <row r="20278" spans="2:4">
      <c r="B20278">
        <v>1</v>
      </c>
      <c r="C20278">
        <v>102</v>
      </c>
      <c r="D20278">
        <v>1</v>
      </c>
    </row>
    <row r="20282" spans="2:4">
      <c r="B20282">
        <v>1</v>
      </c>
      <c r="C20282">
        <v>102</v>
      </c>
      <c r="D20282">
        <v>1</v>
      </c>
    </row>
    <row r="20284" spans="2:4">
      <c r="B20284">
        <v>1</v>
      </c>
      <c r="C20284">
        <v>102</v>
      </c>
      <c r="D20284">
        <v>1</v>
      </c>
    </row>
    <row r="20286" spans="2:4">
      <c r="B20286">
        <v>1</v>
      </c>
      <c r="C20286">
        <v>102</v>
      </c>
      <c r="D20286">
        <v>1</v>
      </c>
    </row>
    <row r="20287" spans="2:4">
      <c r="B20287">
        <v>1</v>
      </c>
      <c r="C20287">
        <v>102</v>
      </c>
      <c r="D20287">
        <v>1</v>
      </c>
    </row>
    <row r="20288" spans="2:4">
      <c r="B20288">
        <v>1</v>
      </c>
      <c r="C20288">
        <v>102</v>
      </c>
      <c r="D20288">
        <v>1</v>
      </c>
    </row>
    <row r="20291" spans="2:4">
      <c r="B20291">
        <v>1</v>
      </c>
      <c r="C20291">
        <v>102</v>
      </c>
      <c r="D20291">
        <v>1</v>
      </c>
    </row>
    <row r="20292" spans="2:4">
      <c r="B20292">
        <v>1</v>
      </c>
      <c r="C20292">
        <v>102</v>
      </c>
      <c r="D20292">
        <v>1</v>
      </c>
    </row>
    <row r="20293" spans="2:4">
      <c r="B20293">
        <v>1</v>
      </c>
      <c r="C20293">
        <v>102</v>
      </c>
      <c r="D20293">
        <v>1</v>
      </c>
    </row>
    <row r="20297" spans="2:4">
      <c r="B20297">
        <v>1</v>
      </c>
      <c r="C20297">
        <v>102</v>
      </c>
      <c r="D20297">
        <v>1</v>
      </c>
    </row>
    <row r="20300" spans="2:4">
      <c r="B20300">
        <v>1</v>
      </c>
      <c r="C20300">
        <v>102</v>
      </c>
      <c r="D20300">
        <v>1</v>
      </c>
    </row>
    <row r="20304" spans="2:4">
      <c r="B20304">
        <v>1</v>
      </c>
      <c r="C20304">
        <v>102</v>
      </c>
      <c r="D20304">
        <v>1</v>
      </c>
    </row>
    <row r="20308" spans="2:4">
      <c r="B20308">
        <v>1</v>
      </c>
      <c r="C20308">
        <v>102</v>
      </c>
      <c r="D20308">
        <v>1</v>
      </c>
    </row>
    <row r="20311" spans="2:4">
      <c r="B20311">
        <v>1</v>
      </c>
      <c r="C20311">
        <v>102</v>
      </c>
      <c r="D20311">
        <v>1</v>
      </c>
    </row>
    <row r="20312" spans="2:4">
      <c r="B20312">
        <v>1</v>
      </c>
      <c r="C20312">
        <v>102</v>
      </c>
      <c r="D20312">
        <v>1</v>
      </c>
    </row>
    <row r="20315" spans="2:4">
      <c r="B20315">
        <v>1</v>
      </c>
      <c r="C20315">
        <v>102</v>
      </c>
      <c r="D20315">
        <v>1</v>
      </c>
    </row>
    <row r="20317" spans="2:4">
      <c r="B20317">
        <v>1</v>
      </c>
      <c r="C20317">
        <v>102</v>
      </c>
      <c r="D20317">
        <v>1</v>
      </c>
    </row>
    <row r="20319" spans="2:4">
      <c r="B20319">
        <v>1</v>
      </c>
      <c r="C20319">
        <v>102</v>
      </c>
      <c r="D20319">
        <v>1</v>
      </c>
    </row>
    <row r="20323" spans="2:4">
      <c r="B20323">
        <v>1</v>
      </c>
      <c r="C20323">
        <v>102</v>
      </c>
      <c r="D20323">
        <v>1</v>
      </c>
    </row>
    <row r="20325" spans="2:4">
      <c r="B20325">
        <v>1</v>
      </c>
      <c r="C20325">
        <v>102</v>
      </c>
      <c r="D20325">
        <v>1</v>
      </c>
    </row>
    <row r="20326" spans="2:4">
      <c r="B20326">
        <v>1</v>
      </c>
      <c r="C20326">
        <v>102</v>
      </c>
      <c r="D20326">
        <v>1</v>
      </c>
    </row>
    <row r="20328" spans="2:4">
      <c r="B20328">
        <v>1</v>
      </c>
      <c r="C20328">
        <v>102</v>
      </c>
      <c r="D20328">
        <v>1</v>
      </c>
    </row>
    <row r="20329" spans="2:4">
      <c r="B20329">
        <v>1</v>
      </c>
      <c r="C20329">
        <v>102</v>
      </c>
      <c r="D20329">
        <v>1</v>
      </c>
    </row>
    <row r="20330" spans="2:4">
      <c r="B20330">
        <v>1</v>
      </c>
      <c r="C20330">
        <v>102</v>
      </c>
      <c r="D20330">
        <v>1</v>
      </c>
    </row>
    <row r="20331" spans="2:4">
      <c r="B20331">
        <v>1</v>
      </c>
      <c r="C20331">
        <v>102</v>
      </c>
      <c r="D20331">
        <v>1</v>
      </c>
    </row>
    <row r="20334" spans="2:4">
      <c r="B20334">
        <v>1</v>
      </c>
      <c r="C20334">
        <v>102</v>
      </c>
      <c r="D20334">
        <v>1</v>
      </c>
    </row>
    <row r="20337" spans="2:4">
      <c r="B20337">
        <v>1</v>
      </c>
      <c r="C20337">
        <v>102</v>
      </c>
      <c r="D20337">
        <v>1</v>
      </c>
    </row>
    <row r="20339" spans="2:4">
      <c r="B20339">
        <v>1</v>
      </c>
      <c r="C20339">
        <v>102</v>
      </c>
      <c r="D20339">
        <v>1</v>
      </c>
    </row>
    <row r="20341" spans="2:4">
      <c r="B20341">
        <v>1</v>
      </c>
      <c r="C20341">
        <v>102</v>
      </c>
      <c r="D20341">
        <v>1</v>
      </c>
    </row>
    <row r="20342" spans="2:4">
      <c r="B20342">
        <v>1</v>
      </c>
      <c r="C20342">
        <v>102</v>
      </c>
      <c r="D20342">
        <v>1</v>
      </c>
    </row>
    <row r="20343" spans="2:4">
      <c r="B20343">
        <v>1</v>
      </c>
      <c r="C20343">
        <v>102</v>
      </c>
      <c r="D20343">
        <v>1</v>
      </c>
    </row>
    <row r="20346" spans="2:4">
      <c r="B20346">
        <v>1</v>
      </c>
      <c r="C20346">
        <v>102</v>
      </c>
      <c r="D20346">
        <v>1</v>
      </c>
    </row>
    <row r="20347" spans="2:4">
      <c r="B20347">
        <v>1</v>
      </c>
      <c r="C20347">
        <v>102</v>
      </c>
      <c r="D20347">
        <v>1</v>
      </c>
    </row>
    <row r="20349" spans="2:4">
      <c r="B20349">
        <v>1</v>
      </c>
      <c r="C20349">
        <v>102</v>
      </c>
      <c r="D20349">
        <v>1</v>
      </c>
    </row>
    <row r="20354" spans="2:4">
      <c r="B20354">
        <v>1</v>
      </c>
      <c r="C20354">
        <v>102</v>
      </c>
      <c r="D20354">
        <v>1</v>
      </c>
    </row>
    <row r="20355" spans="2:4">
      <c r="B20355">
        <v>1</v>
      </c>
      <c r="C20355">
        <v>102</v>
      </c>
      <c r="D20355">
        <v>1</v>
      </c>
    </row>
    <row r="20359" spans="2:4">
      <c r="B20359">
        <v>1</v>
      </c>
      <c r="C20359">
        <v>102</v>
      </c>
      <c r="D20359">
        <v>1</v>
      </c>
    </row>
    <row r="20363" spans="2:4">
      <c r="B20363">
        <v>1</v>
      </c>
      <c r="C20363">
        <v>102</v>
      </c>
      <c r="D20363">
        <v>1</v>
      </c>
    </row>
    <row r="20368" spans="2:4">
      <c r="B20368">
        <v>1</v>
      </c>
      <c r="C20368">
        <v>102</v>
      </c>
      <c r="D20368">
        <v>1</v>
      </c>
    </row>
    <row r="20369" spans="2:4">
      <c r="B20369">
        <v>1</v>
      </c>
      <c r="C20369">
        <v>102</v>
      </c>
      <c r="D20369">
        <v>1</v>
      </c>
    </row>
    <row r="20370" spans="2:4">
      <c r="B20370">
        <v>1</v>
      </c>
      <c r="C20370">
        <v>102</v>
      </c>
      <c r="D20370">
        <v>1</v>
      </c>
    </row>
    <row r="20371" spans="2:4">
      <c r="B20371">
        <v>1</v>
      </c>
      <c r="C20371">
        <v>102</v>
      </c>
      <c r="D20371">
        <v>1</v>
      </c>
    </row>
    <row r="20372" spans="2:4">
      <c r="B20372">
        <v>1</v>
      </c>
      <c r="C20372">
        <v>102</v>
      </c>
      <c r="D20372">
        <v>1</v>
      </c>
    </row>
    <row r="20373" spans="2:4">
      <c r="B20373">
        <v>1</v>
      </c>
      <c r="C20373">
        <v>102</v>
      </c>
      <c r="D20373">
        <v>1</v>
      </c>
    </row>
    <row r="20375" spans="2:4">
      <c r="B20375">
        <v>1</v>
      </c>
      <c r="C20375">
        <v>102</v>
      </c>
      <c r="D20375">
        <v>1</v>
      </c>
    </row>
    <row r="20377" spans="2:4">
      <c r="B20377">
        <v>1</v>
      </c>
      <c r="C20377">
        <v>102</v>
      </c>
      <c r="D20377">
        <v>1</v>
      </c>
    </row>
    <row r="20379" spans="2:4">
      <c r="B20379">
        <v>1</v>
      </c>
      <c r="C20379">
        <v>102</v>
      </c>
      <c r="D20379">
        <v>1</v>
      </c>
    </row>
    <row r="20380" spans="2:4">
      <c r="B20380">
        <v>1</v>
      </c>
      <c r="C20380">
        <v>102</v>
      </c>
      <c r="D20380">
        <v>1</v>
      </c>
    </row>
    <row r="20381" spans="2:4">
      <c r="B20381">
        <v>1</v>
      </c>
      <c r="C20381">
        <v>102</v>
      </c>
      <c r="D20381">
        <v>1</v>
      </c>
    </row>
    <row r="20382" spans="2:4">
      <c r="B20382">
        <v>1</v>
      </c>
      <c r="C20382">
        <v>102</v>
      </c>
      <c r="D20382">
        <v>1</v>
      </c>
    </row>
    <row r="20384" spans="2:4">
      <c r="B20384">
        <v>1</v>
      </c>
      <c r="C20384">
        <v>102</v>
      </c>
      <c r="D20384">
        <v>1</v>
      </c>
    </row>
    <row r="20388" spans="2:4">
      <c r="B20388">
        <v>1</v>
      </c>
      <c r="C20388">
        <v>102</v>
      </c>
      <c r="D20388">
        <v>1</v>
      </c>
    </row>
    <row r="20391" spans="2:4">
      <c r="B20391">
        <v>1</v>
      </c>
      <c r="C20391">
        <v>102</v>
      </c>
      <c r="D20391">
        <v>1</v>
      </c>
    </row>
    <row r="20394" spans="2:4">
      <c r="B20394">
        <v>1</v>
      </c>
      <c r="C20394">
        <v>102</v>
      </c>
      <c r="D20394">
        <v>1</v>
      </c>
    </row>
    <row r="20395" spans="2:4">
      <c r="B20395">
        <v>1</v>
      </c>
      <c r="C20395">
        <v>102</v>
      </c>
      <c r="D20395">
        <v>1</v>
      </c>
    </row>
    <row r="20396" spans="2:4">
      <c r="B20396">
        <v>1</v>
      </c>
      <c r="C20396">
        <v>102</v>
      </c>
      <c r="D20396">
        <v>1</v>
      </c>
    </row>
    <row r="20398" spans="2:4">
      <c r="B20398">
        <v>1</v>
      </c>
      <c r="C20398">
        <v>102</v>
      </c>
      <c r="D20398">
        <v>1</v>
      </c>
    </row>
    <row r="20400" spans="2:4">
      <c r="B20400">
        <v>1</v>
      </c>
      <c r="C20400">
        <v>102</v>
      </c>
      <c r="D20400">
        <v>1</v>
      </c>
    </row>
    <row r="20401" spans="2:4">
      <c r="B20401">
        <v>1</v>
      </c>
      <c r="C20401">
        <v>102</v>
      </c>
      <c r="D20401">
        <v>1</v>
      </c>
    </row>
    <row r="20403" spans="2:4">
      <c r="B20403">
        <v>1</v>
      </c>
      <c r="C20403">
        <v>102</v>
      </c>
      <c r="D20403">
        <v>1</v>
      </c>
    </row>
    <row r="20404" spans="2:4">
      <c r="B20404">
        <v>1</v>
      </c>
      <c r="C20404">
        <v>102</v>
      </c>
      <c r="D20404">
        <v>1</v>
      </c>
    </row>
    <row r="20405" spans="2:4">
      <c r="B20405">
        <v>1</v>
      </c>
      <c r="C20405">
        <v>102</v>
      </c>
      <c r="D20405">
        <v>1</v>
      </c>
    </row>
    <row r="20407" spans="2:4">
      <c r="B20407">
        <v>1</v>
      </c>
      <c r="C20407">
        <v>102</v>
      </c>
      <c r="D20407">
        <v>1</v>
      </c>
    </row>
    <row r="20408" spans="2:4">
      <c r="B20408">
        <v>1</v>
      </c>
      <c r="C20408">
        <v>102</v>
      </c>
      <c r="D20408">
        <v>1</v>
      </c>
    </row>
    <row r="20409" spans="2:4">
      <c r="B20409">
        <v>1</v>
      </c>
      <c r="C20409">
        <v>102</v>
      </c>
      <c r="D20409">
        <v>1</v>
      </c>
    </row>
    <row r="20413" spans="2:4">
      <c r="B20413">
        <v>1</v>
      </c>
      <c r="C20413">
        <v>102</v>
      </c>
      <c r="D20413">
        <v>1</v>
      </c>
    </row>
    <row r="20417" spans="2:4">
      <c r="B20417">
        <v>1</v>
      </c>
      <c r="C20417">
        <v>102</v>
      </c>
      <c r="D20417">
        <v>1</v>
      </c>
    </row>
    <row r="20418" spans="2:4">
      <c r="B20418">
        <v>1</v>
      </c>
      <c r="C20418">
        <v>102</v>
      </c>
      <c r="D20418">
        <v>1</v>
      </c>
    </row>
    <row r="20422" spans="2:4">
      <c r="B20422">
        <v>1</v>
      </c>
      <c r="C20422">
        <v>102</v>
      </c>
      <c r="D20422">
        <v>1</v>
      </c>
    </row>
    <row r="20423" spans="2:4">
      <c r="B20423">
        <v>1</v>
      </c>
      <c r="C20423">
        <v>102</v>
      </c>
      <c r="D20423">
        <v>1</v>
      </c>
    </row>
    <row r="20424" spans="2:4">
      <c r="B20424">
        <v>1</v>
      </c>
      <c r="C20424">
        <v>102</v>
      </c>
      <c r="D20424">
        <v>1</v>
      </c>
    </row>
    <row r="20426" spans="2:4">
      <c r="B20426">
        <v>1</v>
      </c>
      <c r="C20426">
        <v>102</v>
      </c>
      <c r="D20426">
        <v>1</v>
      </c>
    </row>
    <row r="20427" spans="2:4">
      <c r="B20427">
        <v>1</v>
      </c>
      <c r="C20427">
        <v>102</v>
      </c>
      <c r="D20427">
        <v>1</v>
      </c>
    </row>
    <row r="20429" spans="2:4">
      <c r="B20429">
        <v>1</v>
      </c>
      <c r="C20429">
        <v>102</v>
      </c>
      <c r="D20429">
        <v>1</v>
      </c>
    </row>
    <row r="20430" spans="2:4">
      <c r="B20430">
        <v>1</v>
      </c>
      <c r="C20430">
        <v>102</v>
      </c>
      <c r="D20430">
        <v>1</v>
      </c>
    </row>
    <row r="20438" spans="2:4">
      <c r="B20438">
        <v>1</v>
      </c>
      <c r="C20438">
        <v>102</v>
      </c>
      <c r="D20438">
        <v>1</v>
      </c>
    </row>
    <row r="20441" spans="2:4">
      <c r="B20441">
        <v>1</v>
      </c>
      <c r="C20441">
        <v>102</v>
      </c>
      <c r="D20441">
        <v>1</v>
      </c>
    </row>
    <row r="20442" spans="2:4">
      <c r="B20442">
        <v>1</v>
      </c>
      <c r="C20442">
        <v>102</v>
      </c>
      <c r="D20442">
        <v>1</v>
      </c>
    </row>
    <row r="20448" spans="2:4">
      <c r="B20448">
        <v>1</v>
      </c>
      <c r="C20448">
        <v>102</v>
      </c>
      <c r="D20448">
        <v>1</v>
      </c>
    </row>
    <row r="20449" spans="2:4">
      <c r="B20449">
        <v>1</v>
      </c>
      <c r="C20449">
        <v>102</v>
      </c>
      <c r="D20449">
        <v>1</v>
      </c>
    </row>
    <row r="20461" spans="2:4">
      <c r="B20461">
        <v>1</v>
      </c>
      <c r="C20461">
        <v>102</v>
      </c>
      <c r="D20461">
        <v>1</v>
      </c>
    </row>
    <row r="20463" spans="2:4">
      <c r="B20463">
        <v>1</v>
      </c>
      <c r="C20463">
        <v>102</v>
      </c>
      <c r="D20463">
        <v>1</v>
      </c>
    </row>
    <row r="20464" spans="2:4">
      <c r="B20464">
        <v>1</v>
      </c>
      <c r="C20464">
        <v>102</v>
      </c>
      <c r="D20464">
        <v>1</v>
      </c>
    </row>
    <row r="20466" spans="2:4">
      <c r="B20466">
        <v>1</v>
      </c>
      <c r="C20466">
        <v>102</v>
      </c>
      <c r="D20466">
        <v>1</v>
      </c>
    </row>
    <row r="20468" spans="2:4">
      <c r="B20468">
        <v>1</v>
      </c>
      <c r="C20468">
        <v>102</v>
      </c>
      <c r="D20468">
        <v>1</v>
      </c>
    </row>
    <row r="20476" spans="2:4">
      <c r="B20476">
        <v>1</v>
      </c>
      <c r="C20476">
        <v>102</v>
      </c>
      <c r="D20476">
        <v>1</v>
      </c>
    </row>
    <row r="20478" spans="2:4">
      <c r="B20478">
        <v>1</v>
      </c>
      <c r="C20478">
        <v>102</v>
      </c>
      <c r="D20478">
        <v>1</v>
      </c>
    </row>
    <row r="20481" spans="2:4">
      <c r="B20481">
        <v>1</v>
      </c>
      <c r="C20481">
        <v>102</v>
      </c>
      <c r="D20481">
        <v>1</v>
      </c>
    </row>
    <row r="20484" spans="2:4">
      <c r="B20484">
        <v>1</v>
      </c>
      <c r="C20484">
        <v>102</v>
      </c>
      <c r="D20484">
        <v>1</v>
      </c>
    </row>
    <row r="20486" spans="2:4">
      <c r="B20486">
        <v>1</v>
      </c>
      <c r="C20486">
        <v>102</v>
      </c>
      <c r="D20486">
        <v>1</v>
      </c>
    </row>
    <row r="20489" spans="2:4">
      <c r="B20489">
        <v>1</v>
      </c>
      <c r="C20489">
        <v>102</v>
      </c>
      <c r="D20489">
        <v>1</v>
      </c>
    </row>
    <row r="20490" spans="2:4">
      <c r="B20490">
        <v>1</v>
      </c>
      <c r="C20490">
        <v>102</v>
      </c>
      <c r="D20490">
        <v>1</v>
      </c>
    </row>
    <row r="20492" spans="2:4">
      <c r="B20492">
        <v>1</v>
      </c>
      <c r="C20492">
        <v>102</v>
      </c>
      <c r="D20492">
        <v>1</v>
      </c>
    </row>
    <row r="20493" spans="2:4">
      <c r="B20493">
        <v>1</v>
      </c>
      <c r="C20493">
        <v>102</v>
      </c>
      <c r="D20493">
        <v>1</v>
      </c>
    </row>
    <row r="20494" spans="2:4">
      <c r="B20494">
        <v>1</v>
      </c>
      <c r="C20494">
        <v>102</v>
      </c>
      <c r="D20494">
        <v>1</v>
      </c>
    </row>
    <row r="20495" spans="2:4">
      <c r="B20495">
        <v>1</v>
      </c>
      <c r="C20495">
        <v>102</v>
      </c>
      <c r="D20495">
        <v>1</v>
      </c>
    </row>
    <row r="20504" spans="2:4">
      <c r="B20504">
        <v>1</v>
      </c>
      <c r="C20504">
        <v>102</v>
      </c>
      <c r="D20504">
        <v>1</v>
      </c>
    </row>
    <row r="20511" spans="2:4">
      <c r="B20511">
        <v>1</v>
      </c>
      <c r="C20511">
        <v>102</v>
      </c>
      <c r="D20511">
        <v>1</v>
      </c>
    </row>
    <row r="20514" spans="2:4">
      <c r="B20514">
        <v>1</v>
      </c>
      <c r="C20514">
        <v>102</v>
      </c>
      <c r="D20514">
        <v>1</v>
      </c>
    </row>
    <row r="20517" spans="2:4">
      <c r="B20517">
        <v>1</v>
      </c>
      <c r="C20517">
        <v>102</v>
      </c>
      <c r="D20517">
        <v>1</v>
      </c>
    </row>
    <row r="20520" spans="2:4">
      <c r="B20520">
        <v>1</v>
      </c>
      <c r="C20520">
        <v>102</v>
      </c>
      <c r="D20520">
        <v>1</v>
      </c>
    </row>
    <row r="20521" spans="2:4">
      <c r="B20521">
        <v>1</v>
      </c>
      <c r="C20521">
        <v>102</v>
      </c>
      <c r="D20521">
        <v>1</v>
      </c>
    </row>
    <row r="20527" spans="2:4">
      <c r="B20527">
        <v>1</v>
      </c>
      <c r="C20527">
        <v>102</v>
      </c>
      <c r="D20527">
        <v>1</v>
      </c>
    </row>
    <row r="20530" spans="2:4">
      <c r="B20530">
        <v>1</v>
      </c>
      <c r="C20530">
        <v>102</v>
      </c>
      <c r="D20530">
        <v>1</v>
      </c>
    </row>
    <row r="20534" spans="2:4">
      <c r="B20534">
        <v>1</v>
      </c>
      <c r="C20534">
        <v>102</v>
      </c>
      <c r="D20534">
        <v>1</v>
      </c>
    </row>
    <row r="20538" spans="2:4">
      <c r="B20538">
        <v>1</v>
      </c>
      <c r="C20538">
        <v>102</v>
      </c>
      <c r="D20538">
        <v>1</v>
      </c>
    </row>
    <row r="20540" spans="2:4">
      <c r="B20540">
        <v>1</v>
      </c>
      <c r="C20540">
        <v>102</v>
      </c>
      <c r="D20540">
        <v>1</v>
      </c>
    </row>
    <row r="20542" spans="2:4">
      <c r="B20542">
        <v>1</v>
      </c>
      <c r="C20542">
        <v>102</v>
      </c>
      <c r="D20542">
        <v>1</v>
      </c>
    </row>
    <row r="20543" spans="2:4">
      <c r="B20543">
        <v>1</v>
      </c>
      <c r="C20543">
        <v>102</v>
      </c>
      <c r="D20543">
        <v>1</v>
      </c>
    </row>
    <row r="20544" spans="2:4">
      <c r="B20544">
        <v>1</v>
      </c>
      <c r="C20544">
        <v>102</v>
      </c>
      <c r="D20544">
        <v>1</v>
      </c>
    </row>
    <row r="20547" spans="2:4">
      <c r="B20547">
        <v>1</v>
      </c>
      <c r="C20547">
        <v>102</v>
      </c>
      <c r="D20547">
        <v>1</v>
      </c>
    </row>
    <row r="20548" spans="2:4">
      <c r="B20548">
        <v>1</v>
      </c>
      <c r="C20548">
        <v>102</v>
      </c>
      <c r="D20548">
        <v>1</v>
      </c>
    </row>
    <row r="20549" spans="2:4">
      <c r="B20549">
        <v>1</v>
      </c>
      <c r="C20549">
        <v>102</v>
      </c>
      <c r="D20549">
        <v>1</v>
      </c>
    </row>
    <row r="20553" spans="2:4">
      <c r="B20553">
        <v>1</v>
      </c>
      <c r="C20553">
        <v>102</v>
      </c>
      <c r="D20553">
        <v>1</v>
      </c>
    </row>
    <row r="20556" spans="2:4">
      <c r="B20556">
        <v>1</v>
      </c>
      <c r="C20556">
        <v>102</v>
      </c>
      <c r="D20556">
        <v>1</v>
      </c>
    </row>
    <row r="20560" spans="2:4">
      <c r="B20560">
        <v>1</v>
      </c>
      <c r="C20560">
        <v>102</v>
      </c>
      <c r="D20560">
        <v>1</v>
      </c>
    </row>
    <row r="20564" spans="2:4">
      <c r="B20564">
        <v>1</v>
      </c>
      <c r="C20564">
        <v>102</v>
      </c>
      <c r="D20564">
        <v>1</v>
      </c>
    </row>
    <row r="20567" spans="2:4">
      <c r="B20567">
        <v>1</v>
      </c>
      <c r="C20567">
        <v>102</v>
      </c>
      <c r="D20567">
        <v>1</v>
      </c>
    </row>
    <row r="20568" spans="2:4">
      <c r="B20568">
        <v>1</v>
      </c>
      <c r="C20568">
        <v>102</v>
      </c>
      <c r="D20568">
        <v>1</v>
      </c>
    </row>
    <row r="20571" spans="2:4">
      <c r="B20571">
        <v>1</v>
      </c>
      <c r="C20571">
        <v>102</v>
      </c>
      <c r="D20571">
        <v>1</v>
      </c>
    </row>
    <row r="20573" spans="2:4">
      <c r="B20573">
        <v>1</v>
      </c>
      <c r="C20573">
        <v>102</v>
      </c>
      <c r="D20573">
        <v>1</v>
      </c>
    </row>
    <row r="20575" spans="2:4">
      <c r="B20575">
        <v>1</v>
      </c>
      <c r="C20575">
        <v>102</v>
      </c>
      <c r="D20575">
        <v>1</v>
      </c>
    </row>
    <row r="20579" spans="2:4">
      <c r="B20579">
        <v>1</v>
      </c>
      <c r="C20579">
        <v>102</v>
      </c>
      <c r="D20579">
        <v>1</v>
      </c>
    </row>
    <row r="20581" spans="2:4">
      <c r="B20581">
        <v>1</v>
      </c>
      <c r="C20581">
        <v>102</v>
      </c>
      <c r="D20581">
        <v>1</v>
      </c>
    </row>
    <row r="20582" spans="2:4">
      <c r="B20582">
        <v>1</v>
      </c>
      <c r="C20582">
        <v>102</v>
      </c>
      <c r="D20582">
        <v>1</v>
      </c>
    </row>
    <row r="20584" spans="2:4">
      <c r="B20584">
        <v>1</v>
      </c>
      <c r="C20584">
        <v>102</v>
      </c>
      <c r="D20584">
        <v>1</v>
      </c>
    </row>
    <row r="20585" spans="2:4">
      <c r="B20585">
        <v>1</v>
      </c>
      <c r="C20585">
        <v>102</v>
      </c>
      <c r="D20585">
        <v>1</v>
      </c>
    </row>
    <row r="20586" spans="2:4">
      <c r="B20586">
        <v>1</v>
      </c>
      <c r="C20586">
        <v>102</v>
      </c>
      <c r="D20586">
        <v>1</v>
      </c>
    </row>
    <row r="20587" spans="2:4">
      <c r="B20587">
        <v>1</v>
      </c>
      <c r="C20587">
        <v>102</v>
      </c>
      <c r="D20587">
        <v>1</v>
      </c>
    </row>
    <row r="20590" spans="2:4">
      <c r="B20590">
        <v>1</v>
      </c>
      <c r="C20590">
        <v>102</v>
      </c>
      <c r="D20590">
        <v>1</v>
      </c>
    </row>
    <row r="20593" spans="2:4">
      <c r="B20593">
        <v>1</v>
      </c>
      <c r="C20593">
        <v>102</v>
      </c>
      <c r="D20593">
        <v>1</v>
      </c>
    </row>
    <row r="20595" spans="2:4">
      <c r="B20595">
        <v>1</v>
      </c>
      <c r="C20595">
        <v>102</v>
      </c>
      <c r="D20595">
        <v>1</v>
      </c>
    </row>
    <row r="20597" spans="2:4">
      <c r="B20597">
        <v>1</v>
      </c>
      <c r="C20597">
        <v>102</v>
      </c>
      <c r="D20597">
        <v>1</v>
      </c>
    </row>
    <row r="20598" spans="2:4">
      <c r="B20598">
        <v>1</v>
      </c>
      <c r="C20598">
        <v>102</v>
      </c>
      <c r="D20598">
        <v>1</v>
      </c>
    </row>
    <row r="20599" spans="2:4">
      <c r="B20599">
        <v>1</v>
      </c>
      <c r="C20599">
        <v>102</v>
      </c>
      <c r="D20599">
        <v>1</v>
      </c>
    </row>
    <row r="20602" spans="2:4">
      <c r="B20602">
        <v>1</v>
      </c>
      <c r="C20602">
        <v>102</v>
      </c>
      <c r="D20602">
        <v>1</v>
      </c>
    </row>
    <row r="20603" spans="2:4">
      <c r="B20603">
        <v>1</v>
      </c>
      <c r="C20603">
        <v>102</v>
      </c>
      <c r="D20603">
        <v>1</v>
      </c>
    </row>
    <row r="20605" spans="2:4">
      <c r="B20605">
        <v>1</v>
      </c>
      <c r="C20605">
        <v>102</v>
      </c>
      <c r="D20605">
        <v>1</v>
      </c>
    </row>
    <row r="20610" spans="2:4">
      <c r="B20610">
        <v>1</v>
      </c>
      <c r="C20610">
        <v>102</v>
      </c>
      <c r="D20610">
        <v>1</v>
      </c>
    </row>
    <row r="20611" spans="2:4">
      <c r="B20611">
        <v>1</v>
      </c>
      <c r="C20611">
        <v>102</v>
      </c>
      <c r="D20611">
        <v>1</v>
      </c>
    </row>
    <row r="20615" spans="2:4">
      <c r="B20615">
        <v>1</v>
      </c>
      <c r="C20615">
        <v>102</v>
      </c>
      <c r="D20615">
        <v>1</v>
      </c>
    </row>
    <row r="20619" spans="2:4">
      <c r="B20619">
        <v>1</v>
      </c>
      <c r="C20619">
        <v>102</v>
      </c>
      <c r="D20619">
        <v>1</v>
      </c>
    </row>
    <row r="20624" spans="2:4">
      <c r="B20624">
        <v>1</v>
      </c>
      <c r="C20624">
        <v>102</v>
      </c>
      <c r="D20624">
        <v>1</v>
      </c>
    </row>
    <row r="20625" spans="2:4">
      <c r="B20625">
        <v>1</v>
      </c>
      <c r="C20625">
        <v>102</v>
      </c>
      <c r="D20625">
        <v>1</v>
      </c>
    </row>
    <row r="20626" spans="2:4">
      <c r="B20626">
        <v>1</v>
      </c>
      <c r="C20626">
        <v>102</v>
      </c>
      <c r="D20626">
        <v>1</v>
      </c>
    </row>
    <row r="20627" spans="2:4">
      <c r="B20627">
        <v>1</v>
      </c>
      <c r="C20627">
        <v>102</v>
      </c>
      <c r="D20627">
        <v>1</v>
      </c>
    </row>
    <row r="20628" spans="2:4">
      <c r="B20628">
        <v>1</v>
      </c>
      <c r="C20628">
        <v>102</v>
      </c>
      <c r="D20628">
        <v>1</v>
      </c>
    </row>
    <row r="20629" spans="2:4">
      <c r="B20629">
        <v>1</v>
      </c>
      <c r="C20629">
        <v>102</v>
      </c>
      <c r="D20629">
        <v>1</v>
      </c>
    </row>
    <row r="20631" spans="2:4">
      <c r="B20631">
        <v>1</v>
      </c>
      <c r="C20631">
        <v>102</v>
      </c>
      <c r="D20631">
        <v>1</v>
      </c>
    </row>
    <row r="20633" spans="2:4">
      <c r="B20633">
        <v>1</v>
      </c>
      <c r="C20633">
        <v>102</v>
      </c>
      <c r="D20633">
        <v>1</v>
      </c>
    </row>
    <row r="20635" spans="2:4">
      <c r="B20635">
        <v>1</v>
      </c>
      <c r="C20635">
        <v>102</v>
      </c>
      <c r="D20635">
        <v>1</v>
      </c>
    </row>
    <row r="20636" spans="2:4">
      <c r="B20636">
        <v>1</v>
      </c>
      <c r="C20636">
        <v>102</v>
      </c>
      <c r="D20636">
        <v>1</v>
      </c>
    </row>
    <row r="20637" spans="2:4">
      <c r="B20637">
        <v>1</v>
      </c>
      <c r="C20637">
        <v>102</v>
      </c>
      <c r="D20637">
        <v>1</v>
      </c>
    </row>
    <row r="20638" spans="2:4">
      <c r="B20638">
        <v>1</v>
      </c>
      <c r="C20638">
        <v>102</v>
      </c>
      <c r="D20638">
        <v>1</v>
      </c>
    </row>
    <row r="20640" spans="2:4">
      <c r="B20640">
        <v>1</v>
      </c>
      <c r="C20640">
        <v>102</v>
      </c>
      <c r="D20640">
        <v>1</v>
      </c>
    </row>
    <row r="20644" spans="2:4">
      <c r="B20644">
        <v>1</v>
      </c>
      <c r="C20644">
        <v>102</v>
      </c>
      <c r="D20644">
        <v>1</v>
      </c>
    </row>
    <row r="20647" spans="2:4">
      <c r="B20647">
        <v>1</v>
      </c>
      <c r="C20647">
        <v>102</v>
      </c>
      <c r="D20647">
        <v>1</v>
      </c>
    </row>
    <row r="20650" spans="2:4">
      <c r="B20650">
        <v>1</v>
      </c>
      <c r="C20650">
        <v>102</v>
      </c>
      <c r="D20650">
        <v>1</v>
      </c>
    </row>
    <row r="20651" spans="2:4">
      <c r="B20651">
        <v>1</v>
      </c>
      <c r="C20651">
        <v>102</v>
      </c>
      <c r="D20651">
        <v>1</v>
      </c>
    </row>
    <row r="20652" spans="2:4">
      <c r="B20652">
        <v>1</v>
      </c>
      <c r="C20652">
        <v>102</v>
      </c>
      <c r="D20652">
        <v>1</v>
      </c>
    </row>
    <row r="20654" spans="2:4">
      <c r="B20654">
        <v>1</v>
      </c>
      <c r="C20654">
        <v>102</v>
      </c>
      <c r="D20654">
        <v>1</v>
      </c>
    </row>
    <row r="20656" spans="2:4">
      <c r="B20656">
        <v>1</v>
      </c>
      <c r="C20656">
        <v>102</v>
      </c>
      <c r="D20656">
        <v>1</v>
      </c>
    </row>
    <row r="20657" spans="2:4">
      <c r="B20657">
        <v>1</v>
      </c>
      <c r="C20657">
        <v>102</v>
      </c>
      <c r="D20657">
        <v>1</v>
      </c>
    </row>
    <row r="20659" spans="2:4">
      <c r="B20659">
        <v>1</v>
      </c>
      <c r="C20659">
        <v>102</v>
      </c>
      <c r="D20659">
        <v>1</v>
      </c>
    </row>
    <row r="20660" spans="2:4">
      <c r="B20660">
        <v>1</v>
      </c>
      <c r="C20660">
        <v>102</v>
      </c>
      <c r="D20660">
        <v>1</v>
      </c>
    </row>
    <row r="20661" spans="2:4">
      <c r="B20661">
        <v>1</v>
      </c>
      <c r="C20661">
        <v>102</v>
      </c>
      <c r="D20661">
        <v>1</v>
      </c>
    </row>
    <row r="20663" spans="2:4">
      <c r="B20663">
        <v>1</v>
      </c>
      <c r="C20663">
        <v>102</v>
      </c>
      <c r="D20663">
        <v>1</v>
      </c>
    </row>
    <row r="20664" spans="2:4">
      <c r="B20664">
        <v>1</v>
      </c>
      <c r="C20664">
        <v>102</v>
      </c>
      <c r="D20664">
        <v>1</v>
      </c>
    </row>
    <row r="20665" spans="2:4">
      <c r="B20665">
        <v>1</v>
      </c>
      <c r="C20665">
        <v>102</v>
      </c>
      <c r="D20665">
        <v>1</v>
      </c>
    </row>
    <row r="20669" spans="2:4">
      <c r="B20669">
        <v>1</v>
      </c>
      <c r="C20669">
        <v>102</v>
      </c>
      <c r="D20669">
        <v>1</v>
      </c>
    </row>
    <row r="20673" spans="2:4">
      <c r="B20673">
        <v>1</v>
      </c>
      <c r="C20673">
        <v>102</v>
      </c>
      <c r="D20673">
        <v>1</v>
      </c>
    </row>
    <row r="20674" spans="2:4">
      <c r="B20674">
        <v>1</v>
      </c>
      <c r="C20674">
        <v>102</v>
      </c>
      <c r="D20674">
        <v>1</v>
      </c>
    </row>
    <row r="20678" spans="2:4">
      <c r="B20678">
        <v>1</v>
      </c>
      <c r="C20678">
        <v>102</v>
      </c>
      <c r="D20678">
        <v>1</v>
      </c>
    </row>
    <row r="20679" spans="2:4">
      <c r="B20679">
        <v>1</v>
      </c>
      <c r="C20679">
        <v>102</v>
      </c>
      <c r="D20679">
        <v>1</v>
      </c>
    </row>
    <row r="20680" spans="2:4">
      <c r="B20680">
        <v>1</v>
      </c>
      <c r="C20680">
        <v>102</v>
      </c>
      <c r="D20680">
        <v>1</v>
      </c>
    </row>
    <row r="20682" spans="2:4">
      <c r="B20682">
        <v>1</v>
      </c>
      <c r="C20682">
        <v>102</v>
      </c>
      <c r="D20682">
        <v>1</v>
      </c>
    </row>
    <row r="20683" spans="2:4">
      <c r="B20683">
        <v>1</v>
      </c>
      <c r="C20683">
        <v>102</v>
      </c>
      <c r="D20683">
        <v>1</v>
      </c>
    </row>
    <row r="20685" spans="2:4">
      <c r="B20685">
        <v>1</v>
      </c>
      <c r="C20685">
        <v>102</v>
      </c>
      <c r="D20685">
        <v>1</v>
      </c>
    </row>
    <row r="20686" spans="2:4">
      <c r="B20686">
        <v>1</v>
      </c>
      <c r="C20686">
        <v>102</v>
      </c>
      <c r="D20686">
        <v>1</v>
      </c>
    </row>
    <row r="20694" spans="2:4">
      <c r="B20694">
        <v>1</v>
      </c>
      <c r="C20694">
        <v>102</v>
      </c>
      <c r="D20694">
        <v>1</v>
      </c>
    </row>
    <row r="20697" spans="2:4">
      <c r="B20697">
        <v>1</v>
      </c>
      <c r="C20697">
        <v>102</v>
      </c>
      <c r="D20697">
        <v>1</v>
      </c>
    </row>
    <row r="20698" spans="2:4">
      <c r="B20698">
        <v>1</v>
      </c>
      <c r="C20698">
        <v>102</v>
      </c>
      <c r="D20698">
        <v>1</v>
      </c>
    </row>
    <row r="20704" spans="2:4">
      <c r="B20704">
        <v>1</v>
      </c>
      <c r="C20704">
        <v>102</v>
      </c>
      <c r="D20704">
        <v>1</v>
      </c>
    </row>
    <row r="20705" spans="2:4">
      <c r="B20705">
        <v>1</v>
      </c>
      <c r="C20705">
        <v>102</v>
      </c>
      <c r="D20705">
        <v>1</v>
      </c>
    </row>
    <row r="20717" spans="2:4">
      <c r="B20717">
        <v>1</v>
      </c>
      <c r="C20717">
        <v>102</v>
      </c>
      <c r="D20717">
        <v>1</v>
      </c>
    </row>
    <row r="20719" spans="2:4">
      <c r="B20719">
        <v>1</v>
      </c>
      <c r="C20719">
        <v>102</v>
      </c>
      <c r="D20719">
        <v>1</v>
      </c>
    </row>
    <row r="20720" spans="2:4">
      <c r="B20720">
        <v>1</v>
      </c>
      <c r="C20720">
        <v>102</v>
      </c>
      <c r="D20720">
        <v>1</v>
      </c>
    </row>
    <row r="20722" spans="2:4">
      <c r="B20722">
        <v>1</v>
      </c>
      <c r="C20722">
        <v>102</v>
      </c>
      <c r="D20722">
        <v>1</v>
      </c>
    </row>
    <row r="20724" spans="2:4">
      <c r="B20724">
        <v>1</v>
      </c>
      <c r="C20724">
        <v>102</v>
      </c>
      <c r="D20724">
        <v>1</v>
      </c>
    </row>
    <row r="20732" spans="2:4">
      <c r="B20732">
        <v>1</v>
      </c>
      <c r="C20732">
        <v>102</v>
      </c>
      <c r="D20732">
        <v>1</v>
      </c>
    </row>
    <row r="20734" spans="2:4">
      <c r="B20734">
        <v>1</v>
      </c>
      <c r="C20734">
        <v>102</v>
      </c>
      <c r="D20734">
        <v>1</v>
      </c>
    </row>
    <row r="20737" spans="2:4">
      <c r="B20737">
        <v>1</v>
      </c>
      <c r="C20737">
        <v>102</v>
      </c>
      <c r="D20737">
        <v>1</v>
      </c>
    </row>
    <row r="20740" spans="2:4">
      <c r="B20740">
        <v>1</v>
      </c>
      <c r="C20740">
        <v>102</v>
      </c>
      <c r="D20740">
        <v>1</v>
      </c>
    </row>
    <row r="20742" spans="2:4">
      <c r="B20742">
        <v>1</v>
      </c>
      <c r="C20742">
        <v>102</v>
      </c>
      <c r="D20742">
        <v>1</v>
      </c>
    </row>
    <row r="20745" spans="2:4">
      <c r="B20745">
        <v>1</v>
      </c>
      <c r="C20745">
        <v>102</v>
      </c>
      <c r="D20745">
        <v>1</v>
      </c>
    </row>
    <row r="20746" spans="2:4">
      <c r="B20746">
        <v>1</v>
      </c>
      <c r="C20746">
        <v>102</v>
      </c>
      <c r="D20746">
        <v>1</v>
      </c>
    </row>
    <row r="20748" spans="2:4">
      <c r="B20748">
        <v>1</v>
      </c>
      <c r="C20748">
        <v>102</v>
      </c>
      <c r="D20748">
        <v>1</v>
      </c>
    </row>
    <row r="20749" spans="2:4">
      <c r="B20749">
        <v>1</v>
      </c>
      <c r="C20749">
        <v>102</v>
      </c>
      <c r="D20749">
        <v>1</v>
      </c>
    </row>
    <row r="20750" spans="2:4">
      <c r="B20750">
        <v>1</v>
      </c>
      <c r="C20750">
        <v>102</v>
      </c>
      <c r="D20750">
        <v>1</v>
      </c>
    </row>
    <row r="20751" spans="2:4">
      <c r="B20751">
        <v>1</v>
      </c>
      <c r="C20751">
        <v>102</v>
      </c>
      <c r="D20751">
        <v>1</v>
      </c>
    </row>
    <row r="20760" spans="2:4">
      <c r="B20760">
        <v>1</v>
      </c>
      <c r="C20760">
        <v>102</v>
      </c>
      <c r="D20760">
        <v>1</v>
      </c>
    </row>
    <row r="20767" spans="2:4">
      <c r="B20767">
        <v>1</v>
      </c>
      <c r="C20767">
        <v>102</v>
      </c>
      <c r="D20767">
        <v>1</v>
      </c>
    </row>
    <row r="20770" spans="2:4">
      <c r="B20770">
        <v>1</v>
      </c>
      <c r="C20770">
        <v>102</v>
      </c>
      <c r="D20770">
        <v>1</v>
      </c>
    </row>
    <row r="20773" spans="2:4">
      <c r="B20773">
        <v>1</v>
      </c>
      <c r="C20773">
        <v>102</v>
      </c>
      <c r="D20773">
        <v>1</v>
      </c>
    </row>
    <row r="20776" spans="2:4">
      <c r="B20776">
        <v>1</v>
      </c>
      <c r="C20776">
        <v>102</v>
      </c>
      <c r="D20776">
        <v>1</v>
      </c>
    </row>
    <row r="20777" spans="2:4">
      <c r="B20777">
        <v>1</v>
      </c>
      <c r="C20777">
        <v>102</v>
      </c>
      <c r="D20777">
        <v>1</v>
      </c>
    </row>
    <row r="20783" spans="2:4">
      <c r="B20783">
        <v>1</v>
      </c>
      <c r="C20783">
        <v>102</v>
      </c>
      <c r="D20783">
        <v>1</v>
      </c>
    </row>
    <row r="20786" spans="2:4">
      <c r="B20786">
        <v>1</v>
      </c>
      <c r="C20786">
        <v>102</v>
      </c>
      <c r="D20786">
        <v>1</v>
      </c>
    </row>
    <row r="20790" spans="2:4">
      <c r="B20790">
        <v>1</v>
      </c>
      <c r="C20790">
        <v>102</v>
      </c>
      <c r="D20790">
        <v>1</v>
      </c>
    </row>
    <row r="20794" spans="2:4">
      <c r="B20794">
        <v>1</v>
      </c>
      <c r="C20794">
        <v>102</v>
      </c>
      <c r="D20794">
        <v>1</v>
      </c>
    </row>
    <row r="20796" spans="2:4">
      <c r="B20796">
        <v>1</v>
      </c>
      <c r="C20796">
        <v>102</v>
      </c>
      <c r="D20796">
        <v>1</v>
      </c>
    </row>
    <row r="20798" spans="2:4">
      <c r="B20798">
        <v>1</v>
      </c>
      <c r="C20798">
        <v>102</v>
      </c>
      <c r="D20798">
        <v>1</v>
      </c>
    </row>
    <row r="20799" spans="2:4">
      <c r="B20799">
        <v>1</v>
      </c>
      <c r="C20799">
        <v>102</v>
      </c>
      <c r="D20799">
        <v>1</v>
      </c>
    </row>
    <row r="20800" spans="2:4">
      <c r="B20800">
        <v>1</v>
      </c>
      <c r="C20800">
        <v>102</v>
      </c>
      <c r="D20800">
        <v>1</v>
      </c>
    </row>
    <row r="20803" spans="2:4">
      <c r="B20803">
        <v>1</v>
      </c>
      <c r="C20803">
        <v>102</v>
      </c>
      <c r="D20803">
        <v>1</v>
      </c>
    </row>
    <row r="20804" spans="2:4">
      <c r="B20804">
        <v>1</v>
      </c>
      <c r="C20804">
        <v>102</v>
      </c>
      <c r="D20804">
        <v>1</v>
      </c>
    </row>
    <row r="20805" spans="2:4">
      <c r="B20805">
        <v>1</v>
      </c>
      <c r="C20805">
        <v>102</v>
      </c>
      <c r="D20805">
        <v>1</v>
      </c>
    </row>
    <row r="20809" spans="2:4">
      <c r="B20809">
        <v>1</v>
      </c>
      <c r="C20809">
        <v>102</v>
      </c>
      <c r="D20809">
        <v>1</v>
      </c>
    </row>
    <row r="20812" spans="2:4">
      <c r="B20812">
        <v>1</v>
      </c>
      <c r="C20812">
        <v>102</v>
      </c>
      <c r="D20812">
        <v>1</v>
      </c>
    </row>
    <row r="20816" spans="2:4">
      <c r="B20816">
        <v>1</v>
      </c>
      <c r="C20816">
        <v>102</v>
      </c>
      <c r="D20816">
        <v>1</v>
      </c>
    </row>
    <row r="20820" spans="2:4">
      <c r="B20820">
        <v>1</v>
      </c>
      <c r="C20820">
        <v>102</v>
      </c>
      <c r="D20820">
        <v>1</v>
      </c>
    </row>
    <row r="20823" spans="2:4">
      <c r="B20823">
        <v>1</v>
      </c>
      <c r="C20823">
        <v>102</v>
      </c>
      <c r="D20823">
        <v>1</v>
      </c>
    </row>
    <row r="20824" spans="2:4">
      <c r="B20824">
        <v>1</v>
      </c>
      <c r="C20824">
        <v>102</v>
      </c>
      <c r="D20824">
        <v>1</v>
      </c>
    </row>
    <row r="20827" spans="2:4">
      <c r="B20827">
        <v>1</v>
      </c>
      <c r="C20827">
        <v>102</v>
      </c>
      <c r="D20827">
        <v>1</v>
      </c>
    </row>
    <row r="20829" spans="2:4">
      <c r="B20829">
        <v>1</v>
      </c>
      <c r="C20829">
        <v>102</v>
      </c>
      <c r="D20829">
        <v>1</v>
      </c>
    </row>
    <row r="20831" spans="2:4">
      <c r="B20831">
        <v>1</v>
      </c>
      <c r="C20831">
        <v>102</v>
      </c>
      <c r="D20831">
        <v>1</v>
      </c>
    </row>
    <row r="20835" spans="2:4">
      <c r="B20835">
        <v>1</v>
      </c>
      <c r="C20835">
        <v>102</v>
      </c>
      <c r="D20835">
        <v>1</v>
      </c>
    </row>
    <row r="20837" spans="2:4">
      <c r="B20837">
        <v>1</v>
      </c>
      <c r="C20837">
        <v>102</v>
      </c>
      <c r="D20837">
        <v>1</v>
      </c>
    </row>
    <row r="20838" spans="2:4">
      <c r="B20838">
        <v>1</v>
      </c>
      <c r="C20838">
        <v>102</v>
      </c>
      <c r="D20838">
        <v>1</v>
      </c>
    </row>
    <row r="20840" spans="2:4">
      <c r="B20840">
        <v>1</v>
      </c>
      <c r="C20840">
        <v>102</v>
      </c>
      <c r="D20840">
        <v>1</v>
      </c>
    </row>
    <row r="20841" spans="2:4">
      <c r="B20841">
        <v>1</v>
      </c>
      <c r="C20841">
        <v>102</v>
      </c>
      <c r="D20841">
        <v>1</v>
      </c>
    </row>
    <row r="20842" spans="2:4">
      <c r="B20842">
        <v>1</v>
      </c>
      <c r="C20842">
        <v>102</v>
      </c>
      <c r="D20842">
        <v>1</v>
      </c>
    </row>
    <row r="20843" spans="2:4">
      <c r="B20843">
        <v>1</v>
      </c>
      <c r="C20843">
        <v>102</v>
      </c>
      <c r="D20843">
        <v>1</v>
      </c>
    </row>
    <row r="20846" spans="2:4">
      <c r="B20846">
        <v>1</v>
      </c>
      <c r="C20846">
        <v>102</v>
      </c>
      <c r="D20846">
        <v>1</v>
      </c>
    </row>
    <row r="20849" spans="2:4">
      <c r="B20849">
        <v>1</v>
      </c>
      <c r="C20849">
        <v>102</v>
      </c>
      <c r="D20849">
        <v>1</v>
      </c>
    </row>
    <row r="20851" spans="2:4">
      <c r="B20851">
        <v>1</v>
      </c>
      <c r="C20851">
        <v>102</v>
      </c>
      <c r="D20851">
        <v>1</v>
      </c>
    </row>
    <row r="20853" spans="2:4">
      <c r="B20853">
        <v>1</v>
      </c>
      <c r="C20853">
        <v>102</v>
      </c>
      <c r="D20853">
        <v>1</v>
      </c>
    </row>
    <row r="20854" spans="2:4">
      <c r="B20854">
        <v>1</v>
      </c>
      <c r="C20854">
        <v>102</v>
      </c>
      <c r="D20854">
        <v>1</v>
      </c>
    </row>
    <row r="20855" spans="2:4">
      <c r="B20855">
        <v>1</v>
      </c>
      <c r="C20855">
        <v>102</v>
      </c>
      <c r="D20855">
        <v>1</v>
      </c>
    </row>
    <row r="20858" spans="2:4">
      <c r="B20858">
        <v>1</v>
      </c>
      <c r="C20858">
        <v>102</v>
      </c>
      <c r="D20858">
        <v>1</v>
      </c>
    </row>
    <row r="20859" spans="2:4">
      <c r="B20859">
        <v>1</v>
      </c>
      <c r="C20859">
        <v>102</v>
      </c>
      <c r="D20859">
        <v>1</v>
      </c>
    </row>
    <row r="20861" spans="2:4">
      <c r="B20861">
        <v>1</v>
      </c>
      <c r="C20861">
        <v>102</v>
      </c>
      <c r="D20861">
        <v>1</v>
      </c>
    </row>
    <row r="20866" spans="2:4">
      <c r="B20866">
        <v>1</v>
      </c>
      <c r="C20866">
        <v>102</v>
      </c>
      <c r="D20866">
        <v>1</v>
      </c>
    </row>
    <row r="20867" spans="2:4">
      <c r="B20867">
        <v>1</v>
      </c>
      <c r="C20867">
        <v>102</v>
      </c>
      <c r="D20867">
        <v>1</v>
      </c>
    </row>
    <row r="20871" spans="2:4">
      <c r="B20871">
        <v>1</v>
      </c>
      <c r="C20871">
        <v>102</v>
      </c>
      <c r="D20871">
        <v>1</v>
      </c>
    </row>
    <row r="20875" spans="2:4">
      <c r="B20875">
        <v>1</v>
      </c>
      <c r="C20875">
        <v>102</v>
      </c>
      <c r="D20875">
        <v>1</v>
      </c>
    </row>
    <row r="20880" spans="2:4">
      <c r="B20880">
        <v>1</v>
      </c>
      <c r="C20880">
        <v>102</v>
      </c>
      <c r="D20880">
        <v>1</v>
      </c>
    </row>
    <row r="20881" spans="2:4">
      <c r="B20881">
        <v>1</v>
      </c>
      <c r="C20881">
        <v>102</v>
      </c>
      <c r="D20881">
        <v>1</v>
      </c>
    </row>
    <row r="20882" spans="2:4">
      <c r="B20882">
        <v>1</v>
      </c>
      <c r="C20882">
        <v>102</v>
      </c>
      <c r="D20882">
        <v>1</v>
      </c>
    </row>
    <row r="20883" spans="2:4">
      <c r="B20883">
        <v>1</v>
      </c>
      <c r="C20883">
        <v>102</v>
      </c>
      <c r="D20883">
        <v>1</v>
      </c>
    </row>
    <row r="20884" spans="2:4">
      <c r="B20884">
        <v>1</v>
      </c>
      <c r="C20884">
        <v>102</v>
      </c>
      <c r="D20884">
        <v>1</v>
      </c>
    </row>
    <row r="20885" spans="2:4">
      <c r="B20885">
        <v>1</v>
      </c>
      <c r="C20885">
        <v>102</v>
      </c>
      <c r="D20885">
        <v>1</v>
      </c>
    </row>
    <row r="20887" spans="2:4">
      <c r="B20887">
        <v>1</v>
      </c>
      <c r="C20887">
        <v>102</v>
      </c>
      <c r="D20887">
        <v>1</v>
      </c>
    </row>
    <row r="20889" spans="2:4">
      <c r="B20889">
        <v>1</v>
      </c>
      <c r="C20889">
        <v>102</v>
      </c>
      <c r="D20889">
        <v>1</v>
      </c>
    </row>
    <row r="20891" spans="2:4">
      <c r="B20891">
        <v>1</v>
      </c>
      <c r="C20891">
        <v>102</v>
      </c>
      <c r="D20891">
        <v>1</v>
      </c>
    </row>
    <row r="20892" spans="2:4">
      <c r="B20892">
        <v>1</v>
      </c>
      <c r="C20892">
        <v>102</v>
      </c>
      <c r="D20892">
        <v>1</v>
      </c>
    </row>
    <row r="20893" spans="2:4">
      <c r="B20893">
        <v>1</v>
      </c>
      <c r="C20893">
        <v>102</v>
      </c>
      <c r="D20893">
        <v>1</v>
      </c>
    </row>
    <row r="20894" spans="2:4">
      <c r="B20894">
        <v>1</v>
      </c>
      <c r="C20894">
        <v>102</v>
      </c>
      <c r="D20894">
        <v>1</v>
      </c>
    </row>
    <row r="20896" spans="2:4">
      <c r="B20896">
        <v>1</v>
      </c>
      <c r="C20896">
        <v>102</v>
      </c>
      <c r="D20896">
        <v>1</v>
      </c>
    </row>
    <row r="20900" spans="2:4">
      <c r="B20900">
        <v>1</v>
      </c>
      <c r="C20900">
        <v>102</v>
      </c>
      <c r="D20900">
        <v>1</v>
      </c>
    </row>
    <row r="20903" spans="2:4">
      <c r="B20903">
        <v>1</v>
      </c>
      <c r="C20903">
        <v>102</v>
      </c>
      <c r="D20903">
        <v>1</v>
      </c>
    </row>
    <row r="20906" spans="2:4">
      <c r="B20906">
        <v>1</v>
      </c>
      <c r="C20906">
        <v>102</v>
      </c>
      <c r="D20906">
        <v>1</v>
      </c>
    </row>
    <row r="20907" spans="2:4">
      <c r="B20907">
        <v>1</v>
      </c>
      <c r="C20907">
        <v>102</v>
      </c>
      <c r="D20907">
        <v>1</v>
      </c>
    </row>
    <row r="20908" spans="2:4">
      <c r="B20908">
        <v>1</v>
      </c>
      <c r="C20908">
        <v>102</v>
      </c>
      <c r="D20908">
        <v>1</v>
      </c>
    </row>
    <row r="20910" spans="2:4">
      <c r="B20910">
        <v>1</v>
      </c>
      <c r="C20910">
        <v>102</v>
      </c>
      <c r="D20910">
        <v>1</v>
      </c>
    </row>
    <row r="20912" spans="2:4">
      <c r="B20912">
        <v>1</v>
      </c>
      <c r="C20912">
        <v>102</v>
      </c>
      <c r="D20912">
        <v>1</v>
      </c>
    </row>
    <row r="20913" spans="2:4">
      <c r="B20913">
        <v>1</v>
      </c>
      <c r="C20913">
        <v>102</v>
      </c>
      <c r="D20913">
        <v>1</v>
      </c>
    </row>
    <row r="20915" spans="2:4">
      <c r="B20915">
        <v>1</v>
      </c>
      <c r="C20915">
        <v>102</v>
      </c>
      <c r="D20915">
        <v>1</v>
      </c>
    </row>
    <row r="20916" spans="2:4">
      <c r="B20916">
        <v>1</v>
      </c>
      <c r="C20916">
        <v>102</v>
      </c>
      <c r="D20916">
        <v>1</v>
      </c>
    </row>
    <row r="20917" spans="2:4">
      <c r="B20917">
        <v>1</v>
      </c>
      <c r="C20917">
        <v>102</v>
      </c>
      <c r="D20917">
        <v>1</v>
      </c>
    </row>
    <row r="20919" spans="2:4">
      <c r="B20919">
        <v>1</v>
      </c>
      <c r="C20919">
        <v>102</v>
      </c>
      <c r="D20919">
        <v>1</v>
      </c>
    </row>
    <row r="20920" spans="2:4">
      <c r="B20920">
        <v>1</v>
      </c>
      <c r="C20920">
        <v>102</v>
      </c>
      <c r="D20920">
        <v>1</v>
      </c>
    </row>
    <row r="20921" spans="2:4">
      <c r="B20921">
        <v>1</v>
      </c>
      <c r="C20921">
        <v>102</v>
      </c>
      <c r="D20921">
        <v>1</v>
      </c>
    </row>
    <row r="20925" spans="2:4">
      <c r="B20925">
        <v>1</v>
      </c>
      <c r="C20925">
        <v>102</v>
      </c>
      <c r="D20925">
        <v>1</v>
      </c>
    </row>
    <row r="20929" spans="2:4">
      <c r="B20929">
        <v>1</v>
      </c>
      <c r="C20929">
        <v>102</v>
      </c>
      <c r="D20929">
        <v>1</v>
      </c>
    </row>
    <row r="20930" spans="2:4">
      <c r="B20930">
        <v>1</v>
      </c>
      <c r="C20930">
        <v>102</v>
      </c>
      <c r="D20930">
        <v>1</v>
      </c>
    </row>
    <row r="20934" spans="2:4">
      <c r="B20934">
        <v>1</v>
      </c>
      <c r="C20934">
        <v>102</v>
      </c>
      <c r="D20934">
        <v>1</v>
      </c>
    </row>
    <row r="20935" spans="2:4">
      <c r="B20935">
        <v>1</v>
      </c>
      <c r="C20935">
        <v>102</v>
      </c>
      <c r="D20935">
        <v>1</v>
      </c>
    </row>
    <row r="20936" spans="2:4">
      <c r="B20936">
        <v>1</v>
      </c>
      <c r="C20936">
        <v>102</v>
      </c>
      <c r="D20936">
        <v>1</v>
      </c>
    </row>
    <row r="20938" spans="2:4">
      <c r="B20938">
        <v>1</v>
      </c>
      <c r="C20938">
        <v>102</v>
      </c>
      <c r="D20938">
        <v>1</v>
      </c>
    </row>
    <row r="20939" spans="2:4">
      <c r="B20939">
        <v>1</v>
      </c>
      <c r="C20939">
        <v>102</v>
      </c>
      <c r="D20939">
        <v>1</v>
      </c>
    </row>
    <row r="20941" spans="2:4">
      <c r="B20941">
        <v>1</v>
      </c>
      <c r="C20941">
        <v>102</v>
      </c>
      <c r="D20941">
        <v>1</v>
      </c>
    </row>
    <row r="20942" spans="2:4">
      <c r="B20942">
        <v>1</v>
      </c>
      <c r="C20942">
        <v>102</v>
      </c>
      <c r="D20942">
        <v>1</v>
      </c>
    </row>
    <row r="20950" spans="2:4">
      <c r="B20950">
        <v>1</v>
      </c>
      <c r="C20950">
        <v>102</v>
      </c>
      <c r="D20950">
        <v>1</v>
      </c>
    </row>
    <row r="20953" spans="2:4">
      <c r="B20953">
        <v>1</v>
      </c>
      <c r="C20953">
        <v>102</v>
      </c>
      <c r="D20953">
        <v>1</v>
      </c>
    </row>
    <row r="20954" spans="2:4">
      <c r="B20954">
        <v>1</v>
      </c>
      <c r="C20954">
        <v>102</v>
      </c>
      <c r="D20954">
        <v>1</v>
      </c>
    </row>
    <row r="20960" spans="2:4">
      <c r="B20960">
        <v>1</v>
      </c>
      <c r="C20960">
        <v>102</v>
      </c>
      <c r="D20960">
        <v>1</v>
      </c>
    </row>
    <row r="20961" spans="2:4">
      <c r="B20961">
        <v>1</v>
      </c>
      <c r="C20961">
        <v>102</v>
      </c>
      <c r="D20961">
        <v>1</v>
      </c>
    </row>
    <row r="20973" spans="2:4">
      <c r="B20973">
        <v>1</v>
      </c>
      <c r="C20973">
        <v>102</v>
      </c>
      <c r="D20973">
        <v>1</v>
      </c>
    </row>
    <row r="20975" spans="2:4">
      <c r="B20975">
        <v>1</v>
      </c>
      <c r="C20975">
        <v>102</v>
      </c>
      <c r="D20975">
        <v>1</v>
      </c>
    </row>
    <row r="20976" spans="2:4">
      <c r="B20976">
        <v>1</v>
      </c>
      <c r="C20976">
        <v>102</v>
      </c>
      <c r="D20976">
        <v>1</v>
      </c>
    </row>
    <row r="20978" spans="2:4">
      <c r="B20978">
        <v>1</v>
      </c>
      <c r="C20978">
        <v>102</v>
      </c>
      <c r="D20978">
        <v>1</v>
      </c>
    </row>
    <row r="20980" spans="2:4">
      <c r="B20980">
        <v>1</v>
      </c>
      <c r="C20980">
        <v>102</v>
      </c>
      <c r="D20980">
        <v>1</v>
      </c>
    </row>
    <row r="20988" spans="2:4">
      <c r="B20988">
        <v>1</v>
      </c>
      <c r="C20988">
        <v>102</v>
      </c>
      <c r="D20988">
        <v>1</v>
      </c>
    </row>
    <row r="20990" spans="2:4">
      <c r="B20990">
        <v>1</v>
      </c>
      <c r="C20990">
        <v>102</v>
      </c>
      <c r="D20990">
        <v>1</v>
      </c>
    </row>
    <row r="20993" spans="2:4">
      <c r="B20993">
        <v>1</v>
      </c>
      <c r="C20993">
        <v>102</v>
      </c>
      <c r="D20993">
        <v>1</v>
      </c>
    </row>
    <row r="20996" spans="2:4">
      <c r="B20996">
        <v>1</v>
      </c>
      <c r="C20996">
        <v>102</v>
      </c>
      <c r="D20996">
        <v>1</v>
      </c>
    </row>
    <row r="20998" spans="2:4">
      <c r="B20998">
        <v>1</v>
      </c>
      <c r="C20998">
        <v>102</v>
      </c>
      <c r="D20998">
        <v>1</v>
      </c>
    </row>
    <row r="21001" spans="2:4">
      <c r="B21001">
        <v>1</v>
      </c>
      <c r="C21001">
        <v>102</v>
      </c>
      <c r="D21001">
        <v>1</v>
      </c>
    </row>
    <row r="21002" spans="2:4">
      <c r="B21002">
        <v>1</v>
      </c>
      <c r="C21002">
        <v>102</v>
      </c>
      <c r="D21002">
        <v>1</v>
      </c>
    </row>
    <row r="21004" spans="2:4">
      <c r="B21004">
        <v>1</v>
      </c>
      <c r="C21004">
        <v>102</v>
      </c>
      <c r="D21004">
        <v>1</v>
      </c>
    </row>
    <row r="21005" spans="2:4">
      <c r="B21005">
        <v>1</v>
      </c>
      <c r="C21005">
        <v>102</v>
      </c>
      <c r="D21005">
        <v>1</v>
      </c>
    </row>
    <row r="21006" spans="2:4">
      <c r="B21006">
        <v>1</v>
      </c>
      <c r="C21006">
        <v>102</v>
      </c>
      <c r="D21006">
        <v>1</v>
      </c>
    </row>
    <row r="21007" spans="2:4">
      <c r="B21007">
        <v>1</v>
      </c>
      <c r="C21007">
        <v>102</v>
      </c>
      <c r="D21007">
        <v>1</v>
      </c>
    </row>
    <row r="21016" spans="2:4">
      <c r="B21016">
        <v>1</v>
      </c>
      <c r="C21016">
        <v>102</v>
      </c>
      <c r="D21016">
        <v>1</v>
      </c>
    </row>
    <row r="21023" spans="2:4">
      <c r="B21023">
        <v>1</v>
      </c>
      <c r="C21023">
        <v>102</v>
      </c>
      <c r="D21023">
        <v>1</v>
      </c>
    </row>
    <row r="21026" spans="2:4">
      <c r="B21026">
        <v>1</v>
      </c>
      <c r="C21026">
        <v>102</v>
      </c>
      <c r="D21026">
        <v>1</v>
      </c>
    </row>
    <row r="21029" spans="2:4">
      <c r="B21029">
        <v>1</v>
      </c>
      <c r="C21029">
        <v>102</v>
      </c>
      <c r="D21029">
        <v>1</v>
      </c>
    </row>
    <row r="21032" spans="2:4">
      <c r="B21032">
        <v>1</v>
      </c>
      <c r="C21032">
        <v>102</v>
      </c>
      <c r="D21032">
        <v>1</v>
      </c>
    </row>
    <row r="21033" spans="2:4">
      <c r="B21033">
        <v>1</v>
      </c>
      <c r="C21033">
        <v>102</v>
      </c>
      <c r="D21033">
        <v>1</v>
      </c>
    </row>
    <row r="21039" spans="2:4">
      <c r="B21039">
        <v>1</v>
      </c>
      <c r="C21039">
        <v>102</v>
      </c>
      <c r="D21039">
        <v>1</v>
      </c>
    </row>
    <row r="21042" spans="2:4">
      <c r="B21042">
        <v>1</v>
      </c>
      <c r="C21042">
        <v>102</v>
      </c>
      <c r="D21042">
        <v>1</v>
      </c>
    </row>
    <row r="21046" spans="2:4">
      <c r="B21046">
        <v>1</v>
      </c>
      <c r="C21046">
        <v>102</v>
      </c>
      <c r="D21046">
        <v>1</v>
      </c>
    </row>
    <row r="21050" spans="2:4">
      <c r="B21050">
        <v>1</v>
      </c>
      <c r="C21050">
        <v>102</v>
      </c>
      <c r="D21050">
        <v>1</v>
      </c>
    </row>
    <row r="21052" spans="2:4">
      <c r="B21052">
        <v>1</v>
      </c>
      <c r="C21052">
        <v>102</v>
      </c>
      <c r="D21052">
        <v>1</v>
      </c>
    </row>
    <row r="21054" spans="2:4">
      <c r="B21054">
        <v>1</v>
      </c>
      <c r="C21054">
        <v>102</v>
      </c>
      <c r="D21054">
        <v>1</v>
      </c>
    </row>
    <row r="21055" spans="2:4">
      <c r="B21055">
        <v>1</v>
      </c>
      <c r="C21055">
        <v>102</v>
      </c>
      <c r="D21055">
        <v>1</v>
      </c>
    </row>
    <row r="21056" spans="2:4">
      <c r="B21056">
        <v>1</v>
      </c>
      <c r="C21056">
        <v>102</v>
      </c>
      <c r="D21056">
        <v>1</v>
      </c>
    </row>
    <row r="21059" spans="2:4">
      <c r="B21059">
        <v>1</v>
      </c>
      <c r="C21059">
        <v>102</v>
      </c>
      <c r="D21059">
        <v>1</v>
      </c>
    </row>
    <row r="21060" spans="2:4">
      <c r="B21060">
        <v>1</v>
      </c>
      <c r="C21060">
        <v>102</v>
      </c>
      <c r="D21060">
        <v>1</v>
      </c>
    </row>
    <row r="21061" spans="2:4">
      <c r="B21061">
        <v>1</v>
      </c>
      <c r="C21061">
        <v>102</v>
      </c>
      <c r="D21061">
        <v>1</v>
      </c>
    </row>
    <row r="21065" spans="2:4">
      <c r="B21065">
        <v>1</v>
      </c>
      <c r="C21065">
        <v>102</v>
      </c>
      <c r="D21065">
        <v>1</v>
      </c>
    </row>
    <row r="21068" spans="2:4">
      <c r="B21068">
        <v>1</v>
      </c>
      <c r="C21068">
        <v>102</v>
      </c>
      <c r="D21068">
        <v>1</v>
      </c>
    </row>
    <row r="21072" spans="2:4">
      <c r="B21072">
        <v>1</v>
      </c>
      <c r="C21072">
        <v>102</v>
      </c>
      <c r="D21072">
        <v>1</v>
      </c>
    </row>
    <row r="21076" spans="2:4">
      <c r="B21076">
        <v>1</v>
      </c>
      <c r="C21076">
        <v>102</v>
      </c>
      <c r="D21076">
        <v>1</v>
      </c>
    </row>
    <row r="21079" spans="2:4">
      <c r="B21079">
        <v>1</v>
      </c>
      <c r="C21079">
        <v>102</v>
      </c>
      <c r="D21079">
        <v>1</v>
      </c>
    </row>
    <row r="21080" spans="2:4">
      <c r="B21080">
        <v>1</v>
      </c>
      <c r="C21080">
        <v>102</v>
      </c>
      <c r="D21080">
        <v>1</v>
      </c>
    </row>
    <row r="21083" spans="2:4">
      <c r="B21083">
        <v>1</v>
      </c>
      <c r="C21083">
        <v>102</v>
      </c>
      <c r="D21083">
        <v>1</v>
      </c>
    </row>
    <row r="21085" spans="2:4">
      <c r="B21085">
        <v>1</v>
      </c>
      <c r="C21085">
        <v>102</v>
      </c>
      <c r="D21085">
        <v>1</v>
      </c>
    </row>
    <row r="21087" spans="2:4">
      <c r="B21087">
        <v>1</v>
      </c>
      <c r="C21087">
        <v>102</v>
      </c>
      <c r="D21087">
        <v>1</v>
      </c>
    </row>
    <row r="21091" spans="2:4">
      <c r="B21091">
        <v>1</v>
      </c>
      <c r="C21091">
        <v>102</v>
      </c>
      <c r="D21091">
        <v>1</v>
      </c>
    </row>
    <row r="21093" spans="2:4">
      <c r="B21093">
        <v>1</v>
      </c>
      <c r="C21093">
        <v>102</v>
      </c>
      <c r="D21093">
        <v>1</v>
      </c>
    </row>
    <row r="21094" spans="2:4">
      <c r="B21094">
        <v>1</v>
      </c>
      <c r="C21094">
        <v>102</v>
      </c>
      <c r="D21094">
        <v>1</v>
      </c>
    </row>
    <row r="21096" spans="2:4">
      <c r="B21096">
        <v>1</v>
      </c>
      <c r="C21096">
        <v>102</v>
      </c>
      <c r="D21096">
        <v>1</v>
      </c>
    </row>
    <row r="21097" spans="2:4">
      <c r="B21097">
        <v>1</v>
      </c>
      <c r="C21097">
        <v>102</v>
      </c>
      <c r="D21097">
        <v>1</v>
      </c>
    </row>
    <row r="21098" spans="2:4">
      <c r="B21098">
        <v>1</v>
      </c>
      <c r="C21098">
        <v>102</v>
      </c>
      <c r="D21098">
        <v>1</v>
      </c>
    </row>
    <row r="21099" spans="2:4">
      <c r="B21099">
        <v>1</v>
      </c>
      <c r="C21099">
        <v>102</v>
      </c>
      <c r="D21099">
        <v>1</v>
      </c>
    </row>
    <row r="21102" spans="2:4">
      <c r="B21102">
        <v>1</v>
      </c>
      <c r="C21102">
        <v>102</v>
      </c>
      <c r="D21102">
        <v>1</v>
      </c>
    </row>
    <row r="21105" spans="2:4">
      <c r="B21105">
        <v>1</v>
      </c>
      <c r="C21105">
        <v>102</v>
      </c>
      <c r="D21105">
        <v>1</v>
      </c>
    </row>
    <row r="21107" spans="2:4">
      <c r="B21107">
        <v>1</v>
      </c>
      <c r="C21107">
        <v>102</v>
      </c>
      <c r="D21107">
        <v>1</v>
      </c>
    </row>
    <row r="21109" spans="2:4">
      <c r="B21109">
        <v>1</v>
      </c>
      <c r="C21109">
        <v>102</v>
      </c>
      <c r="D21109">
        <v>1</v>
      </c>
    </row>
    <row r="21110" spans="2:4">
      <c r="B21110">
        <v>1</v>
      </c>
      <c r="C21110">
        <v>102</v>
      </c>
      <c r="D21110">
        <v>1</v>
      </c>
    </row>
    <row r="21111" spans="2:4">
      <c r="B21111">
        <v>1</v>
      </c>
      <c r="C21111">
        <v>102</v>
      </c>
      <c r="D21111">
        <v>1</v>
      </c>
    </row>
    <row r="21114" spans="2:4">
      <c r="B21114">
        <v>1</v>
      </c>
      <c r="C21114">
        <v>102</v>
      </c>
      <c r="D21114">
        <v>1</v>
      </c>
    </row>
    <row r="21115" spans="2:4">
      <c r="B21115">
        <v>1</v>
      </c>
      <c r="C21115">
        <v>102</v>
      </c>
      <c r="D21115">
        <v>1</v>
      </c>
    </row>
    <row r="21117" spans="2:4">
      <c r="B21117">
        <v>1</v>
      </c>
      <c r="C21117">
        <v>102</v>
      </c>
      <c r="D21117">
        <v>1</v>
      </c>
    </row>
    <row r="21122" spans="2:4">
      <c r="B21122">
        <v>1</v>
      </c>
      <c r="C21122">
        <v>102</v>
      </c>
      <c r="D21122">
        <v>1</v>
      </c>
    </row>
    <row r="21123" spans="2:4">
      <c r="B21123">
        <v>1</v>
      </c>
      <c r="C21123">
        <v>102</v>
      </c>
      <c r="D21123">
        <v>1</v>
      </c>
    </row>
    <row r="21127" spans="2:4">
      <c r="B21127">
        <v>1</v>
      </c>
      <c r="C21127">
        <v>102</v>
      </c>
      <c r="D21127">
        <v>1</v>
      </c>
    </row>
    <row r="21131" spans="2:4">
      <c r="B21131">
        <v>1</v>
      </c>
      <c r="C21131">
        <v>102</v>
      </c>
      <c r="D21131">
        <v>1</v>
      </c>
    </row>
    <row r="21136" spans="2:4">
      <c r="B21136">
        <v>1</v>
      </c>
      <c r="C21136">
        <v>102</v>
      </c>
      <c r="D21136">
        <v>1</v>
      </c>
    </row>
    <row r="21137" spans="2:4">
      <c r="B21137">
        <v>1</v>
      </c>
      <c r="C21137">
        <v>102</v>
      </c>
      <c r="D21137">
        <v>1</v>
      </c>
    </row>
    <row r="21138" spans="2:4">
      <c r="B21138">
        <v>1</v>
      </c>
      <c r="C21138">
        <v>102</v>
      </c>
      <c r="D21138">
        <v>1</v>
      </c>
    </row>
    <row r="21139" spans="2:4">
      <c r="B21139">
        <v>1</v>
      </c>
      <c r="C21139">
        <v>102</v>
      </c>
      <c r="D21139">
        <v>1</v>
      </c>
    </row>
    <row r="21140" spans="2:4">
      <c r="B21140">
        <v>1</v>
      </c>
      <c r="C21140">
        <v>102</v>
      </c>
      <c r="D21140">
        <v>1</v>
      </c>
    </row>
    <row r="21141" spans="2:4">
      <c r="B21141">
        <v>1</v>
      </c>
      <c r="C21141">
        <v>102</v>
      </c>
      <c r="D21141">
        <v>1</v>
      </c>
    </row>
    <row r="21143" spans="2:4">
      <c r="B21143">
        <v>1</v>
      </c>
      <c r="C21143">
        <v>102</v>
      </c>
      <c r="D21143">
        <v>1</v>
      </c>
    </row>
    <row r="21145" spans="2:4">
      <c r="B21145">
        <v>1</v>
      </c>
      <c r="C21145">
        <v>102</v>
      </c>
      <c r="D21145">
        <v>1</v>
      </c>
    </row>
    <row r="21147" spans="2:4">
      <c r="B21147">
        <v>1</v>
      </c>
      <c r="C21147">
        <v>102</v>
      </c>
      <c r="D21147">
        <v>1</v>
      </c>
    </row>
    <row r="21148" spans="2:4">
      <c r="B21148">
        <v>1</v>
      </c>
      <c r="C21148">
        <v>102</v>
      </c>
      <c r="D21148">
        <v>1</v>
      </c>
    </row>
    <row r="21149" spans="2:4">
      <c r="B21149">
        <v>1</v>
      </c>
      <c r="C21149">
        <v>102</v>
      </c>
      <c r="D21149">
        <v>1</v>
      </c>
    </row>
    <row r="21150" spans="2:4">
      <c r="B21150">
        <v>1</v>
      </c>
      <c r="C21150">
        <v>102</v>
      </c>
      <c r="D21150">
        <v>1</v>
      </c>
    </row>
    <row r="21152" spans="2:4">
      <c r="B21152">
        <v>1</v>
      </c>
      <c r="C21152">
        <v>102</v>
      </c>
      <c r="D21152">
        <v>1</v>
      </c>
    </row>
    <row r="21156" spans="2:4">
      <c r="B21156">
        <v>1</v>
      </c>
      <c r="C21156">
        <v>102</v>
      </c>
      <c r="D21156">
        <v>1</v>
      </c>
    </row>
    <row r="21159" spans="2:4">
      <c r="B21159">
        <v>1</v>
      </c>
      <c r="C21159">
        <v>102</v>
      </c>
      <c r="D21159">
        <v>1</v>
      </c>
    </row>
    <row r="21162" spans="2:4">
      <c r="B21162">
        <v>1</v>
      </c>
      <c r="C21162">
        <v>102</v>
      </c>
      <c r="D21162">
        <v>1</v>
      </c>
    </row>
    <row r="21163" spans="2:4">
      <c r="B21163">
        <v>1</v>
      </c>
      <c r="C21163">
        <v>102</v>
      </c>
      <c r="D21163">
        <v>1</v>
      </c>
    </row>
    <row r="21164" spans="2:4">
      <c r="B21164">
        <v>1</v>
      </c>
      <c r="C21164">
        <v>102</v>
      </c>
      <c r="D21164">
        <v>1</v>
      </c>
    </row>
    <row r="21166" spans="2:4">
      <c r="B21166">
        <v>1</v>
      </c>
      <c r="C21166">
        <v>102</v>
      </c>
      <c r="D21166">
        <v>1</v>
      </c>
    </row>
    <row r="21168" spans="2:4">
      <c r="B21168">
        <v>1</v>
      </c>
      <c r="C21168">
        <v>102</v>
      </c>
      <c r="D21168">
        <v>1</v>
      </c>
    </row>
    <row r="21169" spans="2:4">
      <c r="B21169">
        <v>1</v>
      </c>
      <c r="C21169">
        <v>102</v>
      </c>
      <c r="D21169">
        <v>1</v>
      </c>
    </row>
    <row r="21171" spans="2:4">
      <c r="B21171">
        <v>1</v>
      </c>
      <c r="C21171">
        <v>102</v>
      </c>
      <c r="D21171">
        <v>1</v>
      </c>
    </row>
    <row r="21172" spans="2:4">
      <c r="B21172">
        <v>1</v>
      </c>
      <c r="C21172">
        <v>102</v>
      </c>
      <c r="D21172">
        <v>1</v>
      </c>
    </row>
    <row r="21173" spans="2:4">
      <c r="B21173">
        <v>1</v>
      </c>
      <c r="C21173">
        <v>102</v>
      </c>
      <c r="D21173">
        <v>1</v>
      </c>
    </row>
    <row r="21175" spans="2:4">
      <c r="B21175">
        <v>1</v>
      </c>
      <c r="C21175">
        <v>102</v>
      </c>
      <c r="D21175">
        <v>1</v>
      </c>
    </row>
    <row r="21176" spans="2:4">
      <c r="B21176">
        <v>1</v>
      </c>
      <c r="C21176">
        <v>102</v>
      </c>
      <c r="D21176">
        <v>1</v>
      </c>
    </row>
    <row r="21177" spans="2:4">
      <c r="B21177">
        <v>1</v>
      </c>
      <c r="C21177">
        <v>102</v>
      </c>
      <c r="D21177">
        <v>1</v>
      </c>
    </row>
    <row r="21181" spans="2:4">
      <c r="B21181">
        <v>1</v>
      </c>
      <c r="C21181">
        <v>102</v>
      </c>
      <c r="D21181">
        <v>1</v>
      </c>
    </row>
    <row r="21185" spans="2:4">
      <c r="B21185">
        <v>1</v>
      </c>
      <c r="C21185">
        <v>102</v>
      </c>
      <c r="D21185">
        <v>1</v>
      </c>
    </row>
    <row r="21186" spans="2:4">
      <c r="B21186">
        <v>1</v>
      </c>
      <c r="C21186">
        <v>102</v>
      </c>
      <c r="D21186">
        <v>1</v>
      </c>
    </row>
    <row r="21190" spans="2:4">
      <c r="B21190">
        <v>1</v>
      </c>
      <c r="C21190">
        <v>102</v>
      </c>
      <c r="D21190">
        <v>1</v>
      </c>
    </row>
    <row r="21191" spans="2:4">
      <c r="B21191">
        <v>1</v>
      </c>
      <c r="C21191">
        <v>102</v>
      </c>
      <c r="D21191">
        <v>1</v>
      </c>
    </row>
    <row r="21192" spans="2:4">
      <c r="B21192">
        <v>1</v>
      </c>
      <c r="C21192">
        <v>102</v>
      </c>
      <c r="D21192">
        <v>1</v>
      </c>
    </row>
    <row r="21194" spans="2:4">
      <c r="B21194">
        <v>1</v>
      </c>
      <c r="C21194">
        <v>102</v>
      </c>
      <c r="D21194">
        <v>1</v>
      </c>
    </row>
    <row r="21195" spans="2:4">
      <c r="B21195">
        <v>1</v>
      </c>
      <c r="C21195">
        <v>102</v>
      </c>
      <c r="D21195">
        <v>1</v>
      </c>
    </row>
    <row r="21197" spans="2:4">
      <c r="B21197">
        <v>1</v>
      </c>
      <c r="C21197">
        <v>102</v>
      </c>
      <c r="D21197">
        <v>1</v>
      </c>
    </row>
    <row r="21198" spans="2:4">
      <c r="B21198">
        <v>1</v>
      </c>
      <c r="C21198">
        <v>102</v>
      </c>
      <c r="D21198">
        <v>1</v>
      </c>
    </row>
    <row r="21206" spans="2:4">
      <c r="B21206">
        <v>1</v>
      </c>
      <c r="C21206">
        <v>102</v>
      </c>
      <c r="D21206">
        <v>1</v>
      </c>
    </row>
    <row r="21209" spans="2:4">
      <c r="B21209">
        <v>1</v>
      </c>
      <c r="C21209">
        <v>102</v>
      </c>
      <c r="D21209">
        <v>1</v>
      </c>
    </row>
    <row r="21210" spans="2:4">
      <c r="B21210">
        <v>1</v>
      </c>
      <c r="C21210">
        <v>102</v>
      </c>
      <c r="D21210">
        <v>1</v>
      </c>
    </row>
    <row r="21216" spans="2:4">
      <c r="B21216">
        <v>1</v>
      </c>
      <c r="C21216">
        <v>102</v>
      </c>
      <c r="D21216">
        <v>1</v>
      </c>
    </row>
    <row r="21217" spans="2:4">
      <c r="B21217">
        <v>1</v>
      </c>
      <c r="C21217">
        <v>102</v>
      </c>
      <c r="D21217">
        <v>1</v>
      </c>
    </row>
    <row r="21229" spans="2:4">
      <c r="B21229">
        <v>1</v>
      </c>
      <c r="C21229">
        <v>102</v>
      </c>
      <c r="D21229">
        <v>1</v>
      </c>
    </row>
    <row r="21231" spans="2:4">
      <c r="B21231">
        <v>1</v>
      </c>
      <c r="C21231">
        <v>102</v>
      </c>
      <c r="D21231">
        <v>1</v>
      </c>
    </row>
    <row r="21232" spans="2:4">
      <c r="B21232">
        <v>1</v>
      </c>
      <c r="C21232">
        <v>102</v>
      </c>
      <c r="D21232">
        <v>1</v>
      </c>
    </row>
    <row r="21234" spans="2:4">
      <c r="B21234">
        <v>1</v>
      </c>
      <c r="C21234">
        <v>102</v>
      </c>
      <c r="D21234">
        <v>1</v>
      </c>
    </row>
    <row r="21236" spans="2:4">
      <c r="B21236">
        <v>1</v>
      </c>
      <c r="C21236">
        <v>102</v>
      </c>
      <c r="D21236">
        <v>1</v>
      </c>
    </row>
    <row r="21244" spans="2:4">
      <c r="B21244">
        <v>1</v>
      </c>
      <c r="C21244">
        <v>102</v>
      </c>
      <c r="D21244">
        <v>1</v>
      </c>
    </row>
    <row r="21246" spans="2:4">
      <c r="B21246">
        <v>1</v>
      </c>
      <c r="C21246">
        <v>102</v>
      </c>
      <c r="D21246">
        <v>1</v>
      </c>
    </row>
    <row r="21249" spans="2:4">
      <c r="B21249">
        <v>1</v>
      </c>
      <c r="C21249">
        <v>102</v>
      </c>
      <c r="D21249">
        <v>1</v>
      </c>
    </row>
    <row r="21252" spans="2:4">
      <c r="B21252">
        <v>1</v>
      </c>
      <c r="C21252">
        <v>102</v>
      </c>
      <c r="D21252">
        <v>1</v>
      </c>
    </row>
    <row r="21254" spans="2:4">
      <c r="B21254">
        <v>1</v>
      </c>
      <c r="C21254">
        <v>102</v>
      </c>
      <c r="D21254">
        <v>1</v>
      </c>
    </row>
    <row r="21257" spans="2:4">
      <c r="B21257">
        <v>1</v>
      </c>
      <c r="C21257">
        <v>102</v>
      </c>
      <c r="D21257">
        <v>1</v>
      </c>
    </row>
    <row r="21258" spans="2:4">
      <c r="B21258">
        <v>1</v>
      </c>
      <c r="C21258">
        <v>102</v>
      </c>
      <c r="D21258">
        <v>1</v>
      </c>
    </row>
    <row r="21260" spans="2:4">
      <c r="B21260">
        <v>1</v>
      </c>
      <c r="C21260">
        <v>102</v>
      </c>
      <c r="D21260">
        <v>1</v>
      </c>
    </row>
    <row r="21261" spans="2:4">
      <c r="B21261">
        <v>1</v>
      </c>
      <c r="C21261">
        <v>102</v>
      </c>
      <c r="D21261">
        <v>1</v>
      </c>
    </row>
    <row r="21262" spans="2:4">
      <c r="B21262">
        <v>1</v>
      </c>
      <c r="C21262">
        <v>102</v>
      </c>
      <c r="D21262">
        <v>1</v>
      </c>
    </row>
    <row r="21263" spans="2:4">
      <c r="B21263">
        <v>1</v>
      </c>
      <c r="C21263">
        <v>102</v>
      </c>
      <c r="D21263">
        <v>1</v>
      </c>
    </row>
    <row r="21272" spans="2:4">
      <c r="B21272">
        <v>1</v>
      </c>
      <c r="C21272">
        <v>102</v>
      </c>
      <c r="D21272">
        <v>1</v>
      </c>
    </row>
    <row r="21279" spans="2:4">
      <c r="B21279">
        <v>1</v>
      </c>
      <c r="C21279">
        <v>102</v>
      </c>
      <c r="D21279">
        <v>1</v>
      </c>
    </row>
    <row r="21282" spans="2:4">
      <c r="B21282">
        <v>1</v>
      </c>
      <c r="C21282">
        <v>102</v>
      </c>
      <c r="D21282">
        <v>1</v>
      </c>
    </row>
    <row r="21285" spans="2:4">
      <c r="B21285">
        <v>1</v>
      </c>
      <c r="C21285">
        <v>102</v>
      </c>
      <c r="D21285">
        <v>1</v>
      </c>
    </row>
    <row r="21288" spans="2:4">
      <c r="B21288">
        <v>1</v>
      </c>
      <c r="C21288">
        <v>102</v>
      </c>
      <c r="D21288">
        <v>1</v>
      </c>
    </row>
    <row r="21289" spans="2:4">
      <c r="B21289">
        <v>1</v>
      </c>
      <c r="C21289">
        <v>102</v>
      </c>
      <c r="D21289">
        <v>1</v>
      </c>
    </row>
    <row r="21295" spans="2:4">
      <c r="B21295">
        <v>1</v>
      </c>
      <c r="C21295">
        <v>102</v>
      </c>
      <c r="D21295">
        <v>1</v>
      </c>
    </row>
    <row r="21298" spans="2:4">
      <c r="B21298">
        <v>1</v>
      </c>
      <c r="C21298">
        <v>102</v>
      </c>
      <c r="D21298">
        <v>1</v>
      </c>
    </row>
    <row r="21302" spans="2:4">
      <c r="B21302">
        <v>1</v>
      </c>
      <c r="C21302">
        <v>102</v>
      </c>
      <c r="D21302">
        <v>1</v>
      </c>
    </row>
    <row r="21306" spans="2:4">
      <c r="B21306">
        <v>1</v>
      </c>
      <c r="C21306">
        <v>102</v>
      </c>
      <c r="D21306">
        <v>1</v>
      </c>
    </row>
    <row r="21308" spans="2:4">
      <c r="B21308">
        <v>1</v>
      </c>
      <c r="C21308">
        <v>102</v>
      </c>
      <c r="D21308">
        <v>1</v>
      </c>
    </row>
    <row r="21310" spans="2:4">
      <c r="B21310">
        <v>1</v>
      </c>
      <c r="C21310">
        <v>102</v>
      </c>
      <c r="D21310">
        <v>1</v>
      </c>
    </row>
    <row r="21311" spans="2:4">
      <c r="B21311">
        <v>1</v>
      </c>
      <c r="C21311">
        <v>102</v>
      </c>
      <c r="D21311">
        <v>1</v>
      </c>
    </row>
    <row r="21312" spans="2:4">
      <c r="B21312">
        <v>1</v>
      </c>
      <c r="C21312">
        <v>102</v>
      </c>
      <c r="D21312">
        <v>1</v>
      </c>
    </row>
    <row r="21315" spans="2:4">
      <c r="B21315">
        <v>1</v>
      </c>
      <c r="C21315">
        <v>102</v>
      </c>
      <c r="D21315">
        <v>1</v>
      </c>
    </row>
    <row r="21316" spans="2:4">
      <c r="B21316">
        <v>1</v>
      </c>
      <c r="C21316">
        <v>102</v>
      </c>
      <c r="D21316">
        <v>1</v>
      </c>
    </row>
    <row r="21317" spans="2:4">
      <c r="B21317">
        <v>1</v>
      </c>
      <c r="C21317">
        <v>102</v>
      </c>
      <c r="D21317">
        <v>1</v>
      </c>
    </row>
    <row r="21321" spans="2:4">
      <c r="B21321">
        <v>1</v>
      </c>
      <c r="C21321">
        <v>102</v>
      </c>
      <c r="D21321">
        <v>1</v>
      </c>
    </row>
    <row r="21324" spans="2:4">
      <c r="B21324">
        <v>1</v>
      </c>
      <c r="C21324">
        <v>102</v>
      </c>
      <c r="D21324">
        <v>1</v>
      </c>
    </row>
    <row r="21328" spans="2:4">
      <c r="B21328">
        <v>1</v>
      </c>
      <c r="C21328">
        <v>102</v>
      </c>
      <c r="D21328">
        <v>1</v>
      </c>
    </row>
    <row r="21332" spans="2:4">
      <c r="B21332">
        <v>1</v>
      </c>
      <c r="C21332">
        <v>102</v>
      </c>
      <c r="D21332">
        <v>1</v>
      </c>
    </row>
    <row r="21335" spans="2:4">
      <c r="B21335">
        <v>1</v>
      </c>
      <c r="C21335">
        <v>102</v>
      </c>
      <c r="D21335">
        <v>1</v>
      </c>
    </row>
    <row r="21336" spans="2:4">
      <c r="B21336">
        <v>1</v>
      </c>
      <c r="C21336">
        <v>102</v>
      </c>
      <c r="D21336">
        <v>1</v>
      </c>
    </row>
    <row r="21339" spans="2:4">
      <c r="B21339">
        <v>1</v>
      </c>
      <c r="C21339">
        <v>102</v>
      </c>
      <c r="D21339">
        <v>1</v>
      </c>
    </row>
    <row r="21341" spans="2:4">
      <c r="B21341">
        <v>1</v>
      </c>
      <c r="C21341">
        <v>102</v>
      </c>
      <c r="D21341">
        <v>1</v>
      </c>
    </row>
    <row r="21343" spans="2:4">
      <c r="B21343">
        <v>1</v>
      </c>
      <c r="C21343">
        <v>102</v>
      </c>
      <c r="D21343">
        <v>1</v>
      </c>
    </row>
    <row r="21347" spans="2:4">
      <c r="B21347">
        <v>1</v>
      </c>
      <c r="C21347">
        <v>102</v>
      </c>
      <c r="D21347">
        <v>1</v>
      </c>
    </row>
    <row r="21349" spans="2:4">
      <c r="B21349">
        <v>1</v>
      </c>
      <c r="C21349">
        <v>102</v>
      </c>
      <c r="D21349">
        <v>1</v>
      </c>
    </row>
    <row r="21350" spans="2:4">
      <c r="B21350">
        <v>1</v>
      </c>
      <c r="C21350">
        <v>102</v>
      </c>
      <c r="D21350">
        <v>1</v>
      </c>
    </row>
    <row r="21352" spans="2:4">
      <c r="B21352">
        <v>1</v>
      </c>
      <c r="C21352">
        <v>102</v>
      </c>
      <c r="D21352">
        <v>1</v>
      </c>
    </row>
    <row r="21353" spans="2:4">
      <c r="B21353">
        <v>1</v>
      </c>
      <c r="C21353">
        <v>102</v>
      </c>
      <c r="D21353">
        <v>1</v>
      </c>
    </row>
    <row r="21354" spans="2:4">
      <c r="B21354">
        <v>1</v>
      </c>
      <c r="C21354">
        <v>102</v>
      </c>
      <c r="D21354">
        <v>1</v>
      </c>
    </row>
    <row r="21355" spans="2:4">
      <c r="B21355">
        <v>1</v>
      </c>
      <c r="C21355">
        <v>102</v>
      </c>
      <c r="D21355">
        <v>1</v>
      </c>
    </row>
    <row r="21358" spans="2:4">
      <c r="B21358">
        <v>1</v>
      </c>
      <c r="C21358">
        <v>102</v>
      </c>
      <c r="D21358">
        <v>1</v>
      </c>
    </row>
    <row r="21361" spans="2:4">
      <c r="B21361">
        <v>1</v>
      </c>
      <c r="C21361">
        <v>102</v>
      </c>
      <c r="D21361">
        <v>1</v>
      </c>
    </row>
    <row r="21363" spans="2:4">
      <c r="B21363">
        <v>1</v>
      </c>
      <c r="C21363">
        <v>102</v>
      </c>
      <c r="D21363">
        <v>1</v>
      </c>
    </row>
    <row r="21365" spans="2:4">
      <c r="B21365">
        <v>1</v>
      </c>
      <c r="C21365">
        <v>102</v>
      </c>
      <c r="D21365">
        <v>1</v>
      </c>
    </row>
    <row r="21366" spans="2:4">
      <c r="B21366">
        <v>1</v>
      </c>
      <c r="C21366">
        <v>102</v>
      </c>
      <c r="D21366">
        <v>1</v>
      </c>
    </row>
    <row r="21367" spans="2:4">
      <c r="B21367">
        <v>1</v>
      </c>
      <c r="C21367">
        <v>102</v>
      </c>
      <c r="D21367">
        <v>1</v>
      </c>
    </row>
    <row r="21370" spans="2:4">
      <c r="B21370">
        <v>1</v>
      </c>
      <c r="C21370">
        <v>102</v>
      </c>
      <c r="D21370">
        <v>1</v>
      </c>
    </row>
    <row r="21371" spans="2:4">
      <c r="B21371">
        <v>1</v>
      </c>
      <c r="C21371">
        <v>102</v>
      </c>
      <c r="D21371">
        <v>1</v>
      </c>
    </row>
    <row r="21373" spans="2:4">
      <c r="B21373">
        <v>1</v>
      </c>
      <c r="C21373">
        <v>102</v>
      </c>
      <c r="D21373">
        <v>1</v>
      </c>
    </row>
    <row r="21378" spans="2:4">
      <c r="B21378">
        <v>1</v>
      </c>
      <c r="C21378">
        <v>102</v>
      </c>
      <c r="D21378">
        <v>1</v>
      </c>
    </row>
    <row r="21379" spans="2:4">
      <c r="B21379">
        <v>1</v>
      </c>
      <c r="C21379">
        <v>102</v>
      </c>
      <c r="D21379">
        <v>1</v>
      </c>
    </row>
    <row r="21383" spans="2:4">
      <c r="B21383">
        <v>1</v>
      </c>
      <c r="C21383">
        <v>102</v>
      </c>
      <c r="D21383">
        <v>1</v>
      </c>
    </row>
    <row r="21387" spans="2:4">
      <c r="B21387">
        <v>1</v>
      </c>
      <c r="C21387">
        <v>102</v>
      </c>
      <c r="D21387">
        <v>1</v>
      </c>
    </row>
    <row r="21392" spans="2:4">
      <c r="B21392">
        <v>1</v>
      </c>
      <c r="C21392">
        <v>102</v>
      </c>
      <c r="D21392">
        <v>1</v>
      </c>
    </row>
    <row r="21393" spans="2:4">
      <c r="B21393">
        <v>1</v>
      </c>
      <c r="C21393">
        <v>102</v>
      </c>
      <c r="D21393">
        <v>1</v>
      </c>
    </row>
    <row r="21394" spans="2:4">
      <c r="B21394">
        <v>1</v>
      </c>
      <c r="C21394">
        <v>102</v>
      </c>
      <c r="D21394">
        <v>1</v>
      </c>
    </row>
    <row r="21395" spans="2:4">
      <c r="B21395">
        <v>1</v>
      </c>
      <c r="C21395">
        <v>102</v>
      </c>
      <c r="D21395">
        <v>1</v>
      </c>
    </row>
    <row r="21396" spans="2:4">
      <c r="B21396">
        <v>1</v>
      </c>
      <c r="C21396">
        <v>102</v>
      </c>
      <c r="D21396">
        <v>1</v>
      </c>
    </row>
    <row r="21397" spans="2:4">
      <c r="B21397">
        <v>1</v>
      </c>
      <c r="C21397">
        <v>102</v>
      </c>
      <c r="D21397">
        <v>1</v>
      </c>
    </row>
    <row r="21399" spans="2:4">
      <c r="B21399">
        <v>1</v>
      </c>
      <c r="C21399">
        <v>102</v>
      </c>
      <c r="D21399">
        <v>1</v>
      </c>
    </row>
    <row r="21401" spans="2:4">
      <c r="B21401">
        <v>1</v>
      </c>
      <c r="C21401">
        <v>102</v>
      </c>
      <c r="D21401">
        <v>1</v>
      </c>
    </row>
    <row r="21403" spans="2:4">
      <c r="B21403">
        <v>1</v>
      </c>
      <c r="C21403">
        <v>102</v>
      </c>
      <c r="D21403">
        <v>1</v>
      </c>
    </row>
    <row r="21404" spans="2:4">
      <c r="B21404">
        <v>1</v>
      </c>
      <c r="C21404">
        <v>102</v>
      </c>
      <c r="D21404">
        <v>1</v>
      </c>
    </row>
    <row r="21405" spans="2:4">
      <c r="B21405">
        <v>1</v>
      </c>
      <c r="C21405">
        <v>102</v>
      </c>
      <c r="D21405">
        <v>1</v>
      </c>
    </row>
    <row r="21406" spans="2:4">
      <c r="B21406">
        <v>1</v>
      </c>
      <c r="C21406">
        <v>102</v>
      </c>
      <c r="D21406">
        <v>1</v>
      </c>
    </row>
    <row r="21408" spans="2:4">
      <c r="B21408">
        <v>1</v>
      </c>
      <c r="C21408">
        <v>102</v>
      </c>
      <c r="D21408">
        <v>1</v>
      </c>
    </row>
    <row r="21409" spans="2:4">
      <c r="B21409">
        <v>1</v>
      </c>
      <c r="C21409">
        <v>102</v>
      </c>
      <c r="D21409">
        <v>1</v>
      </c>
    </row>
    <row r="21420" spans="2:4">
      <c r="B21420">
        <v>1</v>
      </c>
      <c r="C21420">
        <v>102</v>
      </c>
      <c r="D21420">
        <v>1</v>
      </c>
    </row>
    <row r="21421" spans="2:4">
      <c r="B21421">
        <v>1</v>
      </c>
      <c r="C21421">
        <v>102</v>
      </c>
      <c r="D21421">
        <v>1</v>
      </c>
    </row>
    <row r="21423" spans="2:4">
      <c r="B21423">
        <v>1</v>
      </c>
      <c r="C21423">
        <v>102</v>
      </c>
      <c r="D21423">
        <v>1</v>
      </c>
    </row>
    <row r="21424" spans="2:4">
      <c r="B21424">
        <v>1</v>
      </c>
      <c r="C21424">
        <v>102</v>
      </c>
      <c r="D21424">
        <v>1</v>
      </c>
    </row>
    <row r="21426" spans="2:4">
      <c r="B21426">
        <v>1</v>
      </c>
      <c r="C21426">
        <v>102</v>
      </c>
      <c r="D21426">
        <v>1</v>
      </c>
    </row>
    <row r="21428" spans="2:4">
      <c r="B21428">
        <v>1</v>
      </c>
      <c r="C21428">
        <v>102</v>
      </c>
      <c r="D21428">
        <v>1</v>
      </c>
    </row>
    <row r="21429" spans="2:4">
      <c r="B21429">
        <v>1</v>
      </c>
      <c r="C21429">
        <v>102</v>
      </c>
      <c r="D21429">
        <v>1</v>
      </c>
    </row>
    <row r="21436" spans="2:4">
      <c r="B21436">
        <v>1</v>
      </c>
      <c r="C21436">
        <v>102</v>
      </c>
      <c r="D21436">
        <v>1</v>
      </c>
    </row>
    <row r="21438" spans="2:4">
      <c r="B21438">
        <v>1</v>
      </c>
      <c r="C21438">
        <v>102</v>
      </c>
      <c r="D21438">
        <v>1</v>
      </c>
    </row>
    <row r="21439" spans="2:4">
      <c r="B21439">
        <v>1</v>
      </c>
      <c r="C21439">
        <v>102</v>
      </c>
      <c r="D21439">
        <v>1</v>
      </c>
    </row>
    <row r="21440" spans="2:4">
      <c r="B21440">
        <v>1</v>
      </c>
      <c r="C21440">
        <v>102</v>
      </c>
      <c r="D21440">
        <v>1</v>
      </c>
    </row>
    <row r="21441" spans="2:4">
      <c r="B21441">
        <v>1</v>
      </c>
      <c r="C21441">
        <v>102</v>
      </c>
      <c r="D21441">
        <v>1</v>
      </c>
    </row>
    <row r="21444" spans="2:4">
      <c r="B21444">
        <v>1</v>
      </c>
      <c r="C21444">
        <v>102</v>
      </c>
      <c r="D21444">
        <v>1</v>
      </c>
    </row>
    <row r="21445" spans="2:4">
      <c r="B21445">
        <v>1</v>
      </c>
      <c r="C21445">
        <v>102</v>
      </c>
      <c r="D21445">
        <v>1</v>
      </c>
    </row>
    <row r="21446" spans="2:4">
      <c r="B21446">
        <v>1</v>
      </c>
      <c r="C21446">
        <v>102</v>
      </c>
      <c r="D21446">
        <v>1</v>
      </c>
    </row>
    <row r="21450" spans="2:4">
      <c r="B21450">
        <v>1</v>
      </c>
      <c r="C21450">
        <v>102</v>
      </c>
      <c r="D21450">
        <v>1</v>
      </c>
    </row>
    <row r="21452" spans="2:4">
      <c r="B21452">
        <v>1</v>
      </c>
      <c r="C21452">
        <v>102</v>
      </c>
      <c r="D21452">
        <v>1</v>
      </c>
    </row>
    <row r="21454" spans="2:4">
      <c r="B21454">
        <v>1</v>
      </c>
      <c r="C21454">
        <v>102</v>
      </c>
      <c r="D21454">
        <v>1</v>
      </c>
    </row>
    <row r="21455" spans="2:4">
      <c r="B21455">
        <v>1</v>
      </c>
      <c r="C21455">
        <v>102</v>
      </c>
      <c r="D21455">
        <v>1</v>
      </c>
    </row>
    <row r="21464" spans="2:4">
      <c r="B21464">
        <v>1</v>
      </c>
      <c r="C21464">
        <v>102</v>
      </c>
      <c r="D21464">
        <v>1</v>
      </c>
    </row>
    <row r="21471" spans="2:4">
      <c r="B21471">
        <v>1</v>
      </c>
      <c r="C21471">
        <v>102</v>
      </c>
      <c r="D21471">
        <v>1</v>
      </c>
    </row>
    <row r="21473" spans="2:4">
      <c r="B21473">
        <v>1</v>
      </c>
      <c r="C21473">
        <v>102</v>
      </c>
      <c r="D21473">
        <v>1</v>
      </c>
    </row>
    <row r="21474" spans="2:4">
      <c r="B21474">
        <v>1</v>
      </c>
      <c r="C21474">
        <v>102</v>
      </c>
      <c r="D21474">
        <v>1</v>
      </c>
    </row>
    <row r="21477" spans="2:4">
      <c r="B21477">
        <v>1</v>
      </c>
      <c r="C21477">
        <v>102</v>
      </c>
      <c r="D21477">
        <v>1</v>
      </c>
    </row>
    <row r="21480" spans="2:4">
      <c r="B21480">
        <v>1</v>
      </c>
      <c r="C21480">
        <v>102</v>
      </c>
      <c r="D21480">
        <v>1</v>
      </c>
    </row>
    <row r="21481" spans="2:4">
      <c r="B21481">
        <v>1</v>
      </c>
      <c r="C21481">
        <v>102</v>
      </c>
      <c r="D21481">
        <v>1</v>
      </c>
    </row>
    <row r="21487" spans="2:4">
      <c r="B21487">
        <v>1</v>
      </c>
      <c r="C21487">
        <v>102</v>
      </c>
      <c r="D21487">
        <v>1</v>
      </c>
    </row>
    <row r="21488" spans="2:4">
      <c r="B21488">
        <v>1</v>
      </c>
      <c r="C21488">
        <v>102</v>
      </c>
      <c r="D21488">
        <v>1</v>
      </c>
    </row>
    <row r="21494" spans="2:4">
      <c r="B21494">
        <v>1</v>
      </c>
      <c r="C21494">
        <v>102</v>
      </c>
      <c r="D21494">
        <v>1</v>
      </c>
    </row>
    <row r="21498" spans="2:4">
      <c r="B21498">
        <v>1</v>
      </c>
      <c r="C21498">
        <v>102</v>
      </c>
      <c r="D21498">
        <v>1</v>
      </c>
    </row>
    <row r="21499" spans="2:4">
      <c r="B21499">
        <v>1</v>
      </c>
      <c r="C21499">
        <v>102</v>
      </c>
      <c r="D21499">
        <v>1</v>
      </c>
    </row>
    <row r="21503" spans="2:4">
      <c r="B21503">
        <v>1</v>
      </c>
      <c r="C21503">
        <v>102</v>
      </c>
      <c r="D21503">
        <v>1</v>
      </c>
    </row>
    <row r="21504" spans="2:4">
      <c r="B21504">
        <v>1</v>
      </c>
      <c r="C21504">
        <v>102</v>
      </c>
      <c r="D21504">
        <v>1</v>
      </c>
    </row>
    <row r="21507" spans="2:4">
      <c r="B21507">
        <v>1</v>
      </c>
      <c r="C21507">
        <v>102</v>
      </c>
      <c r="D21507">
        <v>1</v>
      </c>
    </row>
    <row r="21509" spans="2:4">
      <c r="B21509">
        <v>1</v>
      </c>
      <c r="C21509">
        <v>102</v>
      </c>
      <c r="D21509">
        <v>1</v>
      </c>
    </row>
    <row r="21510" spans="2:4">
      <c r="B21510">
        <v>1</v>
      </c>
      <c r="C21510">
        <v>102</v>
      </c>
      <c r="D21510">
        <v>1</v>
      </c>
    </row>
    <row r="21513" spans="2:4">
      <c r="B21513">
        <v>1</v>
      </c>
      <c r="C21513">
        <v>102</v>
      </c>
      <c r="D21513">
        <v>1</v>
      </c>
    </row>
    <row r="21514" spans="2:4">
      <c r="B21514">
        <v>1</v>
      </c>
      <c r="C21514">
        <v>102</v>
      </c>
      <c r="D21514">
        <v>1</v>
      </c>
    </row>
    <row r="21516" spans="2:4">
      <c r="B21516">
        <v>1</v>
      </c>
      <c r="C21516">
        <v>102</v>
      </c>
      <c r="D21516">
        <v>1</v>
      </c>
    </row>
    <row r="21520" spans="2:4">
      <c r="B21520">
        <v>1</v>
      </c>
      <c r="C21520">
        <v>102</v>
      </c>
      <c r="D21520">
        <v>1</v>
      </c>
    </row>
    <row r="21521" spans="2:4">
      <c r="B21521">
        <v>1</v>
      </c>
      <c r="C21521">
        <v>102</v>
      </c>
      <c r="D21521">
        <v>1</v>
      </c>
    </row>
    <row r="21522" spans="2:4">
      <c r="B21522">
        <v>1</v>
      </c>
      <c r="C21522">
        <v>102</v>
      </c>
      <c r="D21522">
        <v>1</v>
      </c>
    </row>
    <row r="21523" spans="2:4">
      <c r="B21523">
        <v>1</v>
      </c>
      <c r="C21523">
        <v>102</v>
      </c>
      <c r="D21523">
        <v>1</v>
      </c>
    </row>
    <row r="21524" spans="2:4">
      <c r="B21524">
        <v>1</v>
      </c>
      <c r="C21524">
        <v>102</v>
      </c>
      <c r="D21524">
        <v>1</v>
      </c>
    </row>
    <row r="21531" spans="2:4">
      <c r="B21531">
        <v>1</v>
      </c>
      <c r="C21531">
        <v>102</v>
      </c>
      <c r="D21531">
        <v>1</v>
      </c>
    </row>
    <row r="21532" spans="2:4">
      <c r="B21532">
        <v>1</v>
      </c>
      <c r="C21532">
        <v>102</v>
      </c>
      <c r="D21532">
        <v>1</v>
      </c>
    </row>
    <row r="21533" spans="2:4">
      <c r="B21533">
        <v>1</v>
      </c>
      <c r="C21533">
        <v>102</v>
      </c>
      <c r="D21533">
        <v>1</v>
      </c>
    </row>
    <row r="21534" spans="2:4">
      <c r="B21534">
        <v>1</v>
      </c>
      <c r="C21534">
        <v>102</v>
      </c>
      <c r="D21534">
        <v>1</v>
      </c>
    </row>
    <row r="21539" spans="2:4">
      <c r="B21539">
        <v>1</v>
      </c>
      <c r="C21539">
        <v>102</v>
      </c>
      <c r="D21539">
        <v>1</v>
      </c>
    </row>
    <row r="21540" spans="2:4">
      <c r="B21540">
        <v>1</v>
      </c>
      <c r="C21540">
        <v>102</v>
      </c>
      <c r="D21540">
        <v>1</v>
      </c>
    </row>
    <row r="21542" spans="2:4">
      <c r="B21542">
        <v>1</v>
      </c>
      <c r="C21542">
        <v>102</v>
      </c>
      <c r="D21542">
        <v>1</v>
      </c>
    </row>
    <row r="21543" spans="2:4">
      <c r="B21543">
        <v>1</v>
      </c>
      <c r="C21543">
        <v>102</v>
      </c>
      <c r="D21543">
        <v>1</v>
      </c>
    </row>
    <row r="21545" spans="2:4">
      <c r="B21545">
        <v>1</v>
      </c>
      <c r="C21545">
        <v>102</v>
      </c>
      <c r="D21545">
        <v>1</v>
      </c>
    </row>
    <row r="21547" spans="2:4">
      <c r="B21547">
        <v>1</v>
      </c>
      <c r="C21547">
        <v>102</v>
      </c>
      <c r="D21547">
        <v>1</v>
      </c>
    </row>
    <row r="21550" spans="2:4">
      <c r="B21550">
        <v>1</v>
      </c>
      <c r="C21550">
        <v>102</v>
      </c>
      <c r="D21550">
        <v>1</v>
      </c>
    </row>
    <row r="21553" spans="2:4">
      <c r="B21553">
        <v>1</v>
      </c>
      <c r="C21553">
        <v>102</v>
      </c>
      <c r="D21553">
        <v>1</v>
      </c>
    </row>
    <row r="21555" spans="2:4">
      <c r="B21555">
        <v>1</v>
      </c>
      <c r="C21555">
        <v>102</v>
      </c>
      <c r="D21555">
        <v>1</v>
      </c>
    </row>
    <row r="21560" spans="2:4">
      <c r="B21560">
        <v>1</v>
      </c>
      <c r="C21560">
        <v>102</v>
      </c>
      <c r="D21560">
        <v>1</v>
      </c>
    </row>
    <row r="21561" spans="2:4">
      <c r="B21561">
        <v>1</v>
      </c>
      <c r="C21561">
        <v>102</v>
      </c>
      <c r="D21561">
        <v>1</v>
      </c>
    </row>
    <row r="21563" spans="2:4">
      <c r="B21563">
        <v>1</v>
      </c>
      <c r="C21563">
        <v>102</v>
      </c>
      <c r="D21563">
        <v>1</v>
      </c>
    </row>
    <row r="21565" spans="2:4">
      <c r="B21565">
        <v>1</v>
      </c>
      <c r="C21565">
        <v>102</v>
      </c>
      <c r="D21565">
        <v>1</v>
      </c>
    </row>
    <row r="21570" spans="2:4">
      <c r="B21570">
        <v>1</v>
      </c>
      <c r="C21570">
        <v>102</v>
      </c>
      <c r="D21570">
        <v>1</v>
      </c>
    </row>
    <row r="21571" spans="2:4">
      <c r="B21571">
        <v>1</v>
      </c>
      <c r="C21571">
        <v>102</v>
      </c>
      <c r="D21571">
        <v>1</v>
      </c>
    </row>
    <row r="21575" spans="2:4">
      <c r="B21575">
        <v>1</v>
      </c>
      <c r="C21575">
        <v>102</v>
      </c>
      <c r="D21575">
        <v>1</v>
      </c>
    </row>
    <row r="21576" spans="2:4">
      <c r="B21576">
        <v>1</v>
      </c>
      <c r="C21576">
        <v>102</v>
      </c>
      <c r="D21576">
        <v>1</v>
      </c>
    </row>
    <row r="21579" spans="2:4">
      <c r="B21579">
        <v>1</v>
      </c>
      <c r="C21579">
        <v>102</v>
      </c>
      <c r="D21579">
        <v>1</v>
      </c>
    </row>
    <row r="21584" spans="2:4">
      <c r="B21584">
        <v>1</v>
      </c>
      <c r="C21584">
        <v>102</v>
      </c>
      <c r="D21584">
        <v>1</v>
      </c>
    </row>
    <row r="21585" spans="2:4">
      <c r="B21585">
        <v>1</v>
      </c>
      <c r="C21585">
        <v>102</v>
      </c>
      <c r="D21585">
        <v>1</v>
      </c>
    </row>
    <row r="21586" spans="2:4">
      <c r="B21586">
        <v>1</v>
      </c>
      <c r="C21586">
        <v>102</v>
      </c>
      <c r="D21586">
        <v>1</v>
      </c>
    </row>
    <row r="21587" spans="2:4">
      <c r="B21587">
        <v>1</v>
      </c>
      <c r="C21587">
        <v>102</v>
      </c>
      <c r="D21587">
        <v>1</v>
      </c>
    </row>
    <row r="21588" spans="2:4">
      <c r="B21588">
        <v>1</v>
      </c>
      <c r="C21588">
        <v>102</v>
      </c>
      <c r="D21588">
        <v>1</v>
      </c>
    </row>
    <row r="21589" spans="2:4">
      <c r="B21589">
        <v>1</v>
      </c>
      <c r="C21589">
        <v>102</v>
      </c>
      <c r="D21589">
        <v>1</v>
      </c>
    </row>
    <row r="21590" spans="2:4">
      <c r="B21590">
        <v>1</v>
      </c>
      <c r="C21590">
        <v>102</v>
      </c>
      <c r="D21590">
        <v>1</v>
      </c>
    </row>
    <row r="21591" spans="2:4">
      <c r="B21591">
        <v>1</v>
      </c>
      <c r="C21591">
        <v>102</v>
      </c>
      <c r="D21591">
        <v>1</v>
      </c>
    </row>
    <row r="21593" spans="2:4">
      <c r="B21593">
        <v>1</v>
      </c>
      <c r="C21593">
        <v>102</v>
      </c>
      <c r="D21593">
        <v>1</v>
      </c>
    </row>
    <row r="21594" spans="2:4">
      <c r="B21594">
        <v>1</v>
      </c>
      <c r="C21594">
        <v>102</v>
      </c>
      <c r="D21594">
        <v>1</v>
      </c>
    </row>
    <row r="21596" spans="2:4">
      <c r="B21596">
        <v>1</v>
      </c>
      <c r="C21596">
        <v>102</v>
      </c>
      <c r="D21596">
        <v>1</v>
      </c>
    </row>
    <row r="21597" spans="2:4">
      <c r="B21597">
        <v>1</v>
      </c>
      <c r="C21597">
        <v>102</v>
      </c>
      <c r="D21597">
        <v>1</v>
      </c>
    </row>
    <row r="21598" spans="2:4">
      <c r="B21598">
        <v>1</v>
      </c>
      <c r="C21598">
        <v>102</v>
      </c>
      <c r="D21598">
        <v>1</v>
      </c>
    </row>
    <row r="21600" spans="2:4">
      <c r="B21600">
        <v>1</v>
      </c>
      <c r="C21600">
        <v>102</v>
      </c>
      <c r="D21600">
        <v>1</v>
      </c>
    </row>
    <row r="21603" spans="2:4">
      <c r="B21603">
        <v>1</v>
      </c>
      <c r="C21603">
        <v>102</v>
      </c>
      <c r="D21603">
        <v>1</v>
      </c>
    </row>
    <row r="21604" spans="2:4">
      <c r="B21604">
        <v>1</v>
      </c>
      <c r="C21604">
        <v>102</v>
      </c>
      <c r="D21604">
        <v>1</v>
      </c>
    </row>
    <row r="21606" spans="2:4">
      <c r="B21606">
        <v>1</v>
      </c>
      <c r="C21606">
        <v>102</v>
      </c>
      <c r="D21606">
        <v>1</v>
      </c>
    </row>
    <row r="21607" spans="2:4">
      <c r="B21607">
        <v>1</v>
      </c>
      <c r="C21607">
        <v>102</v>
      </c>
      <c r="D21607">
        <v>1</v>
      </c>
    </row>
    <row r="21610" spans="2:4">
      <c r="B21610">
        <v>1</v>
      </c>
      <c r="C21610">
        <v>102</v>
      </c>
      <c r="D21610">
        <v>1</v>
      </c>
    </row>
    <row r="21611" spans="2:4">
      <c r="B21611">
        <v>1</v>
      </c>
      <c r="C21611">
        <v>102</v>
      </c>
      <c r="D21611">
        <v>1</v>
      </c>
    </row>
    <row r="21612" spans="2:4">
      <c r="B21612">
        <v>1</v>
      </c>
      <c r="C21612">
        <v>102</v>
      </c>
      <c r="D21612">
        <v>1</v>
      </c>
    </row>
    <row r="21613" spans="2:4">
      <c r="B21613">
        <v>1</v>
      </c>
      <c r="C21613">
        <v>102</v>
      </c>
      <c r="D21613">
        <v>1</v>
      </c>
    </row>
    <row r="21621" spans="2:4">
      <c r="B21621">
        <v>1</v>
      </c>
      <c r="C21621">
        <v>102</v>
      </c>
      <c r="D21621">
        <v>1</v>
      </c>
    </row>
    <row r="21623" spans="2:4">
      <c r="B21623">
        <v>1</v>
      </c>
      <c r="C21623">
        <v>102</v>
      </c>
      <c r="D21623">
        <v>1</v>
      </c>
    </row>
    <row r="21624" spans="2:4">
      <c r="B21624">
        <v>1</v>
      </c>
      <c r="C21624">
        <v>102</v>
      </c>
      <c r="D21624">
        <v>1</v>
      </c>
    </row>
    <row r="21625" spans="2:4">
      <c r="B21625">
        <v>1</v>
      </c>
      <c r="C21625">
        <v>102</v>
      </c>
      <c r="D21625">
        <v>1</v>
      </c>
    </row>
    <row r="21633" spans="2:4">
      <c r="B21633">
        <v>1</v>
      </c>
      <c r="C21633">
        <v>102</v>
      </c>
      <c r="D21633">
        <v>1</v>
      </c>
    </row>
    <row r="21634" spans="2:4">
      <c r="B21634">
        <v>1</v>
      </c>
      <c r="C21634">
        <v>102</v>
      </c>
      <c r="D21634">
        <v>1</v>
      </c>
    </row>
    <row r="21640" spans="2:4">
      <c r="B21640">
        <v>1</v>
      </c>
      <c r="C21640">
        <v>102</v>
      </c>
      <c r="D21640">
        <v>1</v>
      </c>
    </row>
    <row r="21645" spans="2:4">
      <c r="B21645">
        <v>1</v>
      </c>
      <c r="C21645">
        <v>102</v>
      </c>
      <c r="D21645">
        <v>1</v>
      </c>
    </row>
    <row r="21646" spans="2:4">
      <c r="B21646">
        <v>1</v>
      </c>
      <c r="C21646">
        <v>102</v>
      </c>
      <c r="D21646">
        <v>1</v>
      </c>
    </row>
    <row r="21647" spans="2:4">
      <c r="B21647">
        <v>1</v>
      </c>
      <c r="C21647">
        <v>102</v>
      </c>
      <c r="D21647">
        <v>1</v>
      </c>
    </row>
    <row r="21653" spans="2:4">
      <c r="B21653">
        <v>1</v>
      </c>
      <c r="C21653">
        <v>102</v>
      </c>
      <c r="D21653">
        <v>1</v>
      </c>
    </row>
    <row r="21654" spans="2:4">
      <c r="B21654">
        <v>1</v>
      </c>
      <c r="C21654">
        <v>102</v>
      </c>
      <c r="D21654">
        <v>1</v>
      </c>
    </row>
    <row r="21655" spans="2:4">
      <c r="B21655">
        <v>1</v>
      </c>
      <c r="C21655">
        <v>102</v>
      </c>
      <c r="D21655">
        <v>1</v>
      </c>
    </row>
    <row r="21658" spans="2:4">
      <c r="B21658">
        <v>1</v>
      </c>
      <c r="C21658">
        <v>102</v>
      </c>
      <c r="D21658">
        <v>1</v>
      </c>
    </row>
    <row r="21665" spans="2:4">
      <c r="B21665">
        <v>1</v>
      </c>
      <c r="C21665">
        <v>102</v>
      </c>
      <c r="D21665">
        <v>1</v>
      </c>
    </row>
    <row r="21676" spans="2:4">
      <c r="B21676">
        <v>1</v>
      </c>
      <c r="C21676">
        <v>102</v>
      </c>
      <c r="D21676">
        <v>1</v>
      </c>
    </row>
    <row r="21677" spans="2:4">
      <c r="B21677">
        <v>1</v>
      </c>
      <c r="C21677">
        <v>102</v>
      </c>
      <c r="D21677">
        <v>1</v>
      </c>
    </row>
    <row r="21679" spans="2:4">
      <c r="B21679">
        <v>1</v>
      </c>
      <c r="C21679">
        <v>102</v>
      </c>
      <c r="D21679">
        <v>1</v>
      </c>
    </row>
    <row r="21680" spans="2:4">
      <c r="B21680">
        <v>1</v>
      </c>
      <c r="C21680">
        <v>102</v>
      </c>
      <c r="D21680">
        <v>1</v>
      </c>
    </row>
    <row r="21682" spans="2:4">
      <c r="B21682">
        <v>1</v>
      </c>
      <c r="C21682">
        <v>102</v>
      </c>
      <c r="D21682">
        <v>1</v>
      </c>
    </row>
    <row r="21684" spans="2:4">
      <c r="B21684">
        <v>1</v>
      </c>
      <c r="C21684">
        <v>102</v>
      </c>
      <c r="D21684">
        <v>1</v>
      </c>
    </row>
    <row r="21685" spans="2:4">
      <c r="B21685">
        <v>1</v>
      </c>
      <c r="C21685">
        <v>102</v>
      </c>
      <c r="D21685">
        <v>1</v>
      </c>
    </row>
    <row r="21692" spans="2:4">
      <c r="B21692">
        <v>1</v>
      </c>
      <c r="C21692">
        <v>102</v>
      </c>
      <c r="D21692">
        <v>1</v>
      </c>
    </row>
    <row r="21694" spans="2:4">
      <c r="B21694">
        <v>1</v>
      </c>
      <c r="C21694">
        <v>102</v>
      </c>
      <c r="D21694">
        <v>1</v>
      </c>
    </row>
    <row r="21695" spans="2:4">
      <c r="B21695">
        <v>1</v>
      </c>
      <c r="C21695">
        <v>102</v>
      </c>
      <c r="D21695">
        <v>1</v>
      </c>
    </row>
    <row r="21696" spans="2:4">
      <c r="B21696">
        <v>1</v>
      </c>
      <c r="C21696">
        <v>102</v>
      </c>
      <c r="D21696">
        <v>1</v>
      </c>
    </row>
    <row r="21697" spans="2:4">
      <c r="B21697">
        <v>1</v>
      </c>
      <c r="C21697">
        <v>102</v>
      </c>
      <c r="D21697">
        <v>1</v>
      </c>
    </row>
    <row r="21700" spans="2:4">
      <c r="B21700">
        <v>1</v>
      </c>
      <c r="C21700">
        <v>102</v>
      </c>
      <c r="D21700">
        <v>1</v>
      </c>
    </row>
    <row r="21701" spans="2:4">
      <c r="B21701">
        <v>1</v>
      </c>
      <c r="C21701">
        <v>102</v>
      </c>
      <c r="D21701">
        <v>1</v>
      </c>
    </row>
    <row r="21702" spans="2:4">
      <c r="B21702">
        <v>1</v>
      </c>
      <c r="C21702">
        <v>102</v>
      </c>
      <c r="D21702">
        <v>1</v>
      </c>
    </row>
    <row r="21706" spans="2:4">
      <c r="B21706">
        <v>1</v>
      </c>
      <c r="C21706">
        <v>102</v>
      </c>
      <c r="D21706">
        <v>1</v>
      </c>
    </row>
    <row r="21708" spans="2:4">
      <c r="B21708">
        <v>1</v>
      </c>
      <c r="C21708">
        <v>102</v>
      </c>
      <c r="D21708">
        <v>1</v>
      </c>
    </row>
    <row r="21710" spans="2:4">
      <c r="B21710">
        <v>1</v>
      </c>
      <c r="C21710">
        <v>102</v>
      </c>
      <c r="D21710">
        <v>1</v>
      </c>
    </row>
    <row r="21711" spans="2:4">
      <c r="B21711">
        <v>1</v>
      </c>
      <c r="C21711">
        <v>102</v>
      </c>
      <c r="D21711">
        <v>1</v>
      </c>
    </row>
    <row r="21720" spans="2:4">
      <c r="B21720">
        <v>1</v>
      </c>
      <c r="C21720">
        <v>102</v>
      </c>
      <c r="D21720">
        <v>1</v>
      </c>
    </row>
    <row r="21727" spans="2:4">
      <c r="B21727">
        <v>1</v>
      </c>
      <c r="C21727">
        <v>102</v>
      </c>
      <c r="D21727">
        <v>1</v>
      </c>
    </row>
    <row r="21729" spans="2:4">
      <c r="B21729">
        <v>1</v>
      </c>
      <c r="C21729">
        <v>102</v>
      </c>
      <c r="D21729">
        <v>1</v>
      </c>
    </row>
    <row r="21730" spans="2:4">
      <c r="B21730">
        <v>1</v>
      </c>
      <c r="C21730">
        <v>102</v>
      </c>
      <c r="D21730">
        <v>1</v>
      </c>
    </row>
    <row r="21733" spans="2:4">
      <c r="B21733">
        <v>1</v>
      </c>
      <c r="C21733">
        <v>102</v>
      </c>
      <c r="D21733">
        <v>1</v>
      </c>
    </row>
    <row r="21736" spans="2:4">
      <c r="B21736">
        <v>1</v>
      </c>
      <c r="C21736">
        <v>102</v>
      </c>
      <c r="D21736">
        <v>1</v>
      </c>
    </row>
    <row r="21737" spans="2:4">
      <c r="B21737">
        <v>1</v>
      </c>
      <c r="C21737">
        <v>102</v>
      </c>
      <c r="D21737">
        <v>1</v>
      </c>
    </row>
    <row r="21743" spans="2:4">
      <c r="B21743">
        <v>1</v>
      </c>
      <c r="C21743">
        <v>102</v>
      </c>
      <c r="D21743">
        <v>1</v>
      </c>
    </row>
    <row r="21744" spans="2:4">
      <c r="B21744">
        <v>1</v>
      </c>
      <c r="C21744">
        <v>102</v>
      </c>
      <c r="D21744">
        <v>1</v>
      </c>
    </row>
    <row r="21750" spans="2:4">
      <c r="B21750">
        <v>1</v>
      </c>
      <c r="C21750">
        <v>102</v>
      </c>
      <c r="D21750">
        <v>1</v>
      </c>
    </row>
    <row r="21754" spans="2:4">
      <c r="B21754">
        <v>1</v>
      </c>
      <c r="C21754">
        <v>102</v>
      </c>
      <c r="D21754">
        <v>1</v>
      </c>
    </row>
    <row r="21755" spans="2:4">
      <c r="B21755">
        <v>1</v>
      </c>
      <c r="C21755">
        <v>102</v>
      </c>
      <c r="D21755">
        <v>1</v>
      </c>
    </row>
    <row r="21759" spans="2:4">
      <c r="B21759">
        <v>1</v>
      </c>
      <c r="C21759">
        <v>102</v>
      </c>
      <c r="D21759">
        <v>1</v>
      </c>
    </row>
    <row r="21760" spans="2:4">
      <c r="B21760">
        <v>1</v>
      </c>
      <c r="C21760">
        <v>102</v>
      </c>
      <c r="D21760">
        <v>1</v>
      </c>
    </row>
    <row r="21763" spans="2:4">
      <c r="B21763">
        <v>1</v>
      </c>
      <c r="C21763">
        <v>102</v>
      </c>
      <c r="D21763">
        <v>1</v>
      </c>
    </row>
    <row r="21765" spans="2:4">
      <c r="B21765">
        <v>1</v>
      </c>
      <c r="C21765">
        <v>102</v>
      </c>
      <c r="D21765">
        <v>1</v>
      </c>
    </row>
    <row r="21766" spans="2:4">
      <c r="B21766">
        <v>1</v>
      </c>
      <c r="C21766">
        <v>102</v>
      </c>
      <c r="D21766">
        <v>1</v>
      </c>
    </row>
    <row r="21769" spans="2:4">
      <c r="B21769">
        <v>1</v>
      </c>
      <c r="C21769">
        <v>102</v>
      </c>
      <c r="D21769">
        <v>1</v>
      </c>
    </row>
    <row r="21770" spans="2:4">
      <c r="B21770">
        <v>1</v>
      </c>
      <c r="C21770">
        <v>102</v>
      </c>
      <c r="D21770">
        <v>1</v>
      </c>
    </row>
    <row r="21772" spans="2:4">
      <c r="B21772">
        <v>1</v>
      </c>
      <c r="C21772">
        <v>102</v>
      </c>
      <c r="D21772">
        <v>1</v>
      </c>
    </row>
    <row r="21776" spans="2:4">
      <c r="B21776">
        <v>1</v>
      </c>
      <c r="C21776">
        <v>102</v>
      </c>
      <c r="D21776">
        <v>1</v>
      </c>
    </row>
    <row r="21777" spans="2:4">
      <c r="B21777">
        <v>1</v>
      </c>
      <c r="C21777">
        <v>102</v>
      </c>
      <c r="D21777">
        <v>1</v>
      </c>
    </row>
    <row r="21778" spans="2:4">
      <c r="B21778">
        <v>1</v>
      </c>
      <c r="C21778">
        <v>102</v>
      </c>
      <c r="D21778">
        <v>1</v>
      </c>
    </row>
    <row r="21779" spans="2:4">
      <c r="B21779">
        <v>1</v>
      </c>
      <c r="C21779">
        <v>102</v>
      </c>
      <c r="D21779">
        <v>1</v>
      </c>
    </row>
    <row r="21780" spans="2:4">
      <c r="B21780">
        <v>1</v>
      </c>
      <c r="C21780">
        <v>102</v>
      </c>
      <c r="D21780">
        <v>1</v>
      </c>
    </row>
    <row r="21787" spans="2:4">
      <c r="B21787">
        <v>1</v>
      </c>
      <c r="C21787">
        <v>102</v>
      </c>
      <c r="D21787">
        <v>1</v>
      </c>
    </row>
    <row r="21788" spans="2:4">
      <c r="B21788">
        <v>1</v>
      </c>
      <c r="C21788">
        <v>102</v>
      </c>
      <c r="D21788">
        <v>1</v>
      </c>
    </row>
    <row r="21789" spans="2:4">
      <c r="B21789">
        <v>1</v>
      </c>
      <c r="C21789">
        <v>102</v>
      </c>
      <c r="D21789">
        <v>1</v>
      </c>
    </row>
    <row r="21790" spans="2:4">
      <c r="B21790">
        <v>1</v>
      </c>
      <c r="C21790">
        <v>102</v>
      </c>
      <c r="D21790">
        <v>1</v>
      </c>
    </row>
    <row r="21795" spans="2:4">
      <c r="B21795">
        <v>1</v>
      </c>
      <c r="C21795">
        <v>102</v>
      </c>
      <c r="D21795">
        <v>1</v>
      </c>
    </row>
    <row r="21796" spans="2:4">
      <c r="B21796">
        <v>1</v>
      </c>
      <c r="C21796">
        <v>102</v>
      </c>
      <c r="D21796">
        <v>1</v>
      </c>
    </row>
    <row r="21798" spans="2:4">
      <c r="B21798">
        <v>1</v>
      </c>
      <c r="C21798">
        <v>102</v>
      </c>
      <c r="D21798">
        <v>1</v>
      </c>
    </row>
    <row r="21799" spans="2:4">
      <c r="B21799">
        <v>1</v>
      </c>
      <c r="C21799">
        <v>102</v>
      </c>
      <c r="D21799">
        <v>1</v>
      </c>
    </row>
    <row r="21801" spans="2:4">
      <c r="B21801">
        <v>1</v>
      </c>
      <c r="C21801">
        <v>102</v>
      </c>
      <c r="D21801">
        <v>1</v>
      </c>
    </row>
    <row r="21803" spans="2:4">
      <c r="B21803">
        <v>1</v>
      </c>
      <c r="C21803">
        <v>102</v>
      </c>
      <c r="D21803">
        <v>1</v>
      </c>
    </row>
    <row r="21806" spans="2:4">
      <c r="B21806">
        <v>1</v>
      </c>
      <c r="C21806">
        <v>102</v>
      </c>
      <c r="D21806">
        <v>1</v>
      </c>
    </row>
    <row r="21809" spans="2:4">
      <c r="B21809">
        <v>1</v>
      </c>
      <c r="C21809">
        <v>102</v>
      </c>
      <c r="D21809">
        <v>1</v>
      </c>
    </row>
    <row r="21811" spans="2:4">
      <c r="B21811">
        <v>1</v>
      </c>
      <c r="C21811">
        <v>102</v>
      </c>
      <c r="D21811">
        <v>1</v>
      </c>
    </row>
    <row r="21816" spans="2:4">
      <c r="B21816">
        <v>1</v>
      </c>
      <c r="C21816">
        <v>102</v>
      </c>
      <c r="D21816">
        <v>1</v>
      </c>
    </row>
    <row r="21817" spans="2:4">
      <c r="B21817">
        <v>1</v>
      </c>
      <c r="C21817">
        <v>102</v>
      </c>
      <c r="D21817">
        <v>1</v>
      </c>
    </row>
    <row r="21819" spans="2:4">
      <c r="B21819">
        <v>1</v>
      </c>
      <c r="C21819">
        <v>102</v>
      </c>
      <c r="D21819">
        <v>1</v>
      </c>
    </row>
    <row r="21821" spans="2:4">
      <c r="B21821">
        <v>1</v>
      </c>
      <c r="C21821">
        <v>102</v>
      </c>
      <c r="D21821">
        <v>1</v>
      </c>
    </row>
    <row r="21826" spans="2:4">
      <c r="B21826">
        <v>1</v>
      </c>
      <c r="C21826">
        <v>102</v>
      </c>
      <c r="D21826">
        <v>1</v>
      </c>
    </row>
    <row r="21827" spans="2:4">
      <c r="B21827">
        <v>1</v>
      </c>
      <c r="C21827">
        <v>102</v>
      </c>
      <c r="D21827">
        <v>1</v>
      </c>
    </row>
    <row r="21831" spans="2:4">
      <c r="B21831">
        <v>1</v>
      </c>
      <c r="C21831">
        <v>102</v>
      </c>
      <c r="D21831">
        <v>1</v>
      </c>
    </row>
    <row r="21832" spans="2:4">
      <c r="B21832">
        <v>1</v>
      </c>
      <c r="C21832">
        <v>102</v>
      </c>
      <c r="D21832">
        <v>1</v>
      </c>
    </row>
    <row r="21835" spans="2:4">
      <c r="B21835">
        <v>1</v>
      </c>
      <c r="C21835">
        <v>102</v>
      </c>
      <c r="D21835">
        <v>1</v>
      </c>
    </row>
    <row r="21840" spans="2:4">
      <c r="B21840">
        <v>1</v>
      </c>
      <c r="C21840">
        <v>102</v>
      </c>
      <c r="D21840">
        <v>1</v>
      </c>
    </row>
    <row r="21841" spans="2:4">
      <c r="B21841">
        <v>1</v>
      </c>
      <c r="C21841">
        <v>102</v>
      </c>
      <c r="D21841">
        <v>1</v>
      </c>
    </row>
    <row r="21842" spans="2:4">
      <c r="B21842">
        <v>1</v>
      </c>
      <c r="C21842">
        <v>102</v>
      </c>
      <c r="D21842">
        <v>1</v>
      </c>
    </row>
    <row r="21843" spans="2:4">
      <c r="B21843">
        <v>1</v>
      </c>
      <c r="C21843">
        <v>102</v>
      </c>
      <c r="D21843">
        <v>1</v>
      </c>
    </row>
    <row r="21844" spans="2:4">
      <c r="B21844">
        <v>1</v>
      </c>
      <c r="C21844">
        <v>102</v>
      </c>
      <c r="D21844">
        <v>1</v>
      </c>
    </row>
    <row r="21845" spans="2:4">
      <c r="B21845">
        <v>1</v>
      </c>
      <c r="C21845">
        <v>102</v>
      </c>
      <c r="D21845">
        <v>1</v>
      </c>
    </row>
    <row r="21846" spans="2:4">
      <c r="B21846">
        <v>1</v>
      </c>
      <c r="C21846">
        <v>102</v>
      </c>
      <c r="D21846">
        <v>1</v>
      </c>
    </row>
    <row r="21847" spans="2:4">
      <c r="B21847">
        <v>1</v>
      </c>
      <c r="C21847">
        <v>102</v>
      </c>
      <c r="D21847">
        <v>1</v>
      </c>
    </row>
    <row r="21849" spans="2:4">
      <c r="B21849">
        <v>1</v>
      </c>
      <c r="C21849">
        <v>102</v>
      </c>
      <c r="D21849">
        <v>1</v>
      </c>
    </row>
    <row r="21850" spans="2:4">
      <c r="B21850">
        <v>1</v>
      </c>
      <c r="C21850">
        <v>102</v>
      </c>
      <c r="D21850">
        <v>1</v>
      </c>
    </row>
    <row r="21852" spans="2:4">
      <c r="B21852">
        <v>1</v>
      </c>
      <c r="C21852">
        <v>102</v>
      </c>
      <c r="D21852">
        <v>1</v>
      </c>
    </row>
    <row r="21853" spans="2:4">
      <c r="B21853">
        <v>1</v>
      </c>
      <c r="C21853">
        <v>102</v>
      </c>
      <c r="D21853">
        <v>1</v>
      </c>
    </row>
    <row r="21854" spans="2:4">
      <c r="B21854">
        <v>1</v>
      </c>
      <c r="C21854">
        <v>102</v>
      </c>
      <c r="D21854">
        <v>1</v>
      </c>
    </row>
    <row r="21856" spans="2:4">
      <c r="B21856">
        <v>1</v>
      </c>
      <c r="C21856">
        <v>102</v>
      </c>
      <c r="D21856">
        <v>1</v>
      </c>
    </row>
    <row r="21859" spans="2:4">
      <c r="B21859">
        <v>1</v>
      </c>
      <c r="C21859">
        <v>102</v>
      </c>
      <c r="D21859">
        <v>1</v>
      </c>
    </row>
    <row r="21860" spans="2:4">
      <c r="B21860">
        <v>1</v>
      </c>
      <c r="C21860">
        <v>102</v>
      </c>
      <c r="D21860">
        <v>1</v>
      </c>
    </row>
    <row r="21862" spans="2:4">
      <c r="B21862">
        <v>1</v>
      </c>
      <c r="C21862">
        <v>102</v>
      </c>
      <c r="D21862">
        <v>1</v>
      </c>
    </row>
    <row r="21863" spans="2:4">
      <c r="B21863">
        <v>1</v>
      </c>
      <c r="C21863">
        <v>102</v>
      </c>
      <c r="D21863">
        <v>1</v>
      </c>
    </row>
    <row r="21866" spans="2:4">
      <c r="B21866">
        <v>1</v>
      </c>
      <c r="C21866">
        <v>102</v>
      </c>
      <c r="D21866">
        <v>1</v>
      </c>
    </row>
    <row r="21867" spans="2:4">
      <c r="B21867">
        <v>1</v>
      </c>
      <c r="C21867">
        <v>102</v>
      </c>
      <c r="D21867">
        <v>1</v>
      </c>
    </row>
    <row r="21868" spans="2:4">
      <c r="B21868">
        <v>1</v>
      </c>
      <c r="C21868">
        <v>102</v>
      </c>
      <c r="D21868">
        <v>1</v>
      </c>
    </row>
    <row r="21869" spans="2:4">
      <c r="B21869">
        <v>1</v>
      </c>
      <c r="C21869">
        <v>102</v>
      </c>
      <c r="D21869">
        <v>1</v>
      </c>
    </row>
    <row r="21877" spans="2:4">
      <c r="B21877">
        <v>1</v>
      </c>
      <c r="C21877">
        <v>102</v>
      </c>
      <c r="D21877">
        <v>1</v>
      </c>
    </row>
    <row r="21879" spans="2:4">
      <c r="B21879">
        <v>1</v>
      </c>
      <c r="C21879">
        <v>102</v>
      </c>
      <c r="D21879">
        <v>1</v>
      </c>
    </row>
    <row r="21880" spans="2:4">
      <c r="B21880">
        <v>1</v>
      </c>
      <c r="C21880">
        <v>102</v>
      </c>
      <c r="D21880">
        <v>1</v>
      </c>
    </row>
    <row r="21881" spans="2:4">
      <c r="B21881">
        <v>1</v>
      </c>
      <c r="C21881">
        <v>102</v>
      </c>
      <c r="D21881">
        <v>1</v>
      </c>
    </row>
    <row r="21889" spans="2:4">
      <c r="B21889">
        <v>1</v>
      </c>
      <c r="C21889">
        <v>102</v>
      </c>
      <c r="D21889">
        <v>1</v>
      </c>
    </row>
    <row r="21890" spans="2:4">
      <c r="B21890">
        <v>1</v>
      </c>
      <c r="C21890">
        <v>102</v>
      </c>
      <c r="D21890">
        <v>1</v>
      </c>
    </row>
    <row r="21896" spans="2:4">
      <c r="B21896">
        <v>1</v>
      </c>
      <c r="C21896">
        <v>102</v>
      </c>
      <c r="D21896">
        <v>1</v>
      </c>
    </row>
    <row r="21901" spans="2:4">
      <c r="B21901">
        <v>1</v>
      </c>
      <c r="C21901">
        <v>102</v>
      </c>
      <c r="D21901">
        <v>1</v>
      </c>
    </row>
    <row r="21902" spans="2:4">
      <c r="B21902">
        <v>1</v>
      </c>
      <c r="C21902">
        <v>102</v>
      </c>
      <c r="D21902">
        <v>1</v>
      </c>
    </row>
    <row r="21903" spans="2:4">
      <c r="B21903">
        <v>1</v>
      </c>
      <c r="C21903">
        <v>102</v>
      </c>
      <c r="D21903">
        <v>1</v>
      </c>
    </row>
    <row r="21909" spans="2:4">
      <c r="B21909">
        <v>1</v>
      </c>
      <c r="C21909">
        <v>102</v>
      </c>
      <c r="D21909">
        <v>1</v>
      </c>
    </row>
    <row r="21910" spans="2:4">
      <c r="B21910">
        <v>1</v>
      </c>
      <c r="C21910">
        <v>102</v>
      </c>
      <c r="D21910">
        <v>1</v>
      </c>
    </row>
    <row r="21911" spans="2:4">
      <c r="B21911">
        <v>1</v>
      </c>
      <c r="C21911">
        <v>102</v>
      </c>
      <c r="D21911">
        <v>1</v>
      </c>
    </row>
    <row r="21914" spans="2:4">
      <c r="B21914">
        <v>1</v>
      </c>
      <c r="C21914">
        <v>102</v>
      </c>
      <c r="D21914">
        <v>1</v>
      </c>
    </row>
    <row r="21921" spans="2:4">
      <c r="B21921">
        <v>1</v>
      </c>
      <c r="C21921">
        <v>102</v>
      </c>
      <c r="D21921">
        <v>1</v>
      </c>
    </row>
    <row r="21932" spans="2:4">
      <c r="B21932">
        <v>1</v>
      </c>
      <c r="C21932">
        <v>102</v>
      </c>
      <c r="D21932">
        <v>1</v>
      </c>
    </row>
    <row r="21933" spans="2:4">
      <c r="B21933">
        <v>1</v>
      </c>
      <c r="C21933">
        <v>102</v>
      </c>
      <c r="D21933">
        <v>1</v>
      </c>
    </row>
    <row r="21935" spans="2:4">
      <c r="B21935">
        <v>1</v>
      </c>
      <c r="C21935">
        <v>102</v>
      </c>
      <c r="D21935">
        <v>1</v>
      </c>
    </row>
    <row r="21936" spans="2:4">
      <c r="B21936">
        <v>1</v>
      </c>
      <c r="C21936">
        <v>102</v>
      </c>
      <c r="D21936">
        <v>1</v>
      </c>
    </row>
    <row r="21938" spans="2:4">
      <c r="B21938">
        <v>1</v>
      </c>
      <c r="C21938">
        <v>102</v>
      </c>
      <c r="D21938">
        <v>1</v>
      </c>
    </row>
    <row r="21940" spans="2:4">
      <c r="B21940">
        <v>1</v>
      </c>
      <c r="C21940">
        <v>102</v>
      </c>
      <c r="D21940">
        <v>1</v>
      </c>
    </row>
    <row r="21941" spans="2:4">
      <c r="B21941">
        <v>1</v>
      </c>
      <c r="C21941">
        <v>102</v>
      </c>
      <c r="D21941">
        <v>1</v>
      </c>
    </row>
    <row r="21948" spans="2:4">
      <c r="B21948">
        <v>1</v>
      </c>
      <c r="C21948">
        <v>102</v>
      </c>
      <c r="D21948">
        <v>1</v>
      </c>
    </row>
    <row r="21950" spans="2:4">
      <c r="B21950">
        <v>1</v>
      </c>
      <c r="C21950">
        <v>102</v>
      </c>
      <c r="D21950">
        <v>1</v>
      </c>
    </row>
    <row r="21951" spans="2:4">
      <c r="B21951">
        <v>1</v>
      </c>
      <c r="C21951">
        <v>102</v>
      </c>
      <c r="D21951">
        <v>1</v>
      </c>
    </row>
    <row r="21952" spans="2:4">
      <c r="B21952">
        <v>1</v>
      </c>
      <c r="C21952">
        <v>102</v>
      </c>
      <c r="D21952">
        <v>1</v>
      </c>
    </row>
    <row r="21953" spans="2:4">
      <c r="B21953">
        <v>1</v>
      </c>
      <c r="C21953">
        <v>102</v>
      </c>
      <c r="D21953">
        <v>1</v>
      </c>
    </row>
    <row r="21956" spans="2:4">
      <c r="B21956">
        <v>1</v>
      </c>
      <c r="C21956">
        <v>102</v>
      </c>
      <c r="D21956">
        <v>1</v>
      </c>
    </row>
    <row r="21957" spans="2:4">
      <c r="B21957">
        <v>1</v>
      </c>
      <c r="C21957">
        <v>102</v>
      </c>
      <c r="D21957">
        <v>1</v>
      </c>
    </row>
    <row r="21958" spans="2:4">
      <c r="B21958">
        <v>1</v>
      </c>
      <c r="C21958">
        <v>102</v>
      </c>
      <c r="D21958">
        <v>1</v>
      </c>
    </row>
    <row r="21962" spans="2:4">
      <c r="B21962">
        <v>1</v>
      </c>
      <c r="C21962">
        <v>102</v>
      </c>
      <c r="D21962">
        <v>1</v>
      </c>
    </row>
    <row r="21964" spans="2:4">
      <c r="B21964">
        <v>1</v>
      </c>
      <c r="C21964">
        <v>102</v>
      </c>
      <c r="D21964">
        <v>1</v>
      </c>
    </row>
    <row r="21966" spans="2:4">
      <c r="B21966">
        <v>1</v>
      </c>
      <c r="C21966">
        <v>102</v>
      </c>
      <c r="D21966">
        <v>1</v>
      </c>
    </row>
    <row r="21967" spans="2:4">
      <c r="B21967">
        <v>1</v>
      </c>
      <c r="C21967">
        <v>102</v>
      </c>
      <c r="D21967">
        <v>1</v>
      </c>
    </row>
    <row r="21976" spans="2:4">
      <c r="B21976">
        <v>1</v>
      </c>
      <c r="C21976">
        <v>102</v>
      </c>
      <c r="D21976">
        <v>1</v>
      </c>
    </row>
    <row r="21983" spans="2:4">
      <c r="B21983">
        <v>1</v>
      </c>
      <c r="C21983">
        <v>102</v>
      </c>
      <c r="D21983">
        <v>1</v>
      </c>
    </row>
    <row r="21985" spans="2:4">
      <c r="B21985">
        <v>1</v>
      </c>
      <c r="C21985">
        <v>102</v>
      </c>
      <c r="D21985">
        <v>1</v>
      </c>
    </row>
    <row r="21986" spans="2:4">
      <c r="B21986">
        <v>1</v>
      </c>
      <c r="C21986">
        <v>102</v>
      </c>
      <c r="D21986">
        <v>1</v>
      </c>
    </row>
    <row r="21989" spans="2:4">
      <c r="B21989">
        <v>1</v>
      </c>
      <c r="C21989">
        <v>102</v>
      </c>
      <c r="D21989">
        <v>1</v>
      </c>
    </row>
    <row r="21992" spans="2:4">
      <c r="B21992">
        <v>1</v>
      </c>
      <c r="C21992">
        <v>102</v>
      </c>
      <c r="D21992">
        <v>1</v>
      </c>
    </row>
    <row r="21993" spans="2:4">
      <c r="B21993">
        <v>1</v>
      </c>
      <c r="C21993">
        <v>102</v>
      </c>
      <c r="D21993">
        <v>1</v>
      </c>
    </row>
    <row r="21999" spans="2:4">
      <c r="B21999">
        <v>1</v>
      </c>
      <c r="C21999">
        <v>102</v>
      </c>
      <c r="D21999">
        <v>1</v>
      </c>
    </row>
    <row r="22000" spans="2:4">
      <c r="B22000">
        <v>1</v>
      </c>
      <c r="C22000">
        <v>102</v>
      </c>
      <c r="D22000">
        <v>1</v>
      </c>
    </row>
    <row r="22006" spans="2:4">
      <c r="B22006">
        <v>1</v>
      </c>
      <c r="C22006">
        <v>102</v>
      </c>
      <c r="D22006">
        <v>1</v>
      </c>
    </row>
    <row r="22010" spans="2:4">
      <c r="B22010">
        <v>1</v>
      </c>
      <c r="C22010">
        <v>102</v>
      </c>
      <c r="D22010">
        <v>1</v>
      </c>
    </row>
    <row r="22011" spans="2:4">
      <c r="B22011">
        <v>1</v>
      </c>
      <c r="C22011">
        <v>102</v>
      </c>
      <c r="D22011">
        <v>1</v>
      </c>
    </row>
    <row r="22015" spans="2:4">
      <c r="B22015">
        <v>1</v>
      </c>
      <c r="C22015">
        <v>102</v>
      </c>
      <c r="D22015">
        <v>1</v>
      </c>
    </row>
    <row r="22016" spans="2:4">
      <c r="B22016">
        <v>1</v>
      </c>
      <c r="C22016">
        <v>102</v>
      </c>
      <c r="D22016">
        <v>1</v>
      </c>
    </row>
    <row r="22019" spans="2:4">
      <c r="B22019">
        <v>1</v>
      </c>
      <c r="C22019">
        <v>102</v>
      </c>
      <c r="D22019">
        <v>1</v>
      </c>
    </row>
    <row r="22021" spans="2:4">
      <c r="B22021">
        <v>1</v>
      </c>
      <c r="C22021">
        <v>102</v>
      </c>
      <c r="D22021">
        <v>1</v>
      </c>
    </row>
    <row r="22022" spans="2:4">
      <c r="B22022">
        <v>1</v>
      </c>
      <c r="C22022">
        <v>102</v>
      </c>
      <c r="D22022">
        <v>1</v>
      </c>
    </row>
    <row r="22025" spans="2:4">
      <c r="B22025">
        <v>1</v>
      </c>
      <c r="C22025">
        <v>102</v>
      </c>
      <c r="D22025">
        <v>1</v>
      </c>
    </row>
    <row r="22026" spans="2:4">
      <c r="B22026">
        <v>1</v>
      </c>
      <c r="C22026">
        <v>102</v>
      </c>
      <c r="D22026">
        <v>1</v>
      </c>
    </row>
    <row r="22028" spans="2:4">
      <c r="B22028">
        <v>1</v>
      </c>
      <c r="C22028">
        <v>102</v>
      </c>
      <c r="D22028">
        <v>1</v>
      </c>
    </row>
    <row r="22032" spans="2:4">
      <c r="B22032">
        <v>1</v>
      </c>
      <c r="C22032">
        <v>102</v>
      </c>
      <c r="D22032">
        <v>1</v>
      </c>
    </row>
    <row r="22033" spans="2:4">
      <c r="B22033">
        <v>1</v>
      </c>
      <c r="C22033">
        <v>102</v>
      </c>
      <c r="D22033">
        <v>1</v>
      </c>
    </row>
    <row r="22034" spans="2:4">
      <c r="B22034">
        <v>1</v>
      </c>
      <c r="C22034">
        <v>102</v>
      </c>
      <c r="D22034">
        <v>1</v>
      </c>
    </row>
    <row r="22035" spans="2:4">
      <c r="B22035">
        <v>1</v>
      </c>
      <c r="C22035">
        <v>102</v>
      </c>
      <c r="D22035">
        <v>1</v>
      </c>
    </row>
    <row r="22036" spans="2:4">
      <c r="B22036">
        <v>1</v>
      </c>
      <c r="C22036">
        <v>102</v>
      </c>
      <c r="D22036">
        <v>1</v>
      </c>
    </row>
    <row r="22043" spans="2:4">
      <c r="B22043">
        <v>1</v>
      </c>
      <c r="C22043">
        <v>102</v>
      </c>
      <c r="D22043">
        <v>1</v>
      </c>
    </row>
    <row r="22044" spans="2:4">
      <c r="B22044">
        <v>1</v>
      </c>
      <c r="C22044">
        <v>102</v>
      </c>
      <c r="D22044">
        <v>1</v>
      </c>
    </row>
    <row r="22045" spans="2:4">
      <c r="B22045">
        <v>1</v>
      </c>
      <c r="C22045">
        <v>102</v>
      </c>
      <c r="D22045">
        <v>1</v>
      </c>
    </row>
    <row r="22046" spans="2:4">
      <c r="B22046">
        <v>1</v>
      </c>
      <c r="C22046">
        <v>102</v>
      </c>
      <c r="D22046">
        <v>1</v>
      </c>
    </row>
    <row r="22051" spans="2:4">
      <c r="B22051">
        <v>1</v>
      </c>
      <c r="C22051">
        <v>102</v>
      </c>
      <c r="D22051">
        <v>1</v>
      </c>
    </row>
    <row r="22052" spans="2:4">
      <c r="B22052">
        <v>1</v>
      </c>
      <c r="C22052">
        <v>102</v>
      </c>
      <c r="D22052">
        <v>1</v>
      </c>
    </row>
    <row r="22054" spans="2:4">
      <c r="B22054">
        <v>1</v>
      </c>
      <c r="C22054">
        <v>102</v>
      </c>
      <c r="D22054">
        <v>1</v>
      </c>
    </row>
    <row r="22055" spans="2:4">
      <c r="B22055">
        <v>1</v>
      </c>
      <c r="C22055">
        <v>102</v>
      </c>
      <c r="D22055">
        <v>1</v>
      </c>
    </row>
    <row r="22057" spans="2:4">
      <c r="B22057">
        <v>1</v>
      </c>
      <c r="C22057">
        <v>102</v>
      </c>
      <c r="D22057">
        <v>1</v>
      </c>
    </row>
    <row r="22059" spans="2:4">
      <c r="B22059">
        <v>1</v>
      </c>
      <c r="C22059">
        <v>102</v>
      </c>
      <c r="D22059">
        <v>1</v>
      </c>
    </row>
    <row r="22062" spans="2:4">
      <c r="B22062">
        <v>1</v>
      </c>
      <c r="C22062">
        <v>102</v>
      </c>
      <c r="D22062">
        <v>1</v>
      </c>
    </row>
    <row r="22065" spans="2:4">
      <c r="B22065">
        <v>1</v>
      </c>
      <c r="C22065">
        <v>102</v>
      </c>
      <c r="D22065">
        <v>1</v>
      </c>
    </row>
    <row r="22067" spans="2:4">
      <c r="B22067">
        <v>1</v>
      </c>
      <c r="C22067">
        <v>102</v>
      </c>
      <c r="D22067">
        <v>1</v>
      </c>
    </row>
    <row r="22072" spans="2:4">
      <c r="B22072">
        <v>1</v>
      </c>
      <c r="C22072">
        <v>102</v>
      </c>
      <c r="D22072">
        <v>1</v>
      </c>
    </row>
    <row r="22073" spans="2:4">
      <c r="B22073">
        <v>1</v>
      </c>
      <c r="C22073">
        <v>102</v>
      </c>
      <c r="D22073">
        <v>1</v>
      </c>
    </row>
    <row r="22075" spans="2:4">
      <c r="B22075">
        <v>1</v>
      </c>
      <c r="C22075">
        <v>102</v>
      </c>
      <c r="D22075">
        <v>1</v>
      </c>
    </row>
    <row r="22077" spans="2:4">
      <c r="B22077">
        <v>1</v>
      </c>
      <c r="C22077">
        <v>102</v>
      </c>
      <c r="D22077">
        <v>1</v>
      </c>
    </row>
    <row r="22082" spans="2:4">
      <c r="B22082">
        <v>1</v>
      </c>
      <c r="C22082">
        <v>102</v>
      </c>
      <c r="D22082">
        <v>1</v>
      </c>
    </row>
    <row r="22083" spans="2:4">
      <c r="B22083">
        <v>1</v>
      </c>
      <c r="C22083">
        <v>102</v>
      </c>
      <c r="D22083">
        <v>1</v>
      </c>
    </row>
    <row r="22087" spans="2:4">
      <c r="B22087">
        <v>1</v>
      </c>
      <c r="C22087">
        <v>102</v>
      </c>
      <c r="D22087">
        <v>1</v>
      </c>
    </row>
    <row r="22088" spans="2:4">
      <c r="B22088">
        <v>1</v>
      </c>
      <c r="C22088">
        <v>102</v>
      </c>
      <c r="D22088">
        <v>1</v>
      </c>
    </row>
    <row r="22091" spans="2:4">
      <c r="B22091">
        <v>1</v>
      </c>
      <c r="C22091">
        <v>102</v>
      </c>
      <c r="D22091">
        <v>1</v>
      </c>
    </row>
    <row r="22096" spans="2:4">
      <c r="B22096">
        <v>1</v>
      </c>
      <c r="C22096">
        <v>102</v>
      </c>
      <c r="D22096">
        <v>1</v>
      </c>
    </row>
    <row r="22097" spans="2:4">
      <c r="B22097">
        <v>1</v>
      </c>
      <c r="C22097">
        <v>102</v>
      </c>
      <c r="D22097">
        <v>1</v>
      </c>
    </row>
    <row r="22098" spans="2:4">
      <c r="B22098">
        <v>1</v>
      </c>
      <c r="C22098">
        <v>102</v>
      </c>
      <c r="D22098">
        <v>1</v>
      </c>
    </row>
    <row r="22099" spans="2:4">
      <c r="B22099">
        <v>1</v>
      </c>
      <c r="C22099">
        <v>102</v>
      </c>
      <c r="D22099">
        <v>1</v>
      </c>
    </row>
    <row r="22100" spans="2:4">
      <c r="B22100">
        <v>1</v>
      </c>
      <c r="C22100">
        <v>102</v>
      </c>
      <c r="D22100">
        <v>1</v>
      </c>
    </row>
    <row r="22101" spans="2:4">
      <c r="B22101">
        <v>1</v>
      </c>
      <c r="C22101">
        <v>102</v>
      </c>
      <c r="D22101">
        <v>1</v>
      </c>
    </row>
    <row r="22102" spans="2:4">
      <c r="B22102">
        <v>1</v>
      </c>
      <c r="C22102">
        <v>102</v>
      </c>
      <c r="D22102">
        <v>1</v>
      </c>
    </row>
    <row r="22103" spans="2:4">
      <c r="B22103">
        <v>1</v>
      </c>
      <c r="C22103">
        <v>102</v>
      </c>
      <c r="D22103">
        <v>1</v>
      </c>
    </row>
    <row r="22105" spans="2:4">
      <c r="B22105">
        <v>1</v>
      </c>
      <c r="C22105">
        <v>102</v>
      </c>
      <c r="D22105">
        <v>1</v>
      </c>
    </row>
    <row r="22106" spans="2:4">
      <c r="B22106">
        <v>1</v>
      </c>
      <c r="C22106">
        <v>102</v>
      </c>
      <c r="D22106">
        <v>1</v>
      </c>
    </row>
    <row r="22108" spans="2:4">
      <c r="B22108">
        <v>1</v>
      </c>
      <c r="C22108">
        <v>102</v>
      </c>
      <c r="D22108">
        <v>1</v>
      </c>
    </row>
    <row r="22109" spans="2:4">
      <c r="B22109">
        <v>1</v>
      </c>
      <c r="C22109">
        <v>102</v>
      </c>
      <c r="D22109">
        <v>1</v>
      </c>
    </row>
    <row r="22110" spans="2:4">
      <c r="B22110">
        <v>1</v>
      </c>
      <c r="C22110">
        <v>102</v>
      </c>
      <c r="D22110">
        <v>1</v>
      </c>
    </row>
    <row r="22112" spans="2:4">
      <c r="B22112">
        <v>1</v>
      </c>
      <c r="C22112">
        <v>102</v>
      </c>
      <c r="D22112">
        <v>1</v>
      </c>
    </row>
    <row r="22115" spans="2:4">
      <c r="B22115">
        <v>1</v>
      </c>
      <c r="C22115">
        <v>102</v>
      </c>
      <c r="D22115">
        <v>1</v>
      </c>
    </row>
    <row r="22116" spans="2:4">
      <c r="B22116">
        <v>1</v>
      </c>
      <c r="C22116">
        <v>102</v>
      </c>
      <c r="D22116">
        <v>1</v>
      </c>
    </row>
    <row r="22118" spans="2:4">
      <c r="B22118">
        <v>1</v>
      </c>
      <c r="C22118">
        <v>102</v>
      </c>
      <c r="D22118">
        <v>1</v>
      </c>
    </row>
    <row r="22119" spans="2:4">
      <c r="B22119">
        <v>1</v>
      </c>
      <c r="C22119">
        <v>102</v>
      </c>
      <c r="D22119">
        <v>1</v>
      </c>
    </row>
    <row r="22122" spans="2:4">
      <c r="B22122">
        <v>1</v>
      </c>
      <c r="C22122">
        <v>102</v>
      </c>
      <c r="D22122">
        <v>1</v>
      </c>
    </row>
    <row r="22123" spans="2:4">
      <c r="B22123">
        <v>1</v>
      </c>
      <c r="C22123">
        <v>102</v>
      </c>
      <c r="D22123">
        <v>1</v>
      </c>
    </row>
    <row r="22124" spans="2:4">
      <c r="B22124">
        <v>1</v>
      </c>
      <c r="C22124">
        <v>102</v>
      </c>
      <c r="D22124">
        <v>1</v>
      </c>
    </row>
    <row r="22125" spans="2:4">
      <c r="B22125">
        <v>1</v>
      </c>
      <c r="C22125">
        <v>102</v>
      </c>
      <c r="D22125">
        <v>1</v>
      </c>
    </row>
    <row r="22133" spans="2:4">
      <c r="B22133">
        <v>1</v>
      </c>
      <c r="C22133">
        <v>102</v>
      </c>
      <c r="D22133">
        <v>1</v>
      </c>
    </row>
    <row r="22135" spans="2:4">
      <c r="B22135">
        <v>1</v>
      </c>
      <c r="C22135">
        <v>102</v>
      </c>
      <c r="D22135">
        <v>1</v>
      </c>
    </row>
    <row r="22136" spans="2:4">
      <c r="B22136">
        <v>1</v>
      </c>
      <c r="C22136">
        <v>102</v>
      </c>
      <c r="D22136">
        <v>1</v>
      </c>
    </row>
    <row r="22137" spans="2:4">
      <c r="B22137">
        <v>1</v>
      </c>
      <c r="C22137">
        <v>102</v>
      </c>
      <c r="D22137">
        <v>1</v>
      </c>
    </row>
    <row r="22145" spans="2:4">
      <c r="B22145">
        <v>1</v>
      </c>
      <c r="C22145">
        <v>102</v>
      </c>
      <c r="D22145">
        <v>1</v>
      </c>
    </row>
    <row r="22146" spans="2:4">
      <c r="B22146">
        <v>1</v>
      </c>
      <c r="C22146">
        <v>102</v>
      </c>
      <c r="D22146">
        <v>1</v>
      </c>
    </row>
    <row r="22152" spans="2:4">
      <c r="B22152">
        <v>1</v>
      </c>
      <c r="C22152">
        <v>102</v>
      </c>
      <c r="D22152">
        <v>1</v>
      </c>
    </row>
    <row r="22157" spans="2:4">
      <c r="B22157">
        <v>1</v>
      </c>
      <c r="C22157">
        <v>102</v>
      </c>
      <c r="D22157">
        <v>1</v>
      </c>
    </row>
    <row r="22158" spans="2:4">
      <c r="B22158">
        <v>1</v>
      </c>
      <c r="C22158">
        <v>102</v>
      </c>
      <c r="D22158">
        <v>1</v>
      </c>
    </row>
    <row r="22159" spans="2:4">
      <c r="B22159">
        <v>1</v>
      </c>
      <c r="C22159">
        <v>102</v>
      </c>
      <c r="D22159">
        <v>1</v>
      </c>
    </row>
    <row r="22165" spans="2:4">
      <c r="B22165">
        <v>1</v>
      </c>
      <c r="C22165">
        <v>102</v>
      </c>
      <c r="D22165">
        <v>1</v>
      </c>
    </row>
    <row r="22166" spans="2:4">
      <c r="B22166">
        <v>1</v>
      </c>
      <c r="C22166">
        <v>102</v>
      </c>
      <c r="D22166">
        <v>1</v>
      </c>
    </row>
    <row r="22167" spans="2:4">
      <c r="B22167">
        <v>1</v>
      </c>
      <c r="C22167">
        <v>102</v>
      </c>
      <c r="D22167">
        <v>1</v>
      </c>
    </row>
    <row r="22170" spans="2:4">
      <c r="B22170">
        <v>1</v>
      </c>
      <c r="C22170">
        <v>102</v>
      </c>
      <c r="D22170">
        <v>1</v>
      </c>
    </row>
    <row r="22177" spans="2:4">
      <c r="B22177">
        <v>1</v>
      </c>
      <c r="C22177">
        <v>102</v>
      </c>
      <c r="D22177">
        <v>1</v>
      </c>
    </row>
    <row r="22188" spans="2:4">
      <c r="B22188">
        <v>1</v>
      </c>
      <c r="C22188">
        <v>102</v>
      </c>
      <c r="D22188">
        <v>1</v>
      </c>
    </row>
    <row r="22189" spans="2:4">
      <c r="B22189">
        <v>1</v>
      </c>
      <c r="C22189">
        <v>102</v>
      </c>
      <c r="D22189">
        <v>1</v>
      </c>
    </row>
    <row r="22191" spans="2:4">
      <c r="B22191">
        <v>1</v>
      </c>
      <c r="C22191">
        <v>102</v>
      </c>
      <c r="D22191">
        <v>1</v>
      </c>
    </row>
    <row r="22192" spans="2:4">
      <c r="B22192">
        <v>1</v>
      </c>
      <c r="C22192">
        <v>102</v>
      </c>
      <c r="D22192">
        <v>1</v>
      </c>
    </row>
    <row r="22194" spans="2:4">
      <c r="B22194">
        <v>1</v>
      </c>
      <c r="C22194">
        <v>102</v>
      </c>
      <c r="D22194">
        <v>1</v>
      </c>
    </row>
    <row r="22196" spans="2:4">
      <c r="B22196">
        <v>1</v>
      </c>
      <c r="C22196">
        <v>102</v>
      </c>
      <c r="D22196">
        <v>1</v>
      </c>
    </row>
    <row r="22197" spans="2:4">
      <c r="B22197">
        <v>1</v>
      </c>
      <c r="C22197">
        <v>102</v>
      </c>
      <c r="D22197">
        <v>1</v>
      </c>
    </row>
    <row r="22204" spans="2:4">
      <c r="B22204">
        <v>1</v>
      </c>
      <c r="C22204">
        <v>102</v>
      </c>
      <c r="D22204">
        <v>1</v>
      </c>
    </row>
    <row r="22206" spans="2:4">
      <c r="B22206">
        <v>1</v>
      </c>
      <c r="C22206">
        <v>102</v>
      </c>
      <c r="D22206">
        <v>1</v>
      </c>
    </row>
    <row r="22207" spans="2:4">
      <c r="B22207">
        <v>1</v>
      </c>
      <c r="C22207">
        <v>102</v>
      </c>
      <c r="D22207">
        <v>1</v>
      </c>
    </row>
    <row r="22208" spans="2:4">
      <c r="B22208">
        <v>1</v>
      </c>
      <c r="C22208">
        <v>102</v>
      </c>
      <c r="D22208">
        <v>1</v>
      </c>
    </row>
    <row r="22209" spans="2:4">
      <c r="B22209">
        <v>1</v>
      </c>
      <c r="C22209">
        <v>102</v>
      </c>
      <c r="D22209">
        <v>1</v>
      </c>
    </row>
    <row r="22212" spans="2:4">
      <c r="B22212">
        <v>1</v>
      </c>
      <c r="C22212">
        <v>102</v>
      </c>
      <c r="D22212">
        <v>1</v>
      </c>
    </row>
    <row r="22213" spans="2:4">
      <c r="B22213">
        <v>1</v>
      </c>
      <c r="C22213">
        <v>102</v>
      </c>
      <c r="D22213">
        <v>1</v>
      </c>
    </row>
    <row r="22214" spans="2:4">
      <c r="B22214">
        <v>1</v>
      </c>
      <c r="C22214">
        <v>102</v>
      </c>
      <c r="D22214">
        <v>1</v>
      </c>
    </row>
    <row r="22218" spans="2:4">
      <c r="B22218">
        <v>1</v>
      </c>
      <c r="C22218">
        <v>102</v>
      </c>
      <c r="D22218">
        <v>1</v>
      </c>
    </row>
    <row r="22220" spans="2:4">
      <c r="B22220">
        <v>1</v>
      </c>
      <c r="C22220">
        <v>102</v>
      </c>
      <c r="D22220">
        <v>1</v>
      </c>
    </row>
    <row r="22222" spans="2:4">
      <c r="B22222">
        <v>1</v>
      </c>
      <c r="C22222">
        <v>102</v>
      </c>
      <c r="D22222">
        <v>1</v>
      </c>
    </row>
    <row r="22223" spans="2:4">
      <c r="B22223">
        <v>1</v>
      </c>
      <c r="C22223">
        <v>102</v>
      </c>
      <c r="D22223">
        <v>1</v>
      </c>
    </row>
    <row r="22232" spans="2:4">
      <c r="B22232">
        <v>1</v>
      </c>
      <c r="C22232">
        <v>102</v>
      </c>
      <c r="D22232">
        <v>1</v>
      </c>
    </row>
    <row r="22239" spans="2:4">
      <c r="B22239">
        <v>1</v>
      </c>
      <c r="C22239">
        <v>102</v>
      </c>
      <c r="D22239">
        <v>1</v>
      </c>
    </row>
    <row r="22241" spans="2:4">
      <c r="B22241">
        <v>1</v>
      </c>
      <c r="C22241">
        <v>102</v>
      </c>
      <c r="D22241">
        <v>1</v>
      </c>
    </row>
    <row r="22242" spans="2:4">
      <c r="B22242">
        <v>1</v>
      </c>
      <c r="C22242">
        <v>102</v>
      </c>
      <c r="D22242">
        <v>1</v>
      </c>
    </row>
    <row r="22245" spans="2:4">
      <c r="B22245">
        <v>1</v>
      </c>
      <c r="C22245">
        <v>102</v>
      </c>
      <c r="D22245">
        <v>1</v>
      </c>
    </row>
    <row r="22248" spans="2:4">
      <c r="B22248">
        <v>1</v>
      </c>
      <c r="C22248">
        <v>102</v>
      </c>
      <c r="D22248">
        <v>1</v>
      </c>
    </row>
    <row r="22249" spans="2:4">
      <c r="B22249">
        <v>1</v>
      </c>
      <c r="C22249">
        <v>102</v>
      </c>
      <c r="D22249">
        <v>1</v>
      </c>
    </row>
    <row r="22255" spans="2:4">
      <c r="B22255">
        <v>1</v>
      </c>
      <c r="C22255">
        <v>102</v>
      </c>
      <c r="D22255">
        <v>1</v>
      </c>
    </row>
    <row r="22256" spans="2:4">
      <c r="B22256">
        <v>1</v>
      </c>
      <c r="C22256">
        <v>102</v>
      </c>
      <c r="D22256">
        <v>1</v>
      </c>
    </row>
    <row r="22262" spans="2:4">
      <c r="B22262">
        <v>1</v>
      </c>
      <c r="C22262">
        <v>102</v>
      </c>
      <c r="D22262">
        <v>1</v>
      </c>
    </row>
    <row r="22266" spans="2:4">
      <c r="B22266">
        <v>1</v>
      </c>
      <c r="C22266">
        <v>102</v>
      </c>
      <c r="D22266">
        <v>1</v>
      </c>
    </row>
    <row r="22267" spans="2:4">
      <c r="B22267">
        <v>1</v>
      </c>
      <c r="C22267">
        <v>102</v>
      </c>
      <c r="D22267">
        <v>1</v>
      </c>
    </row>
    <row r="22271" spans="2:4">
      <c r="B22271">
        <v>1</v>
      </c>
      <c r="C22271">
        <v>102</v>
      </c>
      <c r="D22271">
        <v>1</v>
      </c>
    </row>
    <row r="22272" spans="2:4">
      <c r="B22272">
        <v>1</v>
      </c>
      <c r="C22272">
        <v>102</v>
      </c>
      <c r="D22272">
        <v>1</v>
      </c>
    </row>
    <row r="22275" spans="2:4">
      <c r="B22275">
        <v>1</v>
      </c>
      <c r="C22275">
        <v>102</v>
      </c>
      <c r="D22275">
        <v>1</v>
      </c>
    </row>
    <row r="22277" spans="2:4">
      <c r="B22277">
        <v>1</v>
      </c>
      <c r="C22277">
        <v>102</v>
      </c>
      <c r="D22277">
        <v>1</v>
      </c>
    </row>
    <row r="22278" spans="2:4">
      <c r="B22278">
        <v>1</v>
      </c>
      <c r="C22278">
        <v>102</v>
      </c>
      <c r="D22278">
        <v>1</v>
      </c>
    </row>
    <row r="22281" spans="2:4">
      <c r="B22281">
        <v>1</v>
      </c>
      <c r="C22281">
        <v>102</v>
      </c>
      <c r="D22281">
        <v>1</v>
      </c>
    </row>
    <row r="22282" spans="2:4">
      <c r="B22282">
        <v>1</v>
      </c>
      <c r="C22282">
        <v>102</v>
      </c>
      <c r="D22282">
        <v>1</v>
      </c>
    </row>
    <row r="22284" spans="2:4">
      <c r="B22284">
        <v>1</v>
      </c>
      <c r="C22284">
        <v>102</v>
      </c>
      <c r="D22284">
        <v>1</v>
      </c>
    </row>
    <row r="22288" spans="2:4">
      <c r="B22288">
        <v>1</v>
      </c>
      <c r="C22288">
        <v>102</v>
      </c>
      <c r="D22288">
        <v>1</v>
      </c>
    </row>
    <row r="22289" spans="2:4">
      <c r="B22289">
        <v>1</v>
      </c>
      <c r="C22289">
        <v>102</v>
      </c>
      <c r="D22289">
        <v>1</v>
      </c>
    </row>
    <row r="22290" spans="2:4">
      <c r="B22290">
        <v>1</v>
      </c>
      <c r="C22290">
        <v>102</v>
      </c>
      <c r="D22290">
        <v>1</v>
      </c>
    </row>
    <row r="22291" spans="2:4">
      <c r="B22291">
        <v>1</v>
      </c>
      <c r="C22291">
        <v>102</v>
      </c>
      <c r="D22291">
        <v>1</v>
      </c>
    </row>
    <row r="22292" spans="2:4">
      <c r="B22292">
        <v>1</v>
      </c>
      <c r="C22292">
        <v>102</v>
      </c>
      <c r="D22292">
        <v>1</v>
      </c>
    </row>
    <row r="22299" spans="2:4">
      <c r="B22299">
        <v>1</v>
      </c>
      <c r="C22299">
        <v>102</v>
      </c>
      <c r="D22299">
        <v>1</v>
      </c>
    </row>
    <row r="22300" spans="2:4">
      <c r="B22300">
        <v>1</v>
      </c>
      <c r="C22300">
        <v>102</v>
      </c>
      <c r="D22300">
        <v>1</v>
      </c>
    </row>
    <row r="22301" spans="2:4">
      <c r="B22301">
        <v>1</v>
      </c>
      <c r="C22301">
        <v>102</v>
      </c>
      <c r="D22301">
        <v>1</v>
      </c>
    </row>
    <row r="22302" spans="2:4">
      <c r="B22302">
        <v>1</v>
      </c>
      <c r="C22302">
        <v>102</v>
      </c>
      <c r="D22302">
        <v>1</v>
      </c>
    </row>
    <row r="22307" spans="2:4">
      <c r="B22307">
        <v>1</v>
      </c>
      <c r="C22307">
        <v>102</v>
      </c>
      <c r="D22307">
        <v>1</v>
      </c>
    </row>
    <row r="22308" spans="2:4">
      <c r="B22308">
        <v>1</v>
      </c>
      <c r="C22308">
        <v>102</v>
      </c>
      <c r="D22308">
        <v>1</v>
      </c>
    </row>
    <row r="22310" spans="2:4">
      <c r="B22310">
        <v>1</v>
      </c>
      <c r="C22310">
        <v>102</v>
      </c>
      <c r="D22310">
        <v>1</v>
      </c>
    </row>
    <row r="22311" spans="2:4">
      <c r="B22311">
        <v>1</v>
      </c>
      <c r="C22311">
        <v>102</v>
      </c>
      <c r="D22311">
        <v>1</v>
      </c>
    </row>
    <row r="22313" spans="2:4">
      <c r="B22313">
        <v>1</v>
      </c>
      <c r="C22313">
        <v>102</v>
      </c>
      <c r="D22313">
        <v>1</v>
      </c>
    </row>
    <row r="22315" spans="2:4">
      <c r="B22315">
        <v>1</v>
      </c>
      <c r="C22315">
        <v>102</v>
      </c>
      <c r="D22315">
        <v>1</v>
      </c>
    </row>
    <row r="22318" spans="2:4">
      <c r="B22318">
        <v>1</v>
      </c>
      <c r="C22318">
        <v>102</v>
      </c>
      <c r="D22318">
        <v>1</v>
      </c>
    </row>
    <row r="22321" spans="2:4">
      <c r="B22321">
        <v>1</v>
      </c>
      <c r="C22321">
        <v>102</v>
      </c>
      <c r="D22321">
        <v>1</v>
      </c>
    </row>
    <row r="22323" spans="2:4">
      <c r="B22323">
        <v>1</v>
      </c>
      <c r="C22323">
        <v>102</v>
      </c>
      <c r="D22323">
        <v>1</v>
      </c>
    </row>
    <row r="22328" spans="2:4">
      <c r="B22328">
        <v>1</v>
      </c>
      <c r="C22328">
        <v>102</v>
      </c>
      <c r="D22328">
        <v>1</v>
      </c>
    </row>
    <row r="22329" spans="2:4">
      <c r="B22329">
        <v>1</v>
      </c>
      <c r="C22329">
        <v>102</v>
      </c>
      <c r="D22329">
        <v>1</v>
      </c>
    </row>
    <row r="22331" spans="2:4">
      <c r="B22331">
        <v>1</v>
      </c>
      <c r="C22331">
        <v>102</v>
      </c>
      <c r="D22331">
        <v>1</v>
      </c>
    </row>
    <row r="22333" spans="2:4">
      <c r="B22333">
        <v>1</v>
      </c>
      <c r="C22333">
        <v>102</v>
      </c>
      <c r="D22333">
        <v>1</v>
      </c>
    </row>
    <row r="22338" spans="2:4">
      <c r="B22338">
        <v>1</v>
      </c>
      <c r="C22338">
        <v>102</v>
      </c>
      <c r="D22338">
        <v>1</v>
      </c>
    </row>
    <row r="22339" spans="2:4">
      <c r="B22339">
        <v>1</v>
      </c>
      <c r="C22339">
        <v>102</v>
      </c>
      <c r="D22339">
        <v>1</v>
      </c>
    </row>
    <row r="22343" spans="2:4">
      <c r="B22343">
        <v>1</v>
      </c>
      <c r="C22343">
        <v>102</v>
      </c>
      <c r="D22343">
        <v>1</v>
      </c>
    </row>
    <row r="22344" spans="2:4">
      <c r="B22344">
        <v>1</v>
      </c>
      <c r="C22344">
        <v>102</v>
      </c>
      <c r="D22344">
        <v>1</v>
      </c>
    </row>
    <row r="22347" spans="2:4">
      <c r="B22347">
        <v>1</v>
      </c>
      <c r="C22347">
        <v>102</v>
      </c>
      <c r="D22347">
        <v>1</v>
      </c>
    </row>
    <row r="22352" spans="2:4">
      <c r="B22352">
        <v>1</v>
      </c>
      <c r="C22352">
        <v>102</v>
      </c>
      <c r="D22352">
        <v>1</v>
      </c>
    </row>
    <row r="22353" spans="2:4">
      <c r="B22353">
        <v>1</v>
      </c>
      <c r="C22353">
        <v>102</v>
      </c>
      <c r="D22353">
        <v>1</v>
      </c>
    </row>
    <row r="22354" spans="2:4">
      <c r="B22354">
        <v>1</v>
      </c>
      <c r="C22354">
        <v>102</v>
      </c>
      <c r="D22354">
        <v>1</v>
      </c>
    </row>
    <row r="22355" spans="2:4">
      <c r="B22355">
        <v>1</v>
      </c>
      <c r="C22355">
        <v>102</v>
      </c>
      <c r="D22355">
        <v>1</v>
      </c>
    </row>
    <row r="22356" spans="2:4">
      <c r="B22356">
        <v>1</v>
      </c>
      <c r="C22356">
        <v>102</v>
      </c>
      <c r="D22356">
        <v>1</v>
      </c>
    </row>
    <row r="22357" spans="2:4">
      <c r="B22357">
        <v>1</v>
      </c>
      <c r="C22357">
        <v>102</v>
      </c>
      <c r="D22357">
        <v>1</v>
      </c>
    </row>
    <row r="22358" spans="2:4">
      <c r="B22358">
        <v>1</v>
      </c>
      <c r="C22358">
        <v>102</v>
      </c>
      <c r="D22358">
        <v>1</v>
      </c>
    </row>
    <row r="22359" spans="2:4">
      <c r="B22359">
        <v>1</v>
      </c>
      <c r="C22359">
        <v>102</v>
      </c>
      <c r="D22359">
        <v>1</v>
      </c>
    </row>
    <row r="22361" spans="2:4">
      <c r="B22361">
        <v>1</v>
      </c>
      <c r="C22361">
        <v>102</v>
      </c>
      <c r="D22361">
        <v>1</v>
      </c>
    </row>
    <row r="22362" spans="2:4">
      <c r="B22362">
        <v>1</v>
      </c>
      <c r="C22362">
        <v>102</v>
      </c>
      <c r="D22362">
        <v>1</v>
      </c>
    </row>
    <row r="22364" spans="2:4">
      <c r="B22364">
        <v>1</v>
      </c>
      <c r="C22364">
        <v>102</v>
      </c>
      <c r="D22364">
        <v>1</v>
      </c>
    </row>
    <row r="22365" spans="2:4">
      <c r="B22365">
        <v>1</v>
      </c>
      <c r="C22365">
        <v>102</v>
      </c>
      <c r="D22365">
        <v>1</v>
      </c>
    </row>
    <row r="22366" spans="2:4">
      <c r="B22366">
        <v>1</v>
      </c>
      <c r="C22366">
        <v>102</v>
      </c>
      <c r="D22366">
        <v>1</v>
      </c>
    </row>
    <row r="22368" spans="2:4">
      <c r="B22368">
        <v>1</v>
      </c>
      <c r="C22368">
        <v>102</v>
      </c>
      <c r="D22368">
        <v>1</v>
      </c>
    </row>
    <row r="22371" spans="2:4">
      <c r="B22371">
        <v>1</v>
      </c>
      <c r="C22371">
        <v>102</v>
      </c>
      <c r="D22371">
        <v>1</v>
      </c>
    </row>
    <row r="22372" spans="2:4">
      <c r="B22372">
        <v>1</v>
      </c>
      <c r="C22372">
        <v>102</v>
      </c>
      <c r="D22372">
        <v>1</v>
      </c>
    </row>
    <row r="22374" spans="2:4">
      <c r="B22374">
        <v>1</v>
      </c>
      <c r="C22374">
        <v>102</v>
      </c>
      <c r="D22374">
        <v>1</v>
      </c>
    </row>
    <row r="22375" spans="2:4">
      <c r="B22375">
        <v>1</v>
      </c>
      <c r="C22375">
        <v>102</v>
      </c>
      <c r="D22375">
        <v>1</v>
      </c>
    </row>
    <row r="22378" spans="2:4">
      <c r="B22378">
        <v>1</v>
      </c>
      <c r="C22378">
        <v>102</v>
      </c>
      <c r="D22378">
        <v>1</v>
      </c>
    </row>
    <row r="22379" spans="2:4">
      <c r="B22379">
        <v>1</v>
      </c>
      <c r="C22379">
        <v>102</v>
      </c>
      <c r="D22379">
        <v>1</v>
      </c>
    </row>
    <row r="22380" spans="2:4">
      <c r="B22380">
        <v>1</v>
      </c>
      <c r="C22380">
        <v>102</v>
      </c>
      <c r="D22380">
        <v>1</v>
      </c>
    </row>
    <row r="22381" spans="2:4">
      <c r="B22381">
        <v>1</v>
      </c>
      <c r="C22381">
        <v>102</v>
      </c>
      <c r="D22381">
        <v>1</v>
      </c>
    </row>
    <row r="22389" spans="2:4">
      <c r="B22389">
        <v>1</v>
      </c>
      <c r="C22389">
        <v>102</v>
      </c>
      <c r="D22389">
        <v>1</v>
      </c>
    </row>
    <row r="22391" spans="2:4">
      <c r="B22391">
        <v>1</v>
      </c>
      <c r="C22391">
        <v>102</v>
      </c>
      <c r="D22391">
        <v>1</v>
      </c>
    </row>
    <row r="22392" spans="2:4">
      <c r="B22392">
        <v>1</v>
      </c>
      <c r="C22392">
        <v>102</v>
      </c>
      <c r="D22392">
        <v>1</v>
      </c>
    </row>
    <row r="22393" spans="2:4">
      <c r="B22393">
        <v>1</v>
      </c>
      <c r="C22393">
        <v>102</v>
      </c>
      <c r="D22393">
        <v>1</v>
      </c>
    </row>
    <row r="22401" spans="2:4">
      <c r="B22401">
        <v>1</v>
      </c>
      <c r="C22401">
        <v>102</v>
      </c>
      <c r="D22401">
        <v>1</v>
      </c>
    </row>
    <row r="22402" spans="2:4">
      <c r="B22402">
        <v>1</v>
      </c>
      <c r="C22402">
        <v>102</v>
      </c>
      <c r="D22402">
        <v>1</v>
      </c>
    </row>
    <row r="22408" spans="2:4">
      <c r="B22408">
        <v>1</v>
      </c>
      <c r="C22408">
        <v>102</v>
      </c>
      <c r="D22408">
        <v>1</v>
      </c>
    </row>
    <row r="22413" spans="2:4">
      <c r="B22413">
        <v>1</v>
      </c>
      <c r="C22413">
        <v>102</v>
      </c>
      <c r="D22413">
        <v>1</v>
      </c>
    </row>
    <row r="22414" spans="2:4">
      <c r="B22414">
        <v>1</v>
      </c>
      <c r="C22414">
        <v>102</v>
      </c>
      <c r="D22414">
        <v>1</v>
      </c>
    </row>
    <row r="22415" spans="2:4">
      <c r="B22415">
        <v>1</v>
      </c>
      <c r="C22415">
        <v>102</v>
      </c>
      <c r="D22415">
        <v>1</v>
      </c>
    </row>
    <row r="22421" spans="2:4">
      <c r="B22421">
        <v>1</v>
      </c>
      <c r="C22421">
        <v>102</v>
      </c>
      <c r="D22421">
        <v>1</v>
      </c>
    </row>
    <row r="22422" spans="2:4">
      <c r="B22422">
        <v>1</v>
      </c>
      <c r="C22422">
        <v>102</v>
      </c>
      <c r="D22422">
        <v>1</v>
      </c>
    </row>
    <row r="22423" spans="2:4">
      <c r="B22423">
        <v>1</v>
      </c>
      <c r="C22423">
        <v>102</v>
      </c>
      <c r="D22423">
        <v>1</v>
      </c>
    </row>
    <row r="22426" spans="2:4">
      <c r="B22426">
        <v>1</v>
      </c>
      <c r="C22426">
        <v>102</v>
      </c>
      <c r="D22426">
        <v>1</v>
      </c>
    </row>
    <row r="22433" spans="2:4">
      <c r="B22433">
        <v>1</v>
      </c>
      <c r="C22433">
        <v>102</v>
      </c>
      <c r="D22433">
        <v>1</v>
      </c>
    </row>
    <row r="22444" spans="2:4">
      <c r="B22444">
        <v>1</v>
      </c>
      <c r="C22444">
        <v>102</v>
      </c>
      <c r="D22444">
        <v>1</v>
      </c>
    </row>
    <row r="22445" spans="2:4">
      <c r="B22445">
        <v>1</v>
      </c>
      <c r="C22445">
        <v>102</v>
      </c>
      <c r="D22445">
        <v>1</v>
      </c>
    </row>
    <row r="22447" spans="2:4">
      <c r="B22447">
        <v>1</v>
      </c>
      <c r="C22447">
        <v>102</v>
      </c>
      <c r="D22447">
        <v>1</v>
      </c>
    </row>
    <row r="22448" spans="2:4">
      <c r="B22448">
        <v>1</v>
      </c>
      <c r="C22448">
        <v>102</v>
      </c>
      <c r="D22448">
        <v>1</v>
      </c>
    </row>
    <row r="22450" spans="2:4">
      <c r="B22450">
        <v>1</v>
      </c>
      <c r="C22450">
        <v>102</v>
      </c>
      <c r="D22450">
        <v>1</v>
      </c>
    </row>
    <row r="22452" spans="2:4">
      <c r="B22452">
        <v>1</v>
      </c>
      <c r="C22452">
        <v>102</v>
      </c>
      <c r="D22452">
        <v>1</v>
      </c>
    </row>
    <row r="22453" spans="2:4">
      <c r="B22453">
        <v>1</v>
      </c>
      <c r="C22453">
        <v>102</v>
      </c>
      <c r="D22453">
        <v>1</v>
      </c>
    </row>
    <row r="22460" spans="2:4">
      <c r="B22460">
        <v>1</v>
      </c>
      <c r="C22460">
        <v>102</v>
      </c>
      <c r="D22460">
        <v>1</v>
      </c>
    </row>
    <row r="22462" spans="2:4">
      <c r="B22462">
        <v>1</v>
      </c>
      <c r="C22462">
        <v>102</v>
      </c>
      <c r="D22462">
        <v>1</v>
      </c>
    </row>
    <row r="22463" spans="2:4">
      <c r="B22463">
        <v>1</v>
      </c>
      <c r="C22463">
        <v>102</v>
      </c>
      <c r="D22463">
        <v>1</v>
      </c>
    </row>
    <row r="22464" spans="2:4">
      <c r="B22464">
        <v>1</v>
      </c>
      <c r="C22464">
        <v>102</v>
      </c>
      <c r="D22464">
        <v>1</v>
      </c>
    </row>
    <row r="22465" spans="2:4">
      <c r="B22465">
        <v>1</v>
      </c>
      <c r="C22465">
        <v>102</v>
      </c>
      <c r="D22465">
        <v>1</v>
      </c>
    </row>
    <row r="22468" spans="2:4">
      <c r="B22468">
        <v>1</v>
      </c>
      <c r="C22468">
        <v>102</v>
      </c>
      <c r="D22468">
        <v>1</v>
      </c>
    </row>
    <row r="22469" spans="2:4">
      <c r="B22469">
        <v>1</v>
      </c>
      <c r="C22469">
        <v>102</v>
      </c>
      <c r="D22469">
        <v>1</v>
      </c>
    </row>
    <row r="22470" spans="2:4">
      <c r="B22470">
        <v>1</v>
      </c>
      <c r="C22470">
        <v>102</v>
      </c>
      <c r="D22470">
        <v>1</v>
      </c>
    </row>
    <row r="22474" spans="2:4">
      <c r="B22474">
        <v>1</v>
      </c>
      <c r="C22474">
        <v>102</v>
      </c>
      <c r="D22474">
        <v>1</v>
      </c>
    </row>
    <row r="22476" spans="2:4">
      <c r="B22476">
        <v>1</v>
      </c>
      <c r="C22476">
        <v>102</v>
      </c>
      <c r="D22476">
        <v>1</v>
      </c>
    </row>
    <row r="22478" spans="2:4">
      <c r="B22478">
        <v>1</v>
      </c>
      <c r="C22478">
        <v>102</v>
      </c>
      <c r="D22478">
        <v>1</v>
      </c>
    </row>
    <row r="22479" spans="2:4">
      <c r="B22479">
        <v>1</v>
      </c>
      <c r="C22479">
        <v>102</v>
      </c>
      <c r="D22479">
        <v>1</v>
      </c>
    </row>
    <row r="22488" spans="2:4">
      <c r="B22488">
        <v>1</v>
      </c>
      <c r="C22488">
        <v>102</v>
      </c>
      <c r="D22488">
        <v>1</v>
      </c>
    </row>
    <row r="22495" spans="2:4">
      <c r="B22495">
        <v>1</v>
      </c>
      <c r="C22495">
        <v>102</v>
      </c>
      <c r="D22495">
        <v>1</v>
      </c>
    </row>
    <row r="22497" spans="2:4">
      <c r="B22497">
        <v>1</v>
      </c>
      <c r="C22497">
        <v>102</v>
      </c>
      <c r="D22497">
        <v>1</v>
      </c>
    </row>
    <row r="22498" spans="2:4">
      <c r="B22498">
        <v>1</v>
      </c>
      <c r="C22498">
        <v>102</v>
      </c>
      <c r="D22498">
        <v>1</v>
      </c>
    </row>
    <row r="22501" spans="2:4">
      <c r="B22501">
        <v>1</v>
      </c>
      <c r="C22501">
        <v>102</v>
      </c>
      <c r="D22501">
        <v>1</v>
      </c>
    </row>
    <row r="22504" spans="2:4">
      <c r="B22504">
        <v>1</v>
      </c>
      <c r="C22504">
        <v>102</v>
      </c>
      <c r="D22504">
        <v>1</v>
      </c>
    </row>
    <row r="22505" spans="2:4">
      <c r="B22505">
        <v>1</v>
      </c>
      <c r="C22505">
        <v>102</v>
      </c>
      <c r="D22505">
        <v>1</v>
      </c>
    </row>
    <row r="22511" spans="2:4">
      <c r="B22511">
        <v>1</v>
      </c>
      <c r="C22511">
        <v>102</v>
      </c>
      <c r="D22511">
        <v>1</v>
      </c>
    </row>
    <row r="22512" spans="2:4">
      <c r="B22512">
        <v>1</v>
      </c>
      <c r="C22512">
        <v>102</v>
      </c>
      <c r="D22512">
        <v>1</v>
      </c>
    </row>
    <row r="22518" spans="2:4">
      <c r="B22518">
        <v>1</v>
      </c>
      <c r="C22518">
        <v>102</v>
      </c>
      <c r="D22518">
        <v>1</v>
      </c>
    </row>
    <row r="22522" spans="2:4">
      <c r="B22522">
        <v>1</v>
      </c>
      <c r="C22522">
        <v>102</v>
      </c>
      <c r="D22522">
        <v>1</v>
      </c>
    </row>
    <row r="22523" spans="2:4">
      <c r="B22523">
        <v>1</v>
      </c>
      <c r="C22523">
        <v>102</v>
      </c>
      <c r="D22523">
        <v>1</v>
      </c>
    </row>
    <row r="22527" spans="2:4">
      <c r="B22527">
        <v>1</v>
      </c>
      <c r="C22527">
        <v>102</v>
      </c>
      <c r="D22527">
        <v>1</v>
      </c>
    </row>
    <row r="22528" spans="2:4">
      <c r="B22528">
        <v>1</v>
      </c>
      <c r="C22528">
        <v>102</v>
      </c>
      <c r="D22528">
        <v>1</v>
      </c>
    </row>
    <row r="22531" spans="2:4">
      <c r="B22531">
        <v>1</v>
      </c>
      <c r="C22531">
        <v>102</v>
      </c>
      <c r="D22531">
        <v>1</v>
      </c>
    </row>
    <row r="22533" spans="2:4">
      <c r="B22533">
        <v>1</v>
      </c>
      <c r="C22533">
        <v>102</v>
      </c>
      <c r="D22533">
        <v>1</v>
      </c>
    </row>
    <row r="22534" spans="2:4">
      <c r="B22534">
        <v>1</v>
      </c>
      <c r="C22534">
        <v>102</v>
      </c>
      <c r="D22534">
        <v>1</v>
      </c>
    </row>
    <row r="22537" spans="2:4">
      <c r="B22537">
        <v>1</v>
      </c>
      <c r="C22537">
        <v>102</v>
      </c>
      <c r="D22537">
        <v>1</v>
      </c>
    </row>
    <row r="22538" spans="2:4">
      <c r="B22538">
        <v>1</v>
      </c>
      <c r="C22538">
        <v>102</v>
      </c>
      <c r="D22538">
        <v>1</v>
      </c>
    </row>
    <row r="22540" spans="2:4">
      <c r="B22540">
        <v>1</v>
      </c>
      <c r="C22540">
        <v>102</v>
      </c>
      <c r="D22540">
        <v>1</v>
      </c>
    </row>
    <row r="22544" spans="2:4">
      <c r="B22544">
        <v>1</v>
      </c>
      <c r="C22544">
        <v>102</v>
      </c>
      <c r="D22544">
        <v>1</v>
      </c>
    </row>
    <row r="22545" spans="2:4">
      <c r="B22545">
        <v>1</v>
      </c>
      <c r="C22545">
        <v>102</v>
      </c>
      <c r="D22545">
        <v>1</v>
      </c>
    </row>
    <row r="22546" spans="2:4">
      <c r="B22546">
        <v>1</v>
      </c>
      <c r="C22546">
        <v>102</v>
      </c>
      <c r="D22546">
        <v>1</v>
      </c>
    </row>
    <row r="22547" spans="2:4">
      <c r="B22547">
        <v>1</v>
      </c>
      <c r="C22547">
        <v>102</v>
      </c>
      <c r="D22547">
        <v>1</v>
      </c>
    </row>
    <row r="22548" spans="2:4">
      <c r="B22548">
        <v>1</v>
      </c>
      <c r="C22548">
        <v>102</v>
      </c>
      <c r="D22548">
        <v>1</v>
      </c>
    </row>
    <row r="22555" spans="2:4">
      <c r="B22555">
        <v>1</v>
      </c>
      <c r="C22555">
        <v>102</v>
      </c>
      <c r="D22555">
        <v>1</v>
      </c>
    </row>
    <row r="22556" spans="2:4">
      <c r="B22556">
        <v>1</v>
      </c>
      <c r="C22556">
        <v>102</v>
      </c>
      <c r="D22556">
        <v>1</v>
      </c>
    </row>
    <row r="22557" spans="2:4">
      <c r="B22557">
        <v>1</v>
      </c>
      <c r="C22557">
        <v>102</v>
      </c>
      <c r="D22557">
        <v>1</v>
      </c>
    </row>
    <row r="22558" spans="2:4">
      <c r="B22558">
        <v>1</v>
      </c>
      <c r="C22558">
        <v>102</v>
      </c>
      <c r="D22558">
        <v>1</v>
      </c>
    </row>
    <row r="22563" spans="2:4">
      <c r="B22563">
        <v>1</v>
      </c>
      <c r="C22563">
        <v>102</v>
      </c>
      <c r="D22563">
        <v>1</v>
      </c>
    </row>
    <row r="22564" spans="2:4">
      <c r="B22564">
        <v>1</v>
      </c>
      <c r="C22564">
        <v>102</v>
      </c>
      <c r="D22564">
        <v>1</v>
      </c>
    </row>
    <row r="22566" spans="2:4">
      <c r="B22566">
        <v>1</v>
      </c>
      <c r="C22566">
        <v>102</v>
      </c>
      <c r="D22566">
        <v>1</v>
      </c>
    </row>
    <row r="22567" spans="2:4">
      <c r="B22567">
        <v>1</v>
      </c>
      <c r="C22567">
        <v>102</v>
      </c>
      <c r="D22567">
        <v>1</v>
      </c>
    </row>
    <row r="22569" spans="2:4">
      <c r="B22569">
        <v>1</v>
      </c>
      <c r="C22569">
        <v>102</v>
      </c>
      <c r="D22569">
        <v>1</v>
      </c>
    </row>
    <row r="22571" spans="2:4">
      <c r="B22571">
        <v>1</v>
      </c>
      <c r="C22571">
        <v>102</v>
      </c>
      <c r="D22571">
        <v>1</v>
      </c>
    </row>
    <row r="22574" spans="2:4">
      <c r="B22574">
        <v>1</v>
      </c>
      <c r="C22574">
        <v>102</v>
      </c>
      <c r="D22574">
        <v>1</v>
      </c>
    </row>
    <row r="22577" spans="2:4">
      <c r="B22577">
        <v>1</v>
      </c>
      <c r="C22577">
        <v>102</v>
      </c>
      <c r="D22577">
        <v>1</v>
      </c>
    </row>
    <row r="22579" spans="2:4">
      <c r="B22579">
        <v>1</v>
      </c>
      <c r="C22579">
        <v>102</v>
      </c>
      <c r="D22579">
        <v>1</v>
      </c>
    </row>
    <row r="22584" spans="2:4">
      <c r="B22584">
        <v>1</v>
      </c>
      <c r="C22584">
        <v>102</v>
      </c>
      <c r="D22584">
        <v>1</v>
      </c>
    </row>
    <row r="22585" spans="2:4">
      <c r="B22585">
        <v>1</v>
      </c>
      <c r="C22585">
        <v>102</v>
      </c>
      <c r="D22585">
        <v>1</v>
      </c>
    </row>
    <row r="22587" spans="2:4">
      <c r="B22587">
        <v>1</v>
      </c>
      <c r="C22587">
        <v>102</v>
      </c>
      <c r="D22587">
        <v>1</v>
      </c>
    </row>
    <row r="22589" spans="2:4">
      <c r="B22589">
        <v>1</v>
      </c>
      <c r="C22589">
        <v>102</v>
      </c>
      <c r="D22589">
        <v>1</v>
      </c>
    </row>
    <row r="22594" spans="2:4">
      <c r="B22594">
        <v>1</v>
      </c>
      <c r="C22594">
        <v>102</v>
      </c>
      <c r="D22594">
        <v>1</v>
      </c>
    </row>
    <row r="22595" spans="2:4">
      <c r="B22595">
        <v>1</v>
      </c>
      <c r="C22595">
        <v>102</v>
      </c>
      <c r="D22595">
        <v>1</v>
      </c>
    </row>
    <row r="22599" spans="2:4">
      <c r="B22599">
        <v>1</v>
      </c>
      <c r="C22599">
        <v>102</v>
      </c>
      <c r="D22599">
        <v>1</v>
      </c>
    </row>
    <row r="22600" spans="2:4">
      <c r="B22600">
        <v>1</v>
      </c>
      <c r="C22600">
        <v>102</v>
      </c>
      <c r="D22600">
        <v>1</v>
      </c>
    </row>
    <row r="22603" spans="2:4">
      <c r="B22603">
        <v>1</v>
      </c>
      <c r="C22603">
        <v>102</v>
      </c>
      <c r="D22603">
        <v>1</v>
      </c>
    </row>
    <row r="22608" spans="2:4">
      <c r="B22608">
        <v>1</v>
      </c>
      <c r="C22608">
        <v>102</v>
      </c>
      <c r="D22608">
        <v>1</v>
      </c>
    </row>
    <row r="22609" spans="2:4">
      <c r="B22609">
        <v>1</v>
      </c>
      <c r="C22609">
        <v>102</v>
      </c>
      <c r="D22609">
        <v>1</v>
      </c>
    </row>
    <row r="22610" spans="2:4">
      <c r="B22610">
        <v>1</v>
      </c>
      <c r="C22610">
        <v>102</v>
      </c>
      <c r="D22610">
        <v>1</v>
      </c>
    </row>
    <row r="22611" spans="2:4">
      <c r="B22611">
        <v>1</v>
      </c>
      <c r="C22611">
        <v>102</v>
      </c>
      <c r="D22611">
        <v>1</v>
      </c>
    </row>
    <row r="22612" spans="2:4">
      <c r="B22612">
        <v>1</v>
      </c>
      <c r="C22612">
        <v>102</v>
      </c>
      <c r="D22612">
        <v>1</v>
      </c>
    </row>
    <row r="22613" spans="2:4">
      <c r="B22613">
        <v>1</v>
      </c>
      <c r="C22613">
        <v>102</v>
      </c>
      <c r="D22613">
        <v>1</v>
      </c>
    </row>
    <row r="22614" spans="2:4">
      <c r="B22614">
        <v>1</v>
      </c>
      <c r="C22614">
        <v>102</v>
      </c>
      <c r="D22614">
        <v>1</v>
      </c>
    </row>
    <row r="22615" spans="2:4">
      <c r="B22615">
        <v>1</v>
      </c>
      <c r="C22615">
        <v>102</v>
      </c>
      <c r="D22615">
        <v>1</v>
      </c>
    </row>
    <row r="22617" spans="2:4">
      <c r="B22617">
        <v>1</v>
      </c>
      <c r="C22617">
        <v>102</v>
      </c>
      <c r="D22617">
        <v>1</v>
      </c>
    </row>
    <row r="22618" spans="2:4">
      <c r="B22618">
        <v>1</v>
      </c>
      <c r="C22618">
        <v>102</v>
      </c>
      <c r="D22618">
        <v>1</v>
      </c>
    </row>
    <row r="22620" spans="2:4">
      <c r="B22620">
        <v>1</v>
      </c>
      <c r="C22620">
        <v>102</v>
      </c>
      <c r="D22620">
        <v>1</v>
      </c>
    </row>
    <row r="22621" spans="2:4">
      <c r="B22621">
        <v>1</v>
      </c>
      <c r="C22621">
        <v>102</v>
      </c>
      <c r="D22621">
        <v>1</v>
      </c>
    </row>
    <row r="22622" spans="2:4">
      <c r="B22622">
        <v>1</v>
      </c>
      <c r="C22622">
        <v>102</v>
      </c>
      <c r="D22622">
        <v>1</v>
      </c>
    </row>
    <row r="22624" spans="2:4">
      <c r="B22624">
        <v>1</v>
      </c>
      <c r="C22624">
        <v>102</v>
      </c>
      <c r="D22624">
        <v>1</v>
      </c>
    </row>
    <row r="22627" spans="2:4">
      <c r="B22627">
        <v>1</v>
      </c>
      <c r="C22627">
        <v>102</v>
      </c>
      <c r="D22627">
        <v>1</v>
      </c>
    </row>
    <row r="22628" spans="2:4">
      <c r="B22628">
        <v>1</v>
      </c>
      <c r="C22628">
        <v>102</v>
      </c>
      <c r="D22628">
        <v>1</v>
      </c>
    </row>
    <row r="22630" spans="2:4">
      <c r="B22630">
        <v>1</v>
      </c>
      <c r="C22630">
        <v>102</v>
      </c>
      <c r="D22630">
        <v>1</v>
      </c>
    </row>
    <row r="22631" spans="2:4">
      <c r="B22631">
        <v>1</v>
      </c>
      <c r="C22631">
        <v>102</v>
      </c>
      <c r="D22631">
        <v>1</v>
      </c>
    </row>
    <row r="22634" spans="2:4">
      <c r="B22634">
        <v>1</v>
      </c>
      <c r="C22634">
        <v>102</v>
      </c>
      <c r="D22634">
        <v>1</v>
      </c>
    </row>
    <row r="22635" spans="2:4">
      <c r="B22635">
        <v>1</v>
      </c>
      <c r="C22635">
        <v>102</v>
      </c>
      <c r="D22635">
        <v>1</v>
      </c>
    </row>
    <row r="22636" spans="2:4">
      <c r="B22636">
        <v>1</v>
      </c>
      <c r="C22636">
        <v>102</v>
      </c>
      <c r="D22636">
        <v>1</v>
      </c>
    </row>
    <row r="22637" spans="2:4">
      <c r="B22637">
        <v>1</v>
      </c>
      <c r="C22637">
        <v>102</v>
      </c>
      <c r="D22637">
        <v>1</v>
      </c>
    </row>
    <row r="22645" spans="2:4">
      <c r="B22645">
        <v>1</v>
      </c>
      <c r="C22645">
        <v>102</v>
      </c>
      <c r="D22645">
        <v>1</v>
      </c>
    </row>
    <row r="22647" spans="2:4">
      <c r="B22647">
        <v>1</v>
      </c>
      <c r="C22647">
        <v>102</v>
      </c>
      <c r="D22647">
        <v>1</v>
      </c>
    </row>
    <row r="22648" spans="2:4">
      <c r="B22648">
        <v>1</v>
      </c>
      <c r="C22648">
        <v>102</v>
      </c>
      <c r="D22648">
        <v>1</v>
      </c>
    </row>
    <row r="22649" spans="2:4">
      <c r="B22649">
        <v>1</v>
      </c>
      <c r="C22649">
        <v>102</v>
      </c>
      <c r="D22649">
        <v>1</v>
      </c>
    </row>
    <row r="22657" spans="2:4">
      <c r="B22657">
        <v>1</v>
      </c>
      <c r="C22657">
        <v>102</v>
      </c>
      <c r="D22657">
        <v>1</v>
      </c>
    </row>
    <row r="22658" spans="2:4">
      <c r="B22658">
        <v>1</v>
      </c>
      <c r="C22658">
        <v>102</v>
      </c>
      <c r="D22658">
        <v>1</v>
      </c>
    </row>
    <row r="22664" spans="2:4">
      <c r="B22664">
        <v>1</v>
      </c>
      <c r="C22664">
        <v>102</v>
      </c>
      <c r="D22664">
        <v>1</v>
      </c>
    </row>
    <row r="22669" spans="2:4">
      <c r="B22669">
        <v>1</v>
      </c>
      <c r="C22669">
        <v>102</v>
      </c>
      <c r="D22669">
        <v>1</v>
      </c>
    </row>
    <row r="22670" spans="2:4">
      <c r="B22670">
        <v>1</v>
      </c>
      <c r="C22670">
        <v>102</v>
      </c>
      <c r="D22670">
        <v>1</v>
      </c>
    </row>
    <row r="22671" spans="2:4">
      <c r="B22671">
        <v>1</v>
      </c>
      <c r="C22671">
        <v>102</v>
      </c>
      <c r="D22671">
        <v>1</v>
      </c>
    </row>
    <row r="22677" spans="2:4">
      <c r="B22677">
        <v>1</v>
      </c>
      <c r="C22677">
        <v>102</v>
      </c>
      <c r="D22677">
        <v>1</v>
      </c>
    </row>
    <row r="22678" spans="2:4">
      <c r="B22678">
        <v>1</v>
      </c>
      <c r="C22678">
        <v>102</v>
      </c>
      <c r="D22678">
        <v>1</v>
      </c>
    </row>
    <row r="22679" spans="2:4">
      <c r="B22679">
        <v>1</v>
      </c>
      <c r="C22679">
        <v>102</v>
      </c>
      <c r="D22679">
        <v>1</v>
      </c>
    </row>
    <row r="22682" spans="2:4">
      <c r="B22682">
        <v>1</v>
      </c>
      <c r="C22682">
        <v>102</v>
      </c>
      <c r="D22682">
        <v>1</v>
      </c>
    </row>
    <row r="22689" spans="2:4">
      <c r="B22689">
        <v>1</v>
      </c>
      <c r="C22689">
        <v>102</v>
      </c>
      <c r="D22689">
        <v>1</v>
      </c>
    </row>
    <row r="22700" spans="2:4">
      <c r="B22700">
        <v>1</v>
      </c>
      <c r="C22700">
        <v>102</v>
      </c>
      <c r="D22700">
        <v>1</v>
      </c>
    </row>
    <row r="22701" spans="2:4">
      <c r="B22701">
        <v>1</v>
      </c>
      <c r="C22701">
        <v>102</v>
      </c>
      <c r="D22701">
        <v>1</v>
      </c>
    </row>
    <row r="22703" spans="2:4">
      <c r="B22703">
        <v>1</v>
      </c>
      <c r="C22703">
        <v>102</v>
      </c>
      <c r="D22703">
        <v>1</v>
      </c>
    </row>
    <row r="22704" spans="2:4">
      <c r="B22704">
        <v>1</v>
      </c>
      <c r="C22704">
        <v>102</v>
      </c>
      <c r="D22704">
        <v>1</v>
      </c>
    </row>
    <row r="22706" spans="2:4">
      <c r="B22706">
        <v>1</v>
      </c>
      <c r="C22706">
        <v>102</v>
      </c>
      <c r="D22706">
        <v>1</v>
      </c>
    </row>
    <row r="22708" spans="2:4">
      <c r="B22708">
        <v>1</v>
      </c>
      <c r="C22708">
        <v>102</v>
      </c>
      <c r="D22708">
        <v>1</v>
      </c>
    </row>
    <row r="22709" spans="2:4">
      <c r="B22709">
        <v>1</v>
      </c>
      <c r="C22709">
        <v>102</v>
      </c>
      <c r="D22709">
        <v>1</v>
      </c>
    </row>
    <row r="22716" spans="2:4">
      <c r="B22716">
        <v>1</v>
      </c>
      <c r="C22716">
        <v>102</v>
      </c>
      <c r="D22716">
        <v>1</v>
      </c>
    </row>
    <row r="22718" spans="2:4">
      <c r="B22718">
        <v>1</v>
      </c>
      <c r="C22718">
        <v>102</v>
      </c>
      <c r="D22718">
        <v>1</v>
      </c>
    </row>
    <row r="22719" spans="2:4">
      <c r="B22719">
        <v>1</v>
      </c>
      <c r="C22719">
        <v>102</v>
      </c>
      <c r="D22719">
        <v>1</v>
      </c>
    </row>
    <row r="22720" spans="2:4">
      <c r="B22720">
        <v>1</v>
      </c>
      <c r="C22720">
        <v>102</v>
      </c>
      <c r="D22720">
        <v>1</v>
      </c>
    </row>
    <row r="22721" spans="2:4">
      <c r="B22721">
        <v>1</v>
      </c>
      <c r="C22721">
        <v>102</v>
      </c>
      <c r="D22721">
        <v>1</v>
      </c>
    </row>
    <row r="22724" spans="2:4">
      <c r="B22724">
        <v>1</v>
      </c>
      <c r="C22724">
        <v>102</v>
      </c>
      <c r="D22724">
        <v>1</v>
      </c>
    </row>
    <row r="22725" spans="2:4">
      <c r="B22725">
        <v>1</v>
      </c>
      <c r="C22725">
        <v>102</v>
      </c>
      <c r="D22725">
        <v>1</v>
      </c>
    </row>
    <row r="22726" spans="2:4">
      <c r="B22726">
        <v>1</v>
      </c>
      <c r="C22726">
        <v>102</v>
      </c>
      <c r="D22726">
        <v>1</v>
      </c>
    </row>
    <row r="22730" spans="2:4">
      <c r="B22730">
        <v>1</v>
      </c>
      <c r="C22730">
        <v>102</v>
      </c>
      <c r="D22730">
        <v>1</v>
      </c>
    </row>
    <row r="22732" spans="2:4">
      <c r="B22732">
        <v>1</v>
      </c>
      <c r="C22732">
        <v>102</v>
      </c>
      <c r="D22732">
        <v>1</v>
      </c>
    </row>
    <row r="22734" spans="2:4">
      <c r="B22734">
        <v>1</v>
      </c>
      <c r="C22734">
        <v>102</v>
      </c>
      <c r="D22734">
        <v>1</v>
      </c>
    </row>
    <row r="22735" spans="2:4">
      <c r="B22735">
        <v>1</v>
      </c>
      <c r="C22735">
        <v>102</v>
      </c>
      <c r="D22735">
        <v>1</v>
      </c>
    </row>
    <row r="22744" spans="2:4">
      <c r="B22744">
        <v>1</v>
      </c>
      <c r="C22744">
        <v>102</v>
      </c>
      <c r="D22744">
        <v>1</v>
      </c>
    </row>
    <row r="22751" spans="2:4">
      <c r="B22751">
        <v>1</v>
      </c>
      <c r="C22751">
        <v>102</v>
      </c>
      <c r="D22751">
        <v>1</v>
      </c>
    </row>
    <row r="22753" spans="2:4">
      <c r="B22753">
        <v>1</v>
      </c>
      <c r="C22753">
        <v>102</v>
      </c>
      <c r="D22753">
        <v>1</v>
      </c>
    </row>
    <row r="22754" spans="2:4">
      <c r="B22754">
        <v>1</v>
      </c>
      <c r="C22754">
        <v>102</v>
      </c>
      <c r="D22754">
        <v>1</v>
      </c>
    </row>
    <row r="22757" spans="2:4">
      <c r="B22757">
        <v>1</v>
      </c>
      <c r="C22757">
        <v>102</v>
      </c>
      <c r="D22757">
        <v>1</v>
      </c>
    </row>
    <row r="22760" spans="2:4">
      <c r="B22760">
        <v>1</v>
      </c>
      <c r="C22760">
        <v>102</v>
      </c>
      <c r="D22760">
        <v>1</v>
      </c>
    </row>
    <row r="22761" spans="2:4">
      <c r="B22761">
        <v>1</v>
      </c>
      <c r="C22761">
        <v>102</v>
      </c>
      <c r="D22761">
        <v>1</v>
      </c>
    </row>
    <row r="22767" spans="2:4">
      <c r="B22767">
        <v>1</v>
      </c>
      <c r="C22767">
        <v>102</v>
      </c>
      <c r="D22767">
        <v>1</v>
      </c>
    </row>
    <row r="22768" spans="2:4">
      <c r="B22768">
        <v>1</v>
      </c>
      <c r="C22768">
        <v>102</v>
      </c>
      <c r="D22768">
        <v>1</v>
      </c>
    </row>
    <row r="22774" spans="2:4">
      <c r="B22774">
        <v>1</v>
      </c>
      <c r="C22774">
        <v>102</v>
      </c>
      <c r="D22774">
        <v>1</v>
      </c>
    </row>
    <row r="22778" spans="2:4">
      <c r="B22778">
        <v>1</v>
      </c>
      <c r="C22778">
        <v>102</v>
      </c>
      <c r="D22778">
        <v>1</v>
      </c>
    </row>
    <row r="22779" spans="2:4">
      <c r="B22779">
        <v>1</v>
      </c>
      <c r="C22779">
        <v>102</v>
      </c>
      <c r="D22779">
        <v>1</v>
      </c>
    </row>
    <row r="22783" spans="2:4">
      <c r="B22783">
        <v>1</v>
      </c>
      <c r="C22783">
        <v>102</v>
      </c>
      <c r="D22783">
        <v>1</v>
      </c>
    </row>
    <row r="22784" spans="2:4">
      <c r="B22784">
        <v>1</v>
      </c>
      <c r="C22784">
        <v>102</v>
      </c>
      <c r="D22784">
        <v>1</v>
      </c>
    </row>
    <row r="22787" spans="2:4">
      <c r="B22787">
        <v>1</v>
      </c>
      <c r="C22787">
        <v>102</v>
      </c>
      <c r="D22787">
        <v>1</v>
      </c>
    </row>
    <row r="22789" spans="2:4">
      <c r="B22789">
        <v>1</v>
      </c>
      <c r="C22789">
        <v>102</v>
      </c>
      <c r="D22789">
        <v>1</v>
      </c>
    </row>
    <row r="22790" spans="2:4">
      <c r="B22790">
        <v>1</v>
      </c>
      <c r="C22790">
        <v>102</v>
      </c>
      <c r="D22790">
        <v>1</v>
      </c>
    </row>
    <row r="22793" spans="2:4">
      <c r="B22793">
        <v>1</v>
      </c>
      <c r="C22793">
        <v>102</v>
      </c>
      <c r="D22793">
        <v>1</v>
      </c>
    </row>
    <row r="22794" spans="2:4">
      <c r="B22794">
        <v>1</v>
      </c>
      <c r="C22794">
        <v>102</v>
      </c>
      <c r="D22794">
        <v>1</v>
      </c>
    </row>
    <row r="22796" spans="2:4">
      <c r="B22796">
        <v>1</v>
      </c>
      <c r="C22796">
        <v>102</v>
      </c>
      <c r="D22796">
        <v>1</v>
      </c>
    </row>
    <row r="22800" spans="2:4">
      <c r="B22800">
        <v>1</v>
      </c>
      <c r="C22800">
        <v>102</v>
      </c>
      <c r="D22800">
        <v>1</v>
      </c>
    </row>
    <row r="22801" spans="2:4">
      <c r="B22801">
        <v>1</v>
      </c>
      <c r="C22801">
        <v>102</v>
      </c>
      <c r="D22801">
        <v>1</v>
      </c>
    </row>
    <row r="22802" spans="2:4">
      <c r="B22802">
        <v>1</v>
      </c>
      <c r="C22802">
        <v>102</v>
      </c>
      <c r="D22802">
        <v>1</v>
      </c>
    </row>
    <row r="22803" spans="2:4">
      <c r="B22803">
        <v>1</v>
      </c>
      <c r="C22803">
        <v>102</v>
      </c>
      <c r="D22803">
        <v>1</v>
      </c>
    </row>
    <row r="22804" spans="2:4">
      <c r="B22804">
        <v>1</v>
      </c>
      <c r="C22804">
        <v>102</v>
      </c>
      <c r="D22804">
        <v>1</v>
      </c>
    </row>
    <row r="22811" spans="2:4">
      <c r="B22811">
        <v>1</v>
      </c>
      <c r="C22811">
        <v>102</v>
      </c>
      <c r="D22811">
        <v>1</v>
      </c>
    </row>
    <row r="22812" spans="2:4">
      <c r="B22812">
        <v>1</v>
      </c>
      <c r="C22812">
        <v>102</v>
      </c>
      <c r="D22812">
        <v>1</v>
      </c>
    </row>
    <row r="22813" spans="2:4">
      <c r="B22813">
        <v>1</v>
      </c>
      <c r="C22813">
        <v>102</v>
      </c>
      <c r="D22813">
        <v>1</v>
      </c>
    </row>
    <row r="22814" spans="2:4">
      <c r="B22814">
        <v>1</v>
      </c>
      <c r="C22814">
        <v>102</v>
      </c>
      <c r="D22814">
        <v>1</v>
      </c>
    </row>
    <row r="22819" spans="2:4">
      <c r="B22819">
        <v>1</v>
      </c>
      <c r="C22819">
        <v>102</v>
      </c>
      <c r="D22819">
        <v>1</v>
      </c>
    </row>
    <row r="22820" spans="2:4">
      <c r="B22820">
        <v>1</v>
      </c>
      <c r="C22820">
        <v>102</v>
      </c>
      <c r="D22820">
        <v>1</v>
      </c>
    </row>
    <row r="22822" spans="2:4">
      <c r="B22822">
        <v>1</v>
      </c>
      <c r="C22822">
        <v>102</v>
      </c>
      <c r="D22822">
        <v>1</v>
      </c>
    </row>
    <row r="22823" spans="2:4">
      <c r="B22823">
        <v>1</v>
      </c>
      <c r="C22823">
        <v>102</v>
      </c>
      <c r="D22823">
        <v>1</v>
      </c>
    </row>
    <row r="22825" spans="2:4">
      <c r="B22825">
        <v>1</v>
      </c>
      <c r="C22825">
        <v>102</v>
      </c>
      <c r="D22825">
        <v>1</v>
      </c>
    </row>
    <row r="22827" spans="2:4">
      <c r="B22827">
        <v>1</v>
      </c>
      <c r="C22827">
        <v>102</v>
      </c>
      <c r="D22827">
        <v>1</v>
      </c>
    </row>
    <row r="22830" spans="2:4">
      <c r="B22830">
        <v>1</v>
      </c>
      <c r="C22830">
        <v>102</v>
      </c>
      <c r="D22830">
        <v>1</v>
      </c>
    </row>
    <row r="22833" spans="2:4">
      <c r="B22833">
        <v>1</v>
      </c>
      <c r="C22833">
        <v>102</v>
      </c>
      <c r="D22833">
        <v>1</v>
      </c>
    </row>
    <row r="22835" spans="2:4">
      <c r="B22835">
        <v>1</v>
      </c>
      <c r="C22835">
        <v>102</v>
      </c>
      <c r="D22835">
        <v>1</v>
      </c>
    </row>
    <row r="22840" spans="2:4">
      <c r="B22840">
        <v>1</v>
      </c>
      <c r="C22840">
        <v>102</v>
      </c>
      <c r="D22840">
        <v>1</v>
      </c>
    </row>
    <row r="22841" spans="2:4">
      <c r="B22841">
        <v>1</v>
      </c>
      <c r="C22841">
        <v>102</v>
      </c>
      <c r="D22841">
        <v>1</v>
      </c>
    </row>
    <row r="22843" spans="2:4">
      <c r="B22843">
        <v>1</v>
      </c>
      <c r="C22843">
        <v>102</v>
      </c>
      <c r="D22843">
        <v>1</v>
      </c>
    </row>
    <row r="22845" spans="2:4">
      <c r="B22845">
        <v>1</v>
      </c>
      <c r="C22845">
        <v>102</v>
      </c>
      <c r="D22845">
        <v>1</v>
      </c>
    </row>
    <row r="22850" spans="2:4">
      <c r="B22850">
        <v>1</v>
      </c>
      <c r="C22850">
        <v>102</v>
      </c>
      <c r="D22850">
        <v>1</v>
      </c>
    </row>
    <row r="22851" spans="2:4">
      <c r="B22851">
        <v>1</v>
      </c>
      <c r="C22851">
        <v>102</v>
      </c>
      <c r="D22851">
        <v>1</v>
      </c>
    </row>
    <row r="22855" spans="2:4">
      <c r="B22855">
        <v>1</v>
      </c>
      <c r="C22855">
        <v>102</v>
      </c>
      <c r="D22855">
        <v>1</v>
      </c>
    </row>
    <row r="22856" spans="2:4">
      <c r="B22856">
        <v>1</v>
      </c>
      <c r="C22856">
        <v>102</v>
      </c>
      <c r="D22856">
        <v>1</v>
      </c>
    </row>
    <row r="22859" spans="2:4">
      <c r="B22859">
        <v>1</v>
      </c>
      <c r="C22859">
        <v>102</v>
      </c>
      <c r="D22859">
        <v>1</v>
      </c>
    </row>
    <row r="22864" spans="2:4">
      <c r="B22864">
        <v>1</v>
      </c>
      <c r="C22864">
        <v>102</v>
      </c>
      <c r="D22864">
        <v>1</v>
      </c>
    </row>
    <row r="22865" spans="2:4">
      <c r="B22865">
        <v>1</v>
      </c>
      <c r="C22865">
        <v>102</v>
      </c>
      <c r="D22865">
        <v>1</v>
      </c>
    </row>
    <row r="22866" spans="2:4">
      <c r="B22866">
        <v>1</v>
      </c>
      <c r="C22866">
        <v>102</v>
      </c>
      <c r="D22866">
        <v>1</v>
      </c>
    </row>
    <row r="22867" spans="2:4">
      <c r="B22867">
        <v>1</v>
      </c>
      <c r="C22867">
        <v>102</v>
      </c>
      <c r="D22867">
        <v>1</v>
      </c>
    </row>
    <row r="22868" spans="2:4">
      <c r="B22868">
        <v>1</v>
      </c>
      <c r="C22868">
        <v>102</v>
      </c>
      <c r="D22868">
        <v>1</v>
      </c>
    </row>
    <row r="22869" spans="2:4">
      <c r="B22869">
        <v>1</v>
      </c>
      <c r="C22869">
        <v>102</v>
      </c>
      <c r="D22869">
        <v>1</v>
      </c>
    </row>
    <row r="22870" spans="2:4">
      <c r="B22870">
        <v>1</v>
      </c>
      <c r="C22870">
        <v>102</v>
      </c>
      <c r="D22870">
        <v>1</v>
      </c>
    </row>
    <row r="22871" spans="2:4">
      <c r="B22871">
        <v>1</v>
      </c>
      <c r="C22871">
        <v>102</v>
      </c>
      <c r="D22871">
        <v>1</v>
      </c>
    </row>
    <row r="22873" spans="2:4">
      <c r="B22873">
        <v>1</v>
      </c>
      <c r="C22873">
        <v>102</v>
      </c>
      <c r="D22873">
        <v>1</v>
      </c>
    </row>
    <row r="22874" spans="2:4">
      <c r="B22874">
        <v>1</v>
      </c>
      <c r="C22874">
        <v>102</v>
      </c>
      <c r="D22874">
        <v>1</v>
      </c>
    </row>
    <row r="22876" spans="2:4">
      <c r="B22876">
        <v>1</v>
      </c>
      <c r="C22876">
        <v>102</v>
      </c>
      <c r="D22876">
        <v>1</v>
      </c>
    </row>
    <row r="22877" spans="2:4">
      <c r="B22877">
        <v>1</v>
      </c>
      <c r="C22877">
        <v>102</v>
      </c>
      <c r="D22877">
        <v>1</v>
      </c>
    </row>
    <row r="22878" spans="2:4">
      <c r="B22878">
        <v>1</v>
      </c>
      <c r="C22878">
        <v>102</v>
      </c>
      <c r="D22878">
        <v>1</v>
      </c>
    </row>
    <row r="22880" spans="2:4">
      <c r="B22880">
        <v>1</v>
      </c>
      <c r="C22880">
        <v>102</v>
      </c>
      <c r="D22880">
        <v>1</v>
      </c>
    </row>
    <row r="22883" spans="2:4">
      <c r="B22883">
        <v>1</v>
      </c>
      <c r="C22883">
        <v>102</v>
      </c>
      <c r="D22883">
        <v>1</v>
      </c>
    </row>
    <row r="22884" spans="2:4">
      <c r="B22884">
        <v>1</v>
      </c>
      <c r="C22884">
        <v>102</v>
      </c>
      <c r="D22884">
        <v>1</v>
      </c>
    </row>
    <row r="22886" spans="2:4">
      <c r="B22886">
        <v>1</v>
      </c>
      <c r="C22886">
        <v>102</v>
      </c>
      <c r="D22886">
        <v>1</v>
      </c>
    </row>
    <row r="22887" spans="2:4">
      <c r="B22887">
        <v>1</v>
      </c>
      <c r="C22887">
        <v>102</v>
      </c>
      <c r="D22887">
        <v>1</v>
      </c>
    </row>
    <row r="22890" spans="2:4">
      <c r="B22890">
        <v>1</v>
      </c>
      <c r="C22890">
        <v>102</v>
      </c>
      <c r="D22890">
        <v>1</v>
      </c>
    </row>
    <row r="22891" spans="2:4">
      <c r="B22891">
        <v>1</v>
      </c>
      <c r="C22891">
        <v>102</v>
      </c>
      <c r="D22891">
        <v>1</v>
      </c>
    </row>
    <row r="22892" spans="2:4">
      <c r="B22892">
        <v>1</v>
      </c>
      <c r="C22892">
        <v>102</v>
      </c>
      <c r="D22892">
        <v>1</v>
      </c>
    </row>
    <row r="22893" spans="2:4">
      <c r="B22893">
        <v>1</v>
      </c>
      <c r="C22893">
        <v>102</v>
      </c>
      <c r="D22893">
        <v>1</v>
      </c>
    </row>
    <row r="22901" spans="2:4">
      <c r="B22901">
        <v>1</v>
      </c>
      <c r="C22901">
        <v>102</v>
      </c>
      <c r="D22901">
        <v>1</v>
      </c>
    </row>
    <row r="22903" spans="2:4">
      <c r="B22903">
        <v>1</v>
      </c>
      <c r="C22903">
        <v>102</v>
      </c>
      <c r="D22903">
        <v>1</v>
      </c>
    </row>
    <row r="22904" spans="2:4">
      <c r="B22904">
        <v>1</v>
      </c>
      <c r="C22904">
        <v>102</v>
      </c>
      <c r="D22904">
        <v>1</v>
      </c>
    </row>
    <row r="22905" spans="2:4">
      <c r="B22905">
        <v>1</v>
      </c>
      <c r="C22905">
        <v>102</v>
      </c>
      <c r="D22905">
        <v>1</v>
      </c>
    </row>
    <row r="22913" spans="2:4">
      <c r="B22913">
        <v>1</v>
      </c>
      <c r="C22913">
        <v>102</v>
      </c>
      <c r="D22913">
        <v>1</v>
      </c>
    </row>
    <row r="22914" spans="2:4">
      <c r="B22914">
        <v>1</v>
      </c>
      <c r="C22914">
        <v>102</v>
      </c>
      <c r="D22914">
        <v>1</v>
      </c>
    </row>
    <row r="22920" spans="2:4">
      <c r="B22920">
        <v>1</v>
      </c>
      <c r="C22920">
        <v>102</v>
      </c>
      <c r="D22920">
        <v>1</v>
      </c>
    </row>
    <row r="22925" spans="2:4">
      <c r="B22925">
        <v>1</v>
      </c>
      <c r="C22925">
        <v>102</v>
      </c>
      <c r="D22925">
        <v>1</v>
      </c>
    </row>
    <row r="22926" spans="2:4">
      <c r="B22926">
        <v>1</v>
      </c>
      <c r="C22926">
        <v>102</v>
      </c>
      <c r="D22926">
        <v>1</v>
      </c>
    </row>
    <row r="22927" spans="2:4">
      <c r="B22927">
        <v>1</v>
      </c>
      <c r="C22927">
        <v>102</v>
      </c>
      <c r="D22927">
        <v>1</v>
      </c>
    </row>
    <row r="22933" spans="2:4">
      <c r="B22933">
        <v>1</v>
      </c>
      <c r="C22933">
        <v>102</v>
      </c>
      <c r="D22933">
        <v>1</v>
      </c>
    </row>
    <row r="22934" spans="2:4">
      <c r="B22934">
        <v>1</v>
      </c>
      <c r="C22934">
        <v>102</v>
      </c>
      <c r="D22934">
        <v>1</v>
      </c>
    </row>
    <row r="22935" spans="2:4">
      <c r="B22935">
        <v>1</v>
      </c>
      <c r="C22935">
        <v>102</v>
      </c>
      <c r="D22935">
        <v>1</v>
      </c>
    </row>
    <row r="22938" spans="2:4">
      <c r="B22938">
        <v>1</v>
      </c>
      <c r="C22938">
        <v>102</v>
      </c>
      <c r="D22938">
        <v>1</v>
      </c>
    </row>
    <row r="22945" spans="2:4">
      <c r="B22945">
        <v>1</v>
      </c>
      <c r="C22945">
        <v>102</v>
      </c>
      <c r="D22945">
        <v>1</v>
      </c>
    </row>
    <row r="22956" spans="2:4">
      <c r="B22956">
        <v>1</v>
      </c>
      <c r="C22956">
        <v>102</v>
      </c>
      <c r="D22956">
        <v>1</v>
      </c>
    </row>
    <row r="22957" spans="2:4">
      <c r="B22957">
        <v>1</v>
      </c>
      <c r="C22957">
        <v>102</v>
      </c>
      <c r="D22957">
        <v>1</v>
      </c>
    </row>
    <row r="22959" spans="2:4">
      <c r="B22959">
        <v>1</v>
      </c>
      <c r="C22959">
        <v>102</v>
      </c>
      <c r="D22959">
        <v>1</v>
      </c>
    </row>
    <row r="22960" spans="2:4">
      <c r="B22960">
        <v>1</v>
      </c>
      <c r="C22960">
        <v>102</v>
      </c>
      <c r="D22960">
        <v>1</v>
      </c>
    </row>
    <row r="22962" spans="2:4">
      <c r="B22962">
        <v>1</v>
      </c>
      <c r="C22962">
        <v>102</v>
      </c>
      <c r="D22962">
        <v>1</v>
      </c>
    </row>
    <row r="22964" spans="2:4">
      <c r="B22964">
        <v>1</v>
      </c>
      <c r="C22964">
        <v>102</v>
      </c>
      <c r="D22964">
        <v>1</v>
      </c>
    </row>
    <row r="22965" spans="2:4">
      <c r="B22965">
        <v>1</v>
      </c>
      <c r="C22965">
        <v>102</v>
      </c>
      <c r="D22965">
        <v>1</v>
      </c>
    </row>
    <row r="22972" spans="2:4">
      <c r="B22972">
        <v>1</v>
      </c>
      <c r="C22972">
        <v>102</v>
      </c>
      <c r="D22972">
        <v>1</v>
      </c>
    </row>
    <row r="22974" spans="2:4">
      <c r="B22974">
        <v>1</v>
      </c>
      <c r="C22974">
        <v>102</v>
      </c>
      <c r="D22974">
        <v>1</v>
      </c>
    </row>
    <row r="22975" spans="2:4">
      <c r="B22975">
        <v>1</v>
      </c>
      <c r="C22975">
        <v>102</v>
      </c>
      <c r="D22975">
        <v>1</v>
      </c>
    </row>
    <row r="22976" spans="2:4">
      <c r="B22976">
        <v>1</v>
      </c>
      <c r="C22976">
        <v>102</v>
      </c>
      <c r="D22976">
        <v>1</v>
      </c>
    </row>
    <row r="22977" spans="2:4">
      <c r="B22977">
        <v>1</v>
      </c>
      <c r="C22977">
        <v>102</v>
      </c>
      <c r="D22977">
        <v>1</v>
      </c>
    </row>
    <row r="22980" spans="2:4">
      <c r="B22980">
        <v>1</v>
      </c>
      <c r="C22980">
        <v>102</v>
      </c>
      <c r="D22980">
        <v>1</v>
      </c>
    </row>
    <row r="22981" spans="2:4">
      <c r="B22981">
        <v>1</v>
      </c>
      <c r="C22981">
        <v>102</v>
      </c>
      <c r="D22981">
        <v>1</v>
      </c>
    </row>
    <row r="22982" spans="2:4">
      <c r="B22982">
        <v>1</v>
      </c>
      <c r="C22982">
        <v>102</v>
      </c>
      <c r="D22982">
        <v>1</v>
      </c>
    </row>
    <row r="22986" spans="2:4">
      <c r="B22986">
        <v>1</v>
      </c>
      <c r="C22986">
        <v>102</v>
      </c>
      <c r="D22986">
        <v>1</v>
      </c>
    </row>
    <row r="22988" spans="2:4">
      <c r="B22988">
        <v>1</v>
      </c>
      <c r="C22988">
        <v>102</v>
      </c>
      <c r="D22988">
        <v>1</v>
      </c>
    </row>
    <row r="22990" spans="2:4">
      <c r="B22990">
        <v>1</v>
      </c>
      <c r="C22990">
        <v>102</v>
      </c>
      <c r="D22990">
        <v>1</v>
      </c>
    </row>
    <row r="22991" spans="2:4">
      <c r="B22991">
        <v>1</v>
      </c>
      <c r="C22991">
        <v>102</v>
      </c>
      <c r="D22991">
        <v>1</v>
      </c>
    </row>
    <row r="23000" spans="2:4">
      <c r="B23000">
        <v>1</v>
      </c>
      <c r="C23000">
        <v>102</v>
      </c>
      <c r="D23000">
        <v>1</v>
      </c>
    </row>
    <row r="23007" spans="2:4">
      <c r="B23007">
        <v>1</v>
      </c>
      <c r="C23007">
        <v>102</v>
      </c>
      <c r="D23007">
        <v>1</v>
      </c>
    </row>
    <row r="23009" spans="2:4">
      <c r="B23009">
        <v>1</v>
      </c>
      <c r="C23009">
        <v>102</v>
      </c>
      <c r="D23009">
        <v>1</v>
      </c>
    </row>
    <row r="23010" spans="2:4">
      <c r="B23010">
        <v>1</v>
      </c>
      <c r="C23010">
        <v>102</v>
      </c>
      <c r="D23010">
        <v>1</v>
      </c>
    </row>
    <row r="23013" spans="2:4">
      <c r="B23013">
        <v>1</v>
      </c>
      <c r="C23013">
        <v>102</v>
      </c>
      <c r="D23013">
        <v>1</v>
      </c>
    </row>
    <row r="23016" spans="2:4">
      <c r="B23016">
        <v>1</v>
      </c>
      <c r="C23016">
        <v>102</v>
      </c>
      <c r="D23016">
        <v>1</v>
      </c>
    </row>
    <row r="23017" spans="2:4">
      <c r="B23017">
        <v>1</v>
      </c>
      <c r="C23017">
        <v>102</v>
      </c>
      <c r="D23017">
        <v>1</v>
      </c>
    </row>
    <row r="23023" spans="2:4">
      <c r="B23023">
        <v>1</v>
      </c>
      <c r="C23023">
        <v>102</v>
      </c>
      <c r="D23023">
        <v>1</v>
      </c>
    </row>
    <row r="23024" spans="2:4">
      <c r="B23024">
        <v>1</v>
      </c>
      <c r="C23024">
        <v>102</v>
      </c>
      <c r="D23024">
        <v>1</v>
      </c>
    </row>
    <row r="23030" spans="2:4">
      <c r="B23030">
        <v>1</v>
      </c>
      <c r="C23030">
        <v>102</v>
      </c>
      <c r="D23030">
        <v>1</v>
      </c>
    </row>
    <row r="23034" spans="2:4">
      <c r="B23034">
        <v>1</v>
      </c>
      <c r="C23034">
        <v>102</v>
      </c>
      <c r="D23034">
        <v>1</v>
      </c>
    </row>
    <row r="23035" spans="2:4">
      <c r="B23035">
        <v>1</v>
      </c>
      <c r="C23035">
        <v>102</v>
      </c>
      <c r="D23035">
        <v>1</v>
      </c>
    </row>
    <row r="23039" spans="2:4">
      <c r="B23039">
        <v>1</v>
      </c>
      <c r="C23039">
        <v>102</v>
      </c>
      <c r="D23039">
        <v>1</v>
      </c>
    </row>
    <row r="23040" spans="2:4">
      <c r="B23040">
        <v>1</v>
      </c>
      <c r="C23040">
        <v>102</v>
      </c>
      <c r="D23040">
        <v>1</v>
      </c>
    </row>
    <row r="23043" spans="2:4">
      <c r="B23043">
        <v>1</v>
      </c>
      <c r="C23043">
        <v>102</v>
      </c>
      <c r="D23043">
        <v>1</v>
      </c>
    </row>
    <row r="23045" spans="2:4">
      <c r="B23045">
        <v>1</v>
      </c>
      <c r="C23045">
        <v>102</v>
      </c>
      <c r="D23045">
        <v>1</v>
      </c>
    </row>
    <row r="23046" spans="2:4">
      <c r="B23046">
        <v>1</v>
      </c>
      <c r="C23046">
        <v>102</v>
      </c>
      <c r="D23046">
        <v>1</v>
      </c>
    </row>
    <row r="23049" spans="2:4">
      <c r="B23049">
        <v>1</v>
      </c>
      <c r="C23049">
        <v>102</v>
      </c>
      <c r="D23049">
        <v>1</v>
      </c>
    </row>
    <row r="23050" spans="2:4">
      <c r="B23050">
        <v>1</v>
      </c>
      <c r="C23050">
        <v>102</v>
      </c>
      <c r="D23050">
        <v>1</v>
      </c>
    </row>
    <row r="23052" spans="2:4">
      <c r="B23052">
        <v>1</v>
      </c>
      <c r="C23052">
        <v>102</v>
      </c>
      <c r="D23052">
        <v>1</v>
      </c>
    </row>
    <row r="23056" spans="2:4">
      <c r="B23056">
        <v>1</v>
      </c>
      <c r="C23056">
        <v>102</v>
      </c>
      <c r="D23056">
        <v>1</v>
      </c>
    </row>
    <row r="23057" spans="2:4">
      <c r="B23057">
        <v>1</v>
      </c>
      <c r="C23057">
        <v>102</v>
      </c>
      <c r="D23057">
        <v>1</v>
      </c>
    </row>
    <row r="23058" spans="2:4">
      <c r="B23058">
        <v>1</v>
      </c>
      <c r="C23058">
        <v>102</v>
      </c>
      <c r="D23058">
        <v>1</v>
      </c>
    </row>
    <row r="23059" spans="2:4">
      <c r="B23059">
        <v>1</v>
      </c>
      <c r="C23059">
        <v>102</v>
      </c>
      <c r="D23059">
        <v>1</v>
      </c>
    </row>
    <row r="23060" spans="2:4">
      <c r="B23060">
        <v>1</v>
      </c>
      <c r="C23060">
        <v>102</v>
      </c>
      <c r="D23060">
        <v>1</v>
      </c>
    </row>
    <row r="23067" spans="2:4">
      <c r="B23067">
        <v>1</v>
      </c>
      <c r="C23067">
        <v>102</v>
      </c>
      <c r="D23067">
        <v>1</v>
      </c>
    </row>
    <row r="23068" spans="2:4">
      <c r="B23068">
        <v>1</v>
      </c>
      <c r="C23068">
        <v>102</v>
      </c>
      <c r="D23068">
        <v>1</v>
      </c>
    </row>
    <row r="23069" spans="2:4">
      <c r="B23069">
        <v>1</v>
      </c>
      <c r="C23069">
        <v>102</v>
      </c>
      <c r="D23069">
        <v>1</v>
      </c>
    </row>
    <row r="23070" spans="2:4">
      <c r="B23070">
        <v>1</v>
      </c>
      <c r="C23070">
        <v>102</v>
      </c>
      <c r="D23070">
        <v>1</v>
      </c>
    </row>
    <row r="23075" spans="2:4">
      <c r="B23075">
        <v>1</v>
      </c>
      <c r="C23075">
        <v>102</v>
      </c>
      <c r="D23075">
        <v>1</v>
      </c>
    </row>
    <row r="23076" spans="2:4">
      <c r="B23076">
        <v>1</v>
      </c>
      <c r="C23076">
        <v>102</v>
      </c>
      <c r="D23076">
        <v>1</v>
      </c>
    </row>
    <row r="23078" spans="2:4">
      <c r="B23078">
        <v>1</v>
      </c>
      <c r="C23078">
        <v>102</v>
      </c>
      <c r="D23078">
        <v>1</v>
      </c>
    </row>
    <row r="23079" spans="2:4">
      <c r="B23079">
        <v>1</v>
      </c>
      <c r="C23079">
        <v>102</v>
      </c>
      <c r="D23079">
        <v>1</v>
      </c>
    </row>
    <row r="23081" spans="2:4">
      <c r="B23081">
        <v>1</v>
      </c>
      <c r="C23081">
        <v>102</v>
      </c>
      <c r="D23081">
        <v>1</v>
      </c>
    </row>
    <row r="23083" spans="2:4">
      <c r="B23083">
        <v>1</v>
      </c>
      <c r="C23083">
        <v>102</v>
      </c>
      <c r="D23083">
        <v>1</v>
      </c>
    </row>
    <row r="23086" spans="2:4">
      <c r="B23086">
        <v>1</v>
      </c>
      <c r="C23086">
        <v>102</v>
      </c>
      <c r="D23086">
        <v>1</v>
      </c>
    </row>
    <row r="23089" spans="2:4">
      <c r="B23089">
        <v>1</v>
      </c>
      <c r="C23089">
        <v>102</v>
      </c>
      <c r="D23089">
        <v>1</v>
      </c>
    </row>
    <row r="23091" spans="2:4">
      <c r="B23091">
        <v>1</v>
      </c>
      <c r="C23091">
        <v>102</v>
      </c>
      <c r="D23091">
        <v>1</v>
      </c>
    </row>
    <row r="23096" spans="2:4">
      <c r="B23096">
        <v>1</v>
      </c>
      <c r="C23096">
        <v>102</v>
      </c>
      <c r="D23096">
        <v>1</v>
      </c>
    </row>
    <row r="23097" spans="2:4">
      <c r="B23097">
        <v>1</v>
      </c>
      <c r="C23097">
        <v>102</v>
      </c>
      <c r="D23097">
        <v>1</v>
      </c>
    </row>
    <row r="23099" spans="2:4">
      <c r="B23099">
        <v>1</v>
      </c>
      <c r="C23099">
        <v>102</v>
      </c>
      <c r="D23099">
        <v>1</v>
      </c>
    </row>
    <row r="23101" spans="2:4">
      <c r="B23101">
        <v>1</v>
      </c>
      <c r="C23101">
        <v>102</v>
      </c>
      <c r="D23101">
        <v>1</v>
      </c>
    </row>
    <row r="23106" spans="2:4">
      <c r="B23106">
        <v>1</v>
      </c>
      <c r="C23106">
        <v>102</v>
      </c>
      <c r="D23106">
        <v>1</v>
      </c>
    </row>
    <row r="23107" spans="2:4">
      <c r="B23107">
        <v>1</v>
      </c>
      <c r="C23107">
        <v>102</v>
      </c>
      <c r="D23107">
        <v>1</v>
      </c>
    </row>
    <row r="23111" spans="2:4">
      <c r="B23111">
        <v>1</v>
      </c>
      <c r="C23111">
        <v>102</v>
      </c>
      <c r="D23111">
        <v>1</v>
      </c>
    </row>
    <row r="23112" spans="2:4">
      <c r="B23112">
        <v>1</v>
      </c>
      <c r="C23112">
        <v>102</v>
      </c>
      <c r="D23112">
        <v>1</v>
      </c>
    </row>
    <row r="23115" spans="2:4">
      <c r="B23115">
        <v>1</v>
      </c>
      <c r="C23115">
        <v>102</v>
      </c>
      <c r="D23115">
        <v>1</v>
      </c>
    </row>
    <row r="23120" spans="2:4">
      <c r="B23120">
        <v>1</v>
      </c>
      <c r="C23120">
        <v>102</v>
      </c>
      <c r="D23120">
        <v>1</v>
      </c>
    </row>
    <row r="23121" spans="2:4">
      <c r="B23121">
        <v>1</v>
      </c>
      <c r="C23121">
        <v>102</v>
      </c>
      <c r="D23121">
        <v>1</v>
      </c>
    </row>
    <row r="23122" spans="2:4">
      <c r="B23122">
        <v>1</v>
      </c>
      <c r="C23122">
        <v>102</v>
      </c>
      <c r="D23122">
        <v>1</v>
      </c>
    </row>
    <row r="23123" spans="2:4">
      <c r="B23123">
        <v>1</v>
      </c>
      <c r="C23123">
        <v>102</v>
      </c>
      <c r="D23123">
        <v>1</v>
      </c>
    </row>
    <row r="23124" spans="2:4">
      <c r="B23124">
        <v>1</v>
      </c>
      <c r="C23124">
        <v>102</v>
      </c>
      <c r="D23124">
        <v>1</v>
      </c>
    </row>
    <row r="23125" spans="2:4">
      <c r="B23125">
        <v>1</v>
      </c>
      <c r="C23125">
        <v>102</v>
      </c>
      <c r="D23125">
        <v>1</v>
      </c>
    </row>
    <row r="23126" spans="2:4">
      <c r="B23126">
        <v>1</v>
      </c>
      <c r="C23126">
        <v>102</v>
      </c>
      <c r="D23126">
        <v>1</v>
      </c>
    </row>
    <row r="23127" spans="2:4">
      <c r="B23127">
        <v>1</v>
      </c>
      <c r="C23127">
        <v>102</v>
      </c>
      <c r="D23127">
        <v>1</v>
      </c>
    </row>
    <row r="23129" spans="2:4">
      <c r="B23129">
        <v>1</v>
      </c>
      <c r="C23129">
        <v>102</v>
      </c>
      <c r="D23129">
        <v>1</v>
      </c>
    </row>
    <row r="23130" spans="2:4">
      <c r="B23130">
        <v>1</v>
      </c>
      <c r="C23130">
        <v>102</v>
      </c>
      <c r="D23130">
        <v>1</v>
      </c>
    </row>
    <row r="23132" spans="2:4">
      <c r="B23132">
        <v>1</v>
      </c>
      <c r="C23132">
        <v>102</v>
      </c>
      <c r="D23132">
        <v>1</v>
      </c>
    </row>
    <row r="23133" spans="2:4">
      <c r="B23133">
        <v>1</v>
      </c>
      <c r="C23133">
        <v>102</v>
      </c>
      <c r="D23133">
        <v>1</v>
      </c>
    </row>
    <row r="23134" spans="2:4">
      <c r="B23134">
        <v>1</v>
      </c>
      <c r="C23134">
        <v>102</v>
      </c>
      <c r="D23134">
        <v>1</v>
      </c>
    </row>
    <row r="23136" spans="2:4">
      <c r="B23136">
        <v>1</v>
      </c>
      <c r="C23136">
        <v>102</v>
      </c>
      <c r="D23136">
        <v>1</v>
      </c>
    </row>
    <row r="23139" spans="2:4">
      <c r="B23139">
        <v>1</v>
      </c>
      <c r="C23139">
        <v>102</v>
      </c>
      <c r="D23139">
        <v>1</v>
      </c>
    </row>
    <row r="23140" spans="2:4">
      <c r="B23140">
        <v>1</v>
      </c>
      <c r="C23140">
        <v>102</v>
      </c>
      <c r="D23140">
        <v>1</v>
      </c>
    </row>
    <row r="23142" spans="2:4">
      <c r="B23142">
        <v>1</v>
      </c>
      <c r="C23142">
        <v>102</v>
      </c>
      <c r="D23142">
        <v>1</v>
      </c>
    </row>
    <row r="23143" spans="2:4">
      <c r="B23143">
        <v>1</v>
      </c>
      <c r="C23143">
        <v>102</v>
      </c>
      <c r="D23143">
        <v>1</v>
      </c>
    </row>
    <row r="23146" spans="2:4">
      <c r="B23146">
        <v>1</v>
      </c>
      <c r="C23146">
        <v>102</v>
      </c>
      <c r="D23146">
        <v>1</v>
      </c>
    </row>
    <row r="23147" spans="2:4">
      <c r="B23147">
        <v>1</v>
      </c>
      <c r="C23147">
        <v>102</v>
      </c>
      <c r="D23147">
        <v>1</v>
      </c>
    </row>
    <row r="23148" spans="2:4">
      <c r="B23148">
        <v>1</v>
      </c>
      <c r="C23148">
        <v>102</v>
      </c>
      <c r="D23148">
        <v>1</v>
      </c>
    </row>
    <row r="23149" spans="2:4">
      <c r="B23149">
        <v>1</v>
      </c>
      <c r="C23149">
        <v>102</v>
      </c>
      <c r="D23149">
        <v>1</v>
      </c>
    </row>
    <row r="23157" spans="2:4">
      <c r="B23157">
        <v>1</v>
      </c>
      <c r="C23157">
        <v>102</v>
      </c>
      <c r="D23157">
        <v>1</v>
      </c>
    </row>
    <row r="23159" spans="2:4">
      <c r="B23159">
        <v>1</v>
      </c>
      <c r="C23159">
        <v>102</v>
      </c>
      <c r="D23159">
        <v>1</v>
      </c>
    </row>
    <row r="23160" spans="2:4">
      <c r="B23160">
        <v>1</v>
      </c>
      <c r="C23160">
        <v>102</v>
      </c>
      <c r="D23160">
        <v>1</v>
      </c>
    </row>
    <row r="23161" spans="2:4">
      <c r="B23161">
        <v>1</v>
      </c>
      <c r="C23161">
        <v>102</v>
      </c>
      <c r="D23161">
        <v>1</v>
      </c>
    </row>
    <row r="23169" spans="2:4">
      <c r="B23169">
        <v>1</v>
      </c>
      <c r="C23169">
        <v>102</v>
      </c>
      <c r="D23169">
        <v>1</v>
      </c>
    </row>
    <row r="23170" spans="2:4">
      <c r="B23170">
        <v>1</v>
      </c>
      <c r="C23170">
        <v>102</v>
      </c>
      <c r="D23170">
        <v>1</v>
      </c>
    </row>
    <row r="23176" spans="2:4">
      <c r="B23176">
        <v>1</v>
      </c>
      <c r="C23176">
        <v>102</v>
      </c>
      <c r="D23176">
        <v>1</v>
      </c>
    </row>
    <row r="23181" spans="2:4">
      <c r="B23181">
        <v>1</v>
      </c>
      <c r="C23181">
        <v>102</v>
      </c>
      <c r="D23181">
        <v>1</v>
      </c>
    </row>
    <row r="23182" spans="2:4">
      <c r="B23182">
        <v>1</v>
      </c>
      <c r="C23182">
        <v>102</v>
      </c>
      <c r="D23182">
        <v>1</v>
      </c>
    </row>
    <row r="23183" spans="2:4">
      <c r="B23183">
        <v>1</v>
      </c>
      <c r="C23183">
        <v>102</v>
      </c>
      <c r="D23183">
        <v>1</v>
      </c>
    </row>
    <row r="23189" spans="2:4">
      <c r="B23189">
        <v>1</v>
      </c>
      <c r="C23189">
        <v>102</v>
      </c>
      <c r="D23189">
        <v>1</v>
      </c>
    </row>
    <row r="23190" spans="2:4">
      <c r="B23190">
        <v>1</v>
      </c>
      <c r="C23190">
        <v>102</v>
      </c>
      <c r="D23190">
        <v>1</v>
      </c>
    </row>
    <row r="23191" spans="2:4">
      <c r="B23191">
        <v>1</v>
      </c>
      <c r="C23191">
        <v>102</v>
      </c>
      <c r="D23191">
        <v>1</v>
      </c>
    </row>
    <row r="23194" spans="2:4">
      <c r="B23194">
        <v>1</v>
      </c>
      <c r="C23194">
        <v>102</v>
      </c>
      <c r="D23194">
        <v>1</v>
      </c>
    </row>
    <row r="23201" spans="2:4">
      <c r="B23201">
        <v>1</v>
      </c>
      <c r="C23201">
        <v>102</v>
      </c>
      <c r="D23201">
        <v>1</v>
      </c>
    </row>
    <row r="23212" spans="2:4">
      <c r="B23212">
        <v>1</v>
      </c>
      <c r="C23212">
        <v>102</v>
      </c>
      <c r="D23212">
        <v>1</v>
      </c>
    </row>
    <row r="23213" spans="2:4">
      <c r="B23213">
        <v>1</v>
      </c>
      <c r="C23213">
        <v>102</v>
      </c>
      <c r="D23213">
        <v>1</v>
      </c>
    </row>
    <row r="23215" spans="2:4">
      <c r="B23215">
        <v>1</v>
      </c>
      <c r="C23215">
        <v>102</v>
      </c>
      <c r="D23215">
        <v>1</v>
      </c>
    </row>
    <row r="23216" spans="2:4">
      <c r="B23216">
        <v>1</v>
      </c>
      <c r="C23216">
        <v>102</v>
      </c>
      <c r="D23216">
        <v>1</v>
      </c>
    </row>
    <row r="23218" spans="2:4">
      <c r="B23218">
        <v>1</v>
      </c>
      <c r="C23218">
        <v>102</v>
      </c>
      <c r="D23218">
        <v>1</v>
      </c>
    </row>
    <row r="23220" spans="2:4">
      <c r="B23220">
        <v>1</v>
      </c>
      <c r="C23220">
        <v>102</v>
      </c>
      <c r="D23220">
        <v>1</v>
      </c>
    </row>
    <row r="23221" spans="2:4">
      <c r="B23221">
        <v>1</v>
      </c>
      <c r="C23221">
        <v>102</v>
      </c>
      <c r="D23221">
        <v>1</v>
      </c>
    </row>
    <row r="23228" spans="2:4">
      <c r="B23228">
        <v>1</v>
      </c>
      <c r="C23228">
        <v>102</v>
      </c>
      <c r="D23228">
        <v>1</v>
      </c>
    </row>
    <row r="23230" spans="2:4">
      <c r="B23230">
        <v>1</v>
      </c>
      <c r="C23230">
        <v>102</v>
      </c>
      <c r="D23230">
        <v>1</v>
      </c>
    </row>
    <row r="23231" spans="2:4">
      <c r="B23231">
        <v>1</v>
      </c>
      <c r="C23231">
        <v>102</v>
      </c>
      <c r="D23231">
        <v>1</v>
      </c>
    </row>
    <row r="23232" spans="2:4">
      <c r="B23232">
        <v>1</v>
      </c>
      <c r="C23232">
        <v>102</v>
      </c>
      <c r="D23232">
        <v>1</v>
      </c>
    </row>
    <row r="23233" spans="2:4">
      <c r="B23233">
        <v>1</v>
      </c>
      <c r="C23233">
        <v>102</v>
      </c>
      <c r="D23233">
        <v>1</v>
      </c>
    </row>
    <row r="23236" spans="2:4">
      <c r="B23236">
        <v>1</v>
      </c>
      <c r="C23236">
        <v>102</v>
      </c>
      <c r="D23236">
        <v>1</v>
      </c>
    </row>
    <row r="23237" spans="2:4">
      <c r="B23237">
        <v>1</v>
      </c>
      <c r="C23237">
        <v>102</v>
      </c>
      <c r="D23237">
        <v>1</v>
      </c>
    </row>
    <row r="23238" spans="2:4">
      <c r="B23238">
        <v>1</v>
      </c>
      <c r="C23238">
        <v>102</v>
      </c>
      <c r="D23238">
        <v>1</v>
      </c>
    </row>
    <row r="23242" spans="2:4">
      <c r="B23242">
        <v>1</v>
      </c>
      <c r="C23242">
        <v>102</v>
      </c>
      <c r="D23242">
        <v>1</v>
      </c>
    </row>
    <row r="23244" spans="2:4">
      <c r="B23244">
        <v>1</v>
      </c>
      <c r="C23244">
        <v>102</v>
      </c>
      <c r="D23244">
        <v>1</v>
      </c>
    </row>
    <row r="23246" spans="2:4">
      <c r="B23246">
        <v>1</v>
      </c>
      <c r="C23246">
        <v>102</v>
      </c>
      <c r="D23246">
        <v>1</v>
      </c>
    </row>
    <row r="23247" spans="2:4">
      <c r="B23247">
        <v>1</v>
      </c>
      <c r="C23247">
        <v>102</v>
      </c>
      <c r="D23247">
        <v>1</v>
      </c>
    </row>
    <row r="23256" spans="2:4">
      <c r="B23256">
        <v>1</v>
      </c>
      <c r="C23256">
        <v>102</v>
      </c>
      <c r="D23256">
        <v>1</v>
      </c>
    </row>
    <row r="23263" spans="2:4">
      <c r="B23263">
        <v>1</v>
      </c>
      <c r="C23263">
        <v>102</v>
      </c>
      <c r="D23263">
        <v>1</v>
      </c>
    </row>
    <row r="23265" spans="2:4">
      <c r="B23265">
        <v>1</v>
      </c>
      <c r="C23265">
        <v>102</v>
      </c>
      <c r="D23265">
        <v>1</v>
      </c>
    </row>
    <row r="23266" spans="2:4">
      <c r="B23266">
        <v>1</v>
      </c>
      <c r="C23266">
        <v>102</v>
      </c>
      <c r="D23266">
        <v>1</v>
      </c>
    </row>
    <row r="23269" spans="2:4">
      <c r="B23269">
        <v>1</v>
      </c>
      <c r="C23269">
        <v>102</v>
      </c>
      <c r="D23269">
        <v>1</v>
      </c>
    </row>
    <row r="23272" spans="2:4">
      <c r="B23272">
        <v>1</v>
      </c>
      <c r="C23272">
        <v>102</v>
      </c>
      <c r="D23272">
        <v>1</v>
      </c>
    </row>
    <row r="23273" spans="2:4">
      <c r="B23273">
        <v>1</v>
      </c>
      <c r="C23273">
        <v>102</v>
      </c>
      <c r="D23273">
        <v>1</v>
      </c>
    </row>
    <row r="23279" spans="2:4">
      <c r="B23279">
        <v>1</v>
      </c>
      <c r="C23279">
        <v>102</v>
      </c>
      <c r="D23279">
        <v>1</v>
      </c>
    </row>
    <row r="23280" spans="2:4">
      <c r="B23280">
        <v>1</v>
      </c>
      <c r="C23280">
        <v>102</v>
      </c>
      <c r="D23280">
        <v>1</v>
      </c>
    </row>
    <row r="23286" spans="2:4">
      <c r="B23286">
        <v>1</v>
      </c>
      <c r="C23286">
        <v>102</v>
      </c>
      <c r="D23286">
        <v>1</v>
      </c>
    </row>
    <row r="23290" spans="2:4">
      <c r="B23290">
        <v>1</v>
      </c>
      <c r="C23290">
        <v>102</v>
      </c>
      <c r="D23290">
        <v>1</v>
      </c>
    </row>
    <row r="23291" spans="2:4">
      <c r="B23291">
        <v>1</v>
      </c>
      <c r="C23291">
        <v>102</v>
      </c>
      <c r="D23291">
        <v>1</v>
      </c>
    </row>
    <row r="23295" spans="2:4">
      <c r="B23295">
        <v>1</v>
      </c>
      <c r="C23295">
        <v>102</v>
      </c>
      <c r="D23295">
        <v>1</v>
      </c>
    </row>
    <row r="23296" spans="2:4">
      <c r="B23296">
        <v>1</v>
      </c>
      <c r="C23296">
        <v>102</v>
      </c>
      <c r="D23296">
        <v>1</v>
      </c>
    </row>
    <row r="23299" spans="2:4">
      <c r="B23299">
        <v>1</v>
      </c>
      <c r="C23299">
        <v>102</v>
      </c>
      <c r="D23299">
        <v>1</v>
      </c>
    </row>
    <row r="23301" spans="2:4">
      <c r="B23301">
        <v>1</v>
      </c>
      <c r="C23301">
        <v>102</v>
      </c>
      <c r="D23301">
        <v>1</v>
      </c>
    </row>
    <row r="23302" spans="2:4">
      <c r="B23302">
        <v>1</v>
      </c>
      <c r="C23302">
        <v>102</v>
      </c>
      <c r="D23302">
        <v>1</v>
      </c>
    </row>
    <row r="23305" spans="2:4">
      <c r="B23305">
        <v>1</v>
      </c>
      <c r="C23305">
        <v>102</v>
      </c>
      <c r="D23305">
        <v>1</v>
      </c>
    </row>
    <row r="23306" spans="2:4">
      <c r="B23306">
        <v>1</v>
      </c>
      <c r="C23306">
        <v>102</v>
      </c>
      <c r="D23306">
        <v>1</v>
      </c>
    </row>
    <row r="23308" spans="2:4">
      <c r="B23308">
        <v>1</v>
      </c>
      <c r="C23308">
        <v>102</v>
      </c>
      <c r="D23308">
        <v>1</v>
      </c>
    </row>
    <row r="23312" spans="2:4">
      <c r="B23312">
        <v>1</v>
      </c>
      <c r="C23312">
        <v>102</v>
      </c>
      <c r="D23312">
        <v>1</v>
      </c>
    </row>
    <row r="23313" spans="2:4">
      <c r="B23313">
        <v>1</v>
      </c>
      <c r="C23313">
        <v>102</v>
      </c>
      <c r="D23313">
        <v>1</v>
      </c>
    </row>
    <row r="23314" spans="2:4">
      <c r="B23314">
        <v>1</v>
      </c>
      <c r="C23314">
        <v>102</v>
      </c>
      <c r="D23314">
        <v>1</v>
      </c>
    </row>
    <row r="23315" spans="2:4">
      <c r="B23315">
        <v>1</v>
      </c>
      <c r="C23315">
        <v>102</v>
      </c>
      <c r="D23315">
        <v>1</v>
      </c>
    </row>
    <row r="23316" spans="2:4">
      <c r="B23316">
        <v>1</v>
      </c>
      <c r="C23316">
        <v>102</v>
      </c>
      <c r="D23316">
        <v>1</v>
      </c>
    </row>
    <row r="23323" spans="2:4">
      <c r="B23323">
        <v>1</v>
      </c>
      <c r="C23323">
        <v>102</v>
      </c>
      <c r="D23323">
        <v>1</v>
      </c>
    </row>
    <row r="23324" spans="2:4">
      <c r="B23324">
        <v>1</v>
      </c>
      <c r="C23324">
        <v>102</v>
      </c>
      <c r="D23324">
        <v>1</v>
      </c>
    </row>
    <row r="23325" spans="2:4">
      <c r="B23325">
        <v>1</v>
      </c>
      <c r="C23325">
        <v>102</v>
      </c>
      <c r="D23325">
        <v>1</v>
      </c>
    </row>
    <row r="23326" spans="2:4">
      <c r="B23326">
        <v>1</v>
      </c>
      <c r="C23326">
        <v>102</v>
      </c>
      <c r="D23326">
        <v>1</v>
      </c>
    </row>
    <row r="23331" spans="2:4">
      <c r="B23331">
        <v>1</v>
      </c>
      <c r="C23331">
        <v>102</v>
      </c>
      <c r="D23331">
        <v>1</v>
      </c>
    </row>
    <row r="23332" spans="2:4">
      <c r="B23332">
        <v>1</v>
      </c>
      <c r="C23332">
        <v>102</v>
      </c>
      <c r="D23332">
        <v>1</v>
      </c>
    </row>
    <row r="23334" spans="2:4">
      <c r="B23334">
        <v>1</v>
      </c>
      <c r="C23334">
        <v>102</v>
      </c>
      <c r="D23334">
        <v>1</v>
      </c>
    </row>
    <row r="23335" spans="2:4">
      <c r="B23335">
        <v>1</v>
      </c>
      <c r="C23335">
        <v>102</v>
      </c>
      <c r="D23335">
        <v>1</v>
      </c>
    </row>
    <row r="23337" spans="2:4">
      <c r="B23337">
        <v>1</v>
      </c>
      <c r="C23337">
        <v>102</v>
      </c>
      <c r="D23337">
        <v>1</v>
      </c>
    </row>
    <row r="23339" spans="2:4">
      <c r="B23339">
        <v>1</v>
      </c>
      <c r="C23339">
        <v>102</v>
      </c>
      <c r="D23339">
        <v>1</v>
      </c>
    </row>
    <row r="23342" spans="2:4">
      <c r="B23342">
        <v>1</v>
      </c>
      <c r="C23342">
        <v>102</v>
      </c>
      <c r="D23342">
        <v>1</v>
      </c>
    </row>
    <row r="23345" spans="2:4">
      <c r="B23345">
        <v>1</v>
      </c>
      <c r="C23345">
        <v>102</v>
      </c>
      <c r="D23345">
        <v>1</v>
      </c>
    </row>
    <row r="23347" spans="2:4">
      <c r="B23347">
        <v>1</v>
      </c>
      <c r="C23347">
        <v>102</v>
      </c>
      <c r="D23347">
        <v>1</v>
      </c>
    </row>
    <row r="23352" spans="2:4">
      <c r="B23352">
        <v>1</v>
      </c>
      <c r="C23352">
        <v>102</v>
      </c>
      <c r="D23352">
        <v>1</v>
      </c>
    </row>
    <row r="23353" spans="2:4">
      <c r="B23353">
        <v>1</v>
      </c>
      <c r="C23353">
        <v>102</v>
      </c>
      <c r="D23353">
        <v>1</v>
      </c>
    </row>
    <row r="23355" spans="2:4">
      <c r="B23355">
        <v>1</v>
      </c>
      <c r="C23355">
        <v>102</v>
      </c>
      <c r="D23355">
        <v>1</v>
      </c>
    </row>
    <row r="23357" spans="2:4">
      <c r="B23357">
        <v>1</v>
      </c>
      <c r="C23357">
        <v>102</v>
      </c>
      <c r="D23357">
        <v>1</v>
      </c>
    </row>
    <row r="23362" spans="2:4">
      <c r="B23362">
        <v>1</v>
      </c>
      <c r="C23362">
        <v>102</v>
      </c>
      <c r="D23362">
        <v>1</v>
      </c>
    </row>
    <row r="23363" spans="2:4">
      <c r="B23363">
        <v>1</v>
      </c>
      <c r="C23363">
        <v>102</v>
      </c>
      <c r="D23363">
        <v>1</v>
      </c>
    </row>
    <row r="23367" spans="2:4">
      <c r="B23367">
        <v>1</v>
      </c>
      <c r="C23367">
        <v>102</v>
      </c>
      <c r="D23367">
        <v>1</v>
      </c>
    </row>
    <row r="23368" spans="2:4">
      <c r="B23368">
        <v>1</v>
      </c>
      <c r="C23368">
        <v>102</v>
      </c>
      <c r="D23368">
        <v>1</v>
      </c>
    </row>
    <row r="23371" spans="2:4">
      <c r="B23371">
        <v>1</v>
      </c>
      <c r="C23371">
        <v>102</v>
      </c>
      <c r="D23371">
        <v>1</v>
      </c>
    </row>
    <row r="23376" spans="2:4">
      <c r="B23376">
        <v>1</v>
      </c>
      <c r="C23376">
        <v>102</v>
      </c>
      <c r="D23376">
        <v>1</v>
      </c>
    </row>
    <row r="23377" spans="2:4">
      <c r="B23377">
        <v>1</v>
      </c>
      <c r="C23377">
        <v>102</v>
      </c>
      <c r="D23377">
        <v>1</v>
      </c>
    </row>
    <row r="23378" spans="2:4">
      <c r="B23378">
        <v>1</v>
      </c>
      <c r="C23378">
        <v>102</v>
      </c>
      <c r="D23378">
        <v>1</v>
      </c>
    </row>
    <row r="23379" spans="2:4">
      <c r="B23379">
        <v>1</v>
      </c>
      <c r="C23379">
        <v>102</v>
      </c>
      <c r="D23379">
        <v>1</v>
      </c>
    </row>
    <row r="23380" spans="2:4">
      <c r="B23380">
        <v>1</v>
      </c>
      <c r="C23380">
        <v>102</v>
      </c>
      <c r="D23380">
        <v>1</v>
      </c>
    </row>
    <row r="23381" spans="2:4">
      <c r="B23381">
        <v>1</v>
      </c>
      <c r="C23381">
        <v>102</v>
      </c>
      <c r="D23381">
        <v>1</v>
      </c>
    </row>
    <row r="23382" spans="2:4">
      <c r="B23382">
        <v>1</v>
      </c>
      <c r="C23382">
        <v>102</v>
      </c>
      <c r="D23382">
        <v>1</v>
      </c>
    </row>
    <row r="23383" spans="2:4">
      <c r="B23383">
        <v>1</v>
      </c>
      <c r="C23383">
        <v>102</v>
      </c>
      <c r="D23383">
        <v>1</v>
      </c>
    </row>
    <row r="23385" spans="2:4">
      <c r="B23385">
        <v>1</v>
      </c>
      <c r="C23385">
        <v>102</v>
      </c>
      <c r="D23385">
        <v>1</v>
      </c>
    </row>
    <row r="23386" spans="2:4">
      <c r="B23386">
        <v>1</v>
      </c>
      <c r="C23386">
        <v>102</v>
      </c>
      <c r="D23386">
        <v>1</v>
      </c>
    </row>
    <row r="23388" spans="2:4">
      <c r="B23388">
        <v>1</v>
      </c>
      <c r="C23388">
        <v>102</v>
      </c>
      <c r="D23388">
        <v>1</v>
      </c>
    </row>
    <row r="23389" spans="2:4">
      <c r="B23389">
        <v>1</v>
      </c>
      <c r="C23389">
        <v>102</v>
      </c>
      <c r="D23389">
        <v>1</v>
      </c>
    </row>
    <row r="23390" spans="2:4">
      <c r="B23390">
        <v>1</v>
      </c>
      <c r="C23390">
        <v>102</v>
      </c>
      <c r="D23390">
        <v>1</v>
      </c>
    </row>
    <row r="23392" spans="2:4">
      <c r="B23392">
        <v>1</v>
      </c>
      <c r="C23392">
        <v>102</v>
      </c>
      <c r="D23392">
        <v>1</v>
      </c>
    </row>
    <row r="23395" spans="2:4">
      <c r="B23395">
        <v>1</v>
      </c>
      <c r="C23395">
        <v>102</v>
      </c>
      <c r="D23395">
        <v>1</v>
      </c>
    </row>
    <row r="23396" spans="2:4">
      <c r="B23396">
        <v>1</v>
      </c>
      <c r="C23396">
        <v>102</v>
      </c>
      <c r="D23396">
        <v>1</v>
      </c>
    </row>
    <row r="23398" spans="2:4">
      <c r="B23398">
        <v>1</v>
      </c>
      <c r="C23398">
        <v>102</v>
      </c>
      <c r="D23398">
        <v>1</v>
      </c>
    </row>
    <row r="23399" spans="2:4">
      <c r="B23399">
        <v>1</v>
      </c>
      <c r="C23399">
        <v>102</v>
      </c>
      <c r="D23399">
        <v>1</v>
      </c>
    </row>
    <row r="23402" spans="2:4">
      <c r="B23402">
        <v>1</v>
      </c>
      <c r="C23402">
        <v>102</v>
      </c>
      <c r="D23402">
        <v>1</v>
      </c>
    </row>
    <row r="23403" spans="2:4">
      <c r="B23403">
        <v>1</v>
      </c>
      <c r="C23403">
        <v>102</v>
      </c>
      <c r="D23403">
        <v>1</v>
      </c>
    </row>
    <row r="23404" spans="2:4">
      <c r="B23404">
        <v>1</v>
      </c>
      <c r="C23404">
        <v>102</v>
      </c>
      <c r="D23404">
        <v>1</v>
      </c>
    </row>
    <row r="23405" spans="2:4">
      <c r="B23405">
        <v>1</v>
      </c>
      <c r="C23405">
        <v>102</v>
      </c>
      <c r="D23405">
        <v>1</v>
      </c>
    </row>
    <row r="23413" spans="2:4">
      <c r="B23413">
        <v>1</v>
      </c>
      <c r="C23413">
        <v>102</v>
      </c>
      <c r="D23413">
        <v>1</v>
      </c>
    </row>
    <row r="23415" spans="2:4">
      <c r="B23415">
        <v>1</v>
      </c>
      <c r="C23415">
        <v>102</v>
      </c>
      <c r="D23415">
        <v>1</v>
      </c>
    </row>
    <row r="23416" spans="2:4">
      <c r="B23416">
        <v>1</v>
      </c>
      <c r="C23416">
        <v>102</v>
      </c>
      <c r="D23416">
        <v>1</v>
      </c>
    </row>
    <row r="23417" spans="2:4">
      <c r="B23417">
        <v>1</v>
      </c>
      <c r="C23417">
        <v>102</v>
      </c>
      <c r="D23417">
        <v>1</v>
      </c>
    </row>
    <row r="23425" spans="2:4">
      <c r="B23425">
        <v>1</v>
      </c>
      <c r="C23425">
        <v>102</v>
      </c>
      <c r="D23425">
        <v>1</v>
      </c>
    </row>
    <row r="23426" spans="2:4">
      <c r="B23426">
        <v>1</v>
      </c>
      <c r="C23426">
        <v>102</v>
      </c>
      <c r="D23426">
        <v>1</v>
      </c>
    </row>
    <row r="23432" spans="2:4">
      <c r="B23432">
        <v>1</v>
      </c>
      <c r="C23432">
        <v>102</v>
      </c>
      <c r="D23432">
        <v>1</v>
      </c>
    </row>
    <row r="23437" spans="2:4">
      <c r="B23437">
        <v>1</v>
      </c>
      <c r="C23437">
        <v>102</v>
      </c>
      <c r="D23437">
        <v>1</v>
      </c>
    </row>
    <row r="23438" spans="2:4">
      <c r="B23438">
        <v>1</v>
      </c>
      <c r="C23438">
        <v>102</v>
      </c>
      <c r="D23438">
        <v>1</v>
      </c>
    </row>
    <row r="23439" spans="2:4">
      <c r="B23439">
        <v>1</v>
      </c>
      <c r="C23439">
        <v>102</v>
      </c>
      <c r="D23439">
        <v>1</v>
      </c>
    </row>
    <row r="23445" spans="2:4">
      <c r="B23445">
        <v>1</v>
      </c>
      <c r="C23445">
        <v>102</v>
      </c>
      <c r="D23445">
        <v>1</v>
      </c>
    </row>
    <row r="23446" spans="2:4">
      <c r="B23446">
        <v>1</v>
      </c>
      <c r="C23446">
        <v>102</v>
      </c>
      <c r="D23446">
        <v>1</v>
      </c>
    </row>
    <row r="23447" spans="2:4">
      <c r="B23447">
        <v>1</v>
      </c>
      <c r="C23447">
        <v>102</v>
      </c>
      <c r="D23447">
        <v>1</v>
      </c>
    </row>
    <row r="23450" spans="2:4">
      <c r="B23450">
        <v>1</v>
      </c>
      <c r="C23450">
        <v>102</v>
      </c>
      <c r="D23450">
        <v>1</v>
      </c>
    </row>
    <row r="23457" spans="2:4">
      <c r="B23457">
        <v>1</v>
      </c>
      <c r="C23457">
        <v>102</v>
      </c>
      <c r="D23457">
        <v>1</v>
      </c>
    </row>
    <row r="23468" spans="2:4">
      <c r="B23468">
        <v>1</v>
      </c>
      <c r="C23468">
        <v>102</v>
      </c>
      <c r="D23468">
        <v>1</v>
      </c>
    </row>
    <row r="23469" spans="2:4">
      <c r="B23469">
        <v>1</v>
      </c>
      <c r="C23469">
        <v>102</v>
      </c>
      <c r="D23469">
        <v>1</v>
      </c>
    </row>
    <row r="23471" spans="2:4">
      <c r="B23471">
        <v>1</v>
      </c>
      <c r="C23471">
        <v>102</v>
      </c>
      <c r="D23471">
        <v>1</v>
      </c>
    </row>
    <row r="23472" spans="2:4">
      <c r="B23472">
        <v>1</v>
      </c>
      <c r="C23472">
        <v>102</v>
      </c>
      <c r="D23472">
        <v>1</v>
      </c>
    </row>
    <row r="23474" spans="2:4">
      <c r="B23474">
        <v>1</v>
      </c>
      <c r="C23474">
        <v>102</v>
      </c>
      <c r="D23474">
        <v>1</v>
      </c>
    </row>
    <row r="23476" spans="2:4">
      <c r="B23476">
        <v>1</v>
      </c>
      <c r="C23476">
        <v>102</v>
      </c>
      <c r="D23476">
        <v>1</v>
      </c>
    </row>
    <row r="23477" spans="2:4">
      <c r="B23477">
        <v>1</v>
      </c>
      <c r="C23477">
        <v>102</v>
      </c>
      <c r="D23477">
        <v>1</v>
      </c>
    </row>
    <row r="23484" spans="2:4">
      <c r="B23484">
        <v>1</v>
      </c>
      <c r="C23484">
        <v>102</v>
      </c>
      <c r="D23484">
        <v>1</v>
      </c>
    </row>
    <row r="23486" spans="2:4">
      <c r="B23486">
        <v>1</v>
      </c>
      <c r="C23486">
        <v>102</v>
      </c>
      <c r="D23486">
        <v>1</v>
      </c>
    </row>
    <row r="23487" spans="2:4">
      <c r="B23487">
        <v>1</v>
      </c>
      <c r="C23487">
        <v>102</v>
      </c>
      <c r="D23487">
        <v>1</v>
      </c>
    </row>
    <row r="23488" spans="2:4">
      <c r="B23488">
        <v>1</v>
      </c>
      <c r="C23488">
        <v>102</v>
      </c>
      <c r="D23488">
        <v>1</v>
      </c>
    </row>
    <row r="23489" spans="2:4">
      <c r="B23489">
        <v>1</v>
      </c>
      <c r="C23489">
        <v>102</v>
      </c>
      <c r="D23489">
        <v>1</v>
      </c>
    </row>
    <row r="23492" spans="2:4">
      <c r="B23492">
        <v>1</v>
      </c>
      <c r="C23492">
        <v>102</v>
      </c>
      <c r="D23492">
        <v>1</v>
      </c>
    </row>
    <row r="23493" spans="2:4">
      <c r="B23493">
        <v>1</v>
      </c>
      <c r="C23493">
        <v>102</v>
      </c>
      <c r="D23493">
        <v>1</v>
      </c>
    </row>
    <row r="23494" spans="2:4">
      <c r="B23494">
        <v>1</v>
      </c>
      <c r="C23494">
        <v>102</v>
      </c>
      <c r="D23494">
        <v>1</v>
      </c>
    </row>
    <row r="23498" spans="2:4">
      <c r="B23498">
        <v>1</v>
      </c>
      <c r="C23498">
        <v>102</v>
      </c>
      <c r="D23498">
        <v>1</v>
      </c>
    </row>
    <row r="23500" spans="2:4">
      <c r="B23500">
        <v>1</v>
      </c>
      <c r="C23500">
        <v>102</v>
      </c>
      <c r="D23500">
        <v>1</v>
      </c>
    </row>
    <row r="23502" spans="2:4">
      <c r="B23502">
        <v>1</v>
      </c>
      <c r="C23502">
        <v>102</v>
      </c>
      <c r="D23502">
        <v>1</v>
      </c>
    </row>
    <row r="23503" spans="2:4">
      <c r="B23503">
        <v>1</v>
      </c>
      <c r="C23503">
        <v>102</v>
      </c>
      <c r="D23503">
        <v>1</v>
      </c>
    </row>
    <row r="23512" spans="2:4">
      <c r="B23512">
        <v>1</v>
      </c>
      <c r="C23512">
        <v>102</v>
      </c>
      <c r="D23512">
        <v>1</v>
      </c>
    </row>
    <row r="23519" spans="2:4">
      <c r="B23519">
        <v>1</v>
      </c>
      <c r="C23519">
        <v>102</v>
      </c>
      <c r="D23519">
        <v>1</v>
      </c>
    </row>
    <row r="23521" spans="2:4">
      <c r="B23521">
        <v>1</v>
      </c>
      <c r="C23521">
        <v>102</v>
      </c>
      <c r="D23521">
        <v>1</v>
      </c>
    </row>
    <row r="23522" spans="2:4">
      <c r="B23522">
        <v>1</v>
      </c>
      <c r="C23522">
        <v>102</v>
      </c>
      <c r="D23522">
        <v>1</v>
      </c>
    </row>
    <row r="23525" spans="2:4">
      <c r="B23525">
        <v>1</v>
      </c>
      <c r="C23525">
        <v>102</v>
      </c>
      <c r="D23525">
        <v>1</v>
      </c>
    </row>
    <row r="23528" spans="2:4">
      <c r="B23528">
        <v>1</v>
      </c>
      <c r="C23528">
        <v>102</v>
      </c>
      <c r="D23528">
        <v>1</v>
      </c>
    </row>
    <row r="23529" spans="2:4">
      <c r="B23529">
        <v>1</v>
      </c>
      <c r="C23529">
        <v>102</v>
      </c>
      <c r="D23529">
        <v>1</v>
      </c>
    </row>
    <row r="23535" spans="2:4">
      <c r="B23535">
        <v>1</v>
      </c>
      <c r="C23535">
        <v>102</v>
      </c>
      <c r="D23535">
        <v>1</v>
      </c>
    </row>
    <row r="23536" spans="2:4">
      <c r="B23536">
        <v>1</v>
      </c>
      <c r="C23536">
        <v>102</v>
      </c>
      <c r="D23536">
        <v>1</v>
      </c>
    </row>
    <row r="23542" spans="2:4">
      <c r="B23542">
        <v>1</v>
      </c>
      <c r="C23542">
        <v>102</v>
      </c>
      <c r="D23542">
        <v>1</v>
      </c>
    </row>
    <row r="23546" spans="2:4">
      <c r="B23546">
        <v>1</v>
      </c>
      <c r="C23546">
        <v>102</v>
      </c>
      <c r="D23546">
        <v>1</v>
      </c>
    </row>
    <row r="23547" spans="2:4">
      <c r="B23547">
        <v>1</v>
      </c>
      <c r="C23547">
        <v>102</v>
      </c>
      <c r="D23547">
        <v>1</v>
      </c>
    </row>
    <row r="23551" spans="2:4">
      <c r="B23551">
        <v>1</v>
      </c>
      <c r="C23551">
        <v>102</v>
      </c>
      <c r="D23551">
        <v>1</v>
      </c>
    </row>
    <row r="23552" spans="2:4">
      <c r="B23552">
        <v>1</v>
      </c>
      <c r="C23552">
        <v>102</v>
      </c>
      <c r="D23552">
        <v>1</v>
      </c>
    </row>
    <row r="23555" spans="2:4">
      <c r="B23555">
        <v>1</v>
      </c>
      <c r="C23555">
        <v>102</v>
      </c>
      <c r="D23555">
        <v>1</v>
      </c>
    </row>
    <row r="23557" spans="2:4">
      <c r="B23557">
        <v>1</v>
      </c>
      <c r="C23557">
        <v>102</v>
      </c>
      <c r="D23557">
        <v>1</v>
      </c>
    </row>
    <row r="23558" spans="2:4">
      <c r="B23558">
        <v>1</v>
      </c>
      <c r="C23558">
        <v>102</v>
      </c>
      <c r="D23558">
        <v>1</v>
      </c>
    </row>
    <row r="23561" spans="2:4">
      <c r="B23561">
        <v>1</v>
      </c>
      <c r="C23561">
        <v>102</v>
      </c>
      <c r="D23561">
        <v>1</v>
      </c>
    </row>
    <row r="23562" spans="2:4">
      <c r="B23562">
        <v>1</v>
      </c>
      <c r="C23562">
        <v>102</v>
      </c>
      <c r="D23562">
        <v>1</v>
      </c>
    </row>
    <row r="23564" spans="2:4">
      <c r="B23564">
        <v>1</v>
      </c>
      <c r="C23564">
        <v>102</v>
      </c>
      <c r="D23564">
        <v>1</v>
      </c>
    </row>
    <row r="23568" spans="2:4">
      <c r="B23568">
        <v>1</v>
      </c>
      <c r="C23568">
        <v>102</v>
      </c>
      <c r="D23568">
        <v>1</v>
      </c>
    </row>
    <row r="23569" spans="2:4">
      <c r="B23569">
        <v>1</v>
      </c>
      <c r="C23569">
        <v>102</v>
      </c>
      <c r="D23569">
        <v>1</v>
      </c>
    </row>
    <row r="23570" spans="2:4">
      <c r="B23570">
        <v>1</v>
      </c>
      <c r="C23570">
        <v>102</v>
      </c>
      <c r="D23570">
        <v>1</v>
      </c>
    </row>
    <row r="23571" spans="2:4">
      <c r="B23571">
        <v>1</v>
      </c>
      <c r="C23571">
        <v>102</v>
      </c>
      <c r="D23571">
        <v>1</v>
      </c>
    </row>
    <row r="23572" spans="2:4">
      <c r="B23572">
        <v>1</v>
      </c>
      <c r="C23572">
        <v>102</v>
      </c>
      <c r="D23572">
        <v>1</v>
      </c>
    </row>
    <row r="23579" spans="2:4">
      <c r="B23579">
        <v>1</v>
      </c>
      <c r="C23579">
        <v>102</v>
      </c>
      <c r="D23579">
        <v>1</v>
      </c>
    </row>
    <row r="23580" spans="2:4">
      <c r="B23580">
        <v>1</v>
      </c>
      <c r="C23580">
        <v>102</v>
      </c>
      <c r="D23580">
        <v>1</v>
      </c>
    </row>
    <row r="23581" spans="2:4">
      <c r="B23581">
        <v>1</v>
      </c>
      <c r="C23581">
        <v>102</v>
      </c>
      <c r="D23581">
        <v>1</v>
      </c>
    </row>
    <row r="23582" spans="2:4">
      <c r="B23582">
        <v>1</v>
      </c>
      <c r="C23582">
        <v>102</v>
      </c>
      <c r="D23582">
        <v>1</v>
      </c>
    </row>
    <row r="23587" spans="2:4">
      <c r="B23587">
        <v>1</v>
      </c>
      <c r="C23587">
        <v>102</v>
      </c>
      <c r="D23587">
        <v>1</v>
      </c>
    </row>
    <row r="23588" spans="2:4">
      <c r="B23588">
        <v>1</v>
      </c>
      <c r="C23588">
        <v>102</v>
      </c>
      <c r="D23588">
        <v>1</v>
      </c>
    </row>
    <row r="23590" spans="2:4">
      <c r="B23590">
        <v>1</v>
      </c>
      <c r="C23590">
        <v>102</v>
      </c>
      <c r="D23590">
        <v>1</v>
      </c>
    </row>
    <row r="23591" spans="2:4">
      <c r="B23591">
        <v>1</v>
      </c>
      <c r="C23591">
        <v>102</v>
      </c>
      <c r="D23591">
        <v>1</v>
      </c>
    </row>
    <row r="23593" spans="2:4">
      <c r="B23593">
        <v>1</v>
      </c>
      <c r="C23593">
        <v>102</v>
      </c>
      <c r="D23593">
        <v>1</v>
      </c>
    </row>
    <row r="23595" spans="2:4">
      <c r="B23595">
        <v>1</v>
      </c>
      <c r="C23595">
        <v>102</v>
      </c>
      <c r="D23595">
        <v>1</v>
      </c>
    </row>
    <row r="23598" spans="2:4">
      <c r="B23598">
        <v>1</v>
      </c>
      <c r="C23598">
        <v>102</v>
      </c>
      <c r="D23598">
        <v>1</v>
      </c>
    </row>
    <row r="23601" spans="2:4">
      <c r="B23601">
        <v>1</v>
      </c>
      <c r="C23601">
        <v>102</v>
      </c>
      <c r="D23601">
        <v>1</v>
      </c>
    </row>
    <row r="23603" spans="2:4">
      <c r="B23603">
        <v>1</v>
      </c>
      <c r="C23603">
        <v>102</v>
      </c>
      <c r="D23603">
        <v>1</v>
      </c>
    </row>
    <row r="23608" spans="2:4">
      <c r="B23608">
        <v>1</v>
      </c>
      <c r="C23608">
        <v>102</v>
      </c>
      <c r="D23608">
        <v>1</v>
      </c>
    </row>
    <row r="23609" spans="2:4">
      <c r="B23609">
        <v>1</v>
      </c>
      <c r="C23609">
        <v>102</v>
      </c>
      <c r="D23609">
        <v>1</v>
      </c>
    </row>
    <row r="23611" spans="2:4">
      <c r="B23611">
        <v>1</v>
      </c>
      <c r="C23611">
        <v>102</v>
      </c>
      <c r="D23611">
        <v>1</v>
      </c>
    </row>
    <row r="23613" spans="2:4">
      <c r="B23613">
        <v>1</v>
      </c>
      <c r="C23613">
        <v>102</v>
      </c>
      <c r="D23613">
        <v>1</v>
      </c>
    </row>
    <row r="23618" spans="2:4">
      <c r="B23618">
        <v>1</v>
      </c>
      <c r="C23618">
        <v>102</v>
      </c>
      <c r="D23618">
        <v>1</v>
      </c>
    </row>
    <row r="23619" spans="2:4">
      <c r="B23619">
        <v>1</v>
      </c>
      <c r="C23619">
        <v>102</v>
      </c>
      <c r="D23619">
        <v>1</v>
      </c>
    </row>
    <row r="23623" spans="2:4">
      <c r="B23623">
        <v>1</v>
      </c>
      <c r="C23623">
        <v>102</v>
      </c>
      <c r="D23623">
        <v>1</v>
      </c>
    </row>
    <row r="23624" spans="2:4">
      <c r="B23624">
        <v>1</v>
      </c>
      <c r="C23624">
        <v>102</v>
      </c>
      <c r="D23624">
        <v>1</v>
      </c>
    </row>
    <row r="23627" spans="2:4">
      <c r="B23627">
        <v>1</v>
      </c>
      <c r="C23627">
        <v>102</v>
      </c>
      <c r="D23627">
        <v>1</v>
      </c>
    </row>
    <row r="23632" spans="2:4">
      <c r="B23632">
        <v>1</v>
      </c>
      <c r="C23632">
        <v>102</v>
      </c>
      <c r="D23632">
        <v>1</v>
      </c>
    </row>
    <row r="23633" spans="2:4">
      <c r="B23633">
        <v>1</v>
      </c>
      <c r="C23633">
        <v>102</v>
      </c>
      <c r="D23633">
        <v>1</v>
      </c>
    </row>
    <row r="23634" spans="2:4">
      <c r="B23634">
        <v>1</v>
      </c>
      <c r="C23634">
        <v>102</v>
      </c>
      <c r="D23634">
        <v>1</v>
      </c>
    </row>
    <row r="23635" spans="2:4">
      <c r="B23635">
        <v>1</v>
      </c>
      <c r="C23635">
        <v>102</v>
      </c>
      <c r="D23635">
        <v>1</v>
      </c>
    </row>
    <row r="23636" spans="2:4">
      <c r="B23636">
        <v>1</v>
      </c>
      <c r="C23636">
        <v>102</v>
      </c>
      <c r="D23636">
        <v>1</v>
      </c>
    </row>
    <row r="23637" spans="2:4">
      <c r="B23637">
        <v>1</v>
      </c>
      <c r="C23637">
        <v>102</v>
      </c>
      <c r="D23637">
        <v>1</v>
      </c>
    </row>
    <row r="23638" spans="2:4">
      <c r="B23638">
        <v>1</v>
      </c>
      <c r="C23638">
        <v>102</v>
      </c>
      <c r="D23638">
        <v>1</v>
      </c>
    </row>
    <row r="23639" spans="2:4">
      <c r="B23639">
        <v>1</v>
      </c>
      <c r="C23639">
        <v>102</v>
      </c>
      <c r="D23639">
        <v>1</v>
      </c>
    </row>
    <row r="23641" spans="2:4">
      <c r="B23641">
        <v>1</v>
      </c>
      <c r="C23641">
        <v>102</v>
      </c>
      <c r="D23641">
        <v>1</v>
      </c>
    </row>
    <row r="23642" spans="2:4">
      <c r="B23642">
        <v>1</v>
      </c>
      <c r="C23642">
        <v>102</v>
      </c>
      <c r="D23642">
        <v>1</v>
      </c>
    </row>
    <row r="23644" spans="2:4">
      <c r="B23644">
        <v>1</v>
      </c>
      <c r="C23644">
        <v>102</v>
      </c>
      <c r="D23644">
        <v>1</v>
      </c>
    </row>
    <row r="23645" spans="2:4">
      <c r="B23645">
        <v>1</v>
      </c>
      <c r="C23645">
        <v>102</v>
      </c>
      <c r="D23645">
        <v>1</v>
      </c>
    </row>
    <row r="23646" spans="2:4">
      <c r="B23646">
        <v>1</v>
      </c>
      <c r="C23646">
        <v>102</v>
      </c>
      <c r="D23646">
        <v>1</v>
      </c>
    </row>
    <row r="23648" spans="2:4">
      <c r="B23648">
        <v>1</v>
      </c>
      <c r="C23648">
        <v>102</v>
      </c>
      <c r="D23648">
        <v>1</v>
      </c>
    </row>
    <row r="23651" spans="2:4">
      <c r="B23651">
        <v>1</v>
      </c>
      <c r="C23651">
        <v>102</v>
      </c>
      <c r="D23651">
        <v>1</v>
      </c>
    </row>
    <row r="23652" spans="2:4">
      <c r="B23652">
        <v>1</v>
      </c>
      <c r="C23652">
        <v>102</v>
      </c>
      <c r="D23652">
        <v>1</v>
      </c>
    </row>
    <row r="23654" spans="2:4">
      <c r="B23654">
        <v>1</v>
      </c>
      <c r="C23654">
        <v>102</v>
      </c>
      <c r="D23654">
        <v>1</v>
      </c>
    </row>
    <row r="23655" spans="2:4">
      <c r="B23655">
        <v>1</v>
      </c>
      <c r="C23655">
        <v>102</v>
      </c>
      <c r="D23655">
        <v>1</v>
      </c>
    </row>
    <row r="23658" spans="2:4">
      <c r="B23658">
        <v>1</v>
      </c>
      <c r="C23658">
        <v>102</v>
      </c>
      <c r="D23658">
        <v>1</v>
      </c>
    </row>
    <row r="23659" spans="2:4">
      <c r="B23659">
        <v>1</v>
      </c>
      <c r="C23659">
        <v>102</v>
      </c>
      <c r="D23659">
        <v>1</v>
      </c>
    </row>
    <row r="23660" spans="2:4">
      <c r="B23660">
        <v>1</v>
      </c>
      <c r="C23660">
        <v>102</v>
      </c>
      <c r="D23660">
        <v>1</v>
      </c>
    </row>
    <row r="23661" spans="2:4">
      <c r="B23661">
        <v>1</v>
      </c>
      <c r="C23661">
        <v>102</v>
      </c>
      <c r="D23661">
        <v>1</v>
      </c>
    </row>
    <row r="23669" spans="2:4">
      <c r="B23669">
        <v>1</v>
      </c>
      <c r="C23669">
        <v>102</v>
      </c>
      <c r="D23669">
        <v>1</v>
      </c>
    </row>
    <row r="23671" spans="2:4">
      <c r="B23671">
        <v>1</v>
      </c>
      <c r="C23671">
        <v>102</v>
      </c>
      <c r="D23671">
        <v>1</v>
      </c>
    </row>
    <row r="23672" spans="2:4">
      <c r="B23672">
        <v>1</v>
      </c>
      <c r="C23672">
        <v>102</v>
      </c>
      <c r="D23672">
        <v>1</v>
      </c>
    </row>
    <row r="23673" spans="2:4">
      <c r="B23673">
        <v>1</v>
      </c>
      <c r="C23673">
        <v>102</v>
      </c>
      <c r="D23673">
        <v>1</v>
      </c>
    </row>
    <row r="23681" spans="2:4">
      <c r="B23681">
        <v>1</v>
      </c>
      <c r="C23681">
        <v>102</v>
      </c>
      <c r="D23681">
        <v>1</v>
      </c>
    </row>
    <row r="23682" spans="2:4">
      <c r="B23682">
        <v>1</v>
      </c>
      <c r="C23682">
        <v>102</v>
      </c>
      <c r="D23682">
        <v>1</v>
      </c>
    </row>
    <row r="23688" spans="2:4">
      <c r="B23688">
        <v>1</v>
      </c>
      <c r="C23688">
        <v>102</v>
      </c>
      <c r="D23688">
        <v>1</v>
      </c>
    </row>
    <row r="23693" spans="2:4">
      <c r="B23693">
        <v>1</v>
      </c>
      <c r="C23693">
        <v>102</v>
      </c>
      <c r="D23693">
        <v>1</v>
      </c>
    </row>
    <row r="23694" spans="2:4">
      <c r="B23694">
        <v>1</v>
      </c>
      <c r="C23694">
        <v>102</v>
      </c>
      <c r="D23694">
        <v>1</v>
      </c>
    </row>
    <row r="23695" spans="2:4">
      <c r="B23695">
        <v>1</v>
      </c>
      <c r="C23695">
        <v>102</v>
      </c>
      <c r="D23695">
        <v>1</v>
      </c>
    </row>
    <row r="23701" spans="2:4">
      <c r="B23701">
        <v>1</v>
      </c>
      <c r="C23701">
        <v>102</v>
      </c>
      <c r="D23701">
        <v>1</v>
      </c>
    </row>
    <row r="23702" spans="2:4">
      <c r="B23702">
        <v>1</v>
      </c>
      <c r="C23702">
        <v>102</v>
      </c>
      <c r="D23702">
        <v>1</v>
      </c>
    </row>
    <row r="23703" spans="2:4">
      <c r="B23703">
        <v>1</v>
      </c>
      <c r="C23703">
        <v>102</v>
      </c>
      <c r="D23703">
        <v>1</v>
      </c>
    </row>
    <row r="23706" spans="2:4">
      <c r="B23706">
        <v>1</v>
      </c>
      <c r="C23706">
        <v>102</v>
      </c>
      <c r="D23706">
        <v>1</v>
      </c>
    </row>
    <row r="23713" spans="2:4">
      <c r="B23713">
        <v>1</v>
      </c>
      <c r="C23713">
        <v>102</v>
      </c>
      <c r="D23713">
        <v>1</v>
      </c>
    </row>
    <row r="23724" spans="2:4">
      <c r="B23724">
        <v>1</v>
      </c>
      <c r="C23724">
        <v>102</v>
      </c>
      <c r="D23724">
        <v>1</v>
      </c>
    </row>
    <row r="23725" spans="2:4">
      <c r="B23725">
        <v>1</v>
      </c>
      <c r="C23725">
        <v>102</v>
      </c>
      <c r="D23725">
        <v>1</v>
      </c>
    </row>
    <row r="23727" spans="2:4">
      <c r="B23727">
        <v>1</v>
      </c>
      <c r="C23727">
        <v>102</v>
      </c>
      <c r="D23727">
        <v>1</v>
      </c>
    </row>
    <row r="23728" spans="2:4">
      <c r="B23728">
        <v>1</v>
      </c>
      <c r="C23728">
        <v>102</v>
      </c>
      <c r="D23728">
        <v>1</v>
      </c>
    </row>
    <row r="23730" spans="2:4">
      <c r="B23730">
        <v>1</v>
      </c>
      <c r="C23730">
        <v>102</v>
      </c>
      <c r="D23730">
        <v>1</v>
      </c>
    </row>
    <row r="23732" spans="2:4">
      <c r="B23732">
        <v>1</v>
      </c>
      <c r="C23732">
        <v>102</v>
      </c>
      <c r="D23732">
        <v>1</v>
      </c>
    </row>
    <row r="23733" spans="2:4">
      <c r="B23733">
        <v>1</v>
      </c>
      <c r="C23733">
        <v>102</v>
      </c>
      <c r="D23733">
        <v>1</v>
      </c>
    </row>
    <row r="23740" spans="2:4">
      <c r="B23740">
        <v>1</v>
      </c>
      <c r="C23740">
        <v>102</v>
      </c>
      <c r="D23740">
        <v>1</v>
      </c>
    </row>
    <row r="23742" spans="2:4">
      <c r="B23742">
        <v>1</v>
      </c>
      <c r="C23742">
        <v>102</v>
      </c>
      <c r="D23742">
        <v>1</v>
      </c>
    </row>
    <row r="23743" spans="2:4">
      <c r="B23743">
        <v>1</v>
      </c>
      <c r="C23743">
        <v>102</v>
      </c>
      <c r="D23743">
        <v>1</v>
      </c>
    </row>
    <row r="23744" spans="2:4">
      <c r="B23744">
        <v>1</v>
      </c>
      <c r="C23744">
        <v>102</v>
      </c>
      <c r="D23744">
        <v>1</v>
      </c>
    </row>
    <row r="23745" spans="2:4">
      <c r="B23745">
        <v>1</v>
      </c>
      <c r="C23745">
        <v>102</v>
      </c>
      <c r="D23745">
        <v>1</v>
      </c>
    </row>
    <row r="23748" spans="2:4">
      <c r="B23748">
        <v>1</v>
      </c>
      <c r="C23748">
        <v>102</v>
      </c>
      <c r="D23748">
        <v>1</v>
      </c>
    </row>
    <row r="23749" spans="2:4">
      <c r="B23749">
        <v>1</v>
      </c>
      <c r="C23749">
        <v>102</v>
      </c>
      <c r="D23749">
        <v>1</v>
      </c>
    </row>
    <row r="23750" spans="2:4">
      <c r="B23750">
        <v>1</v>
      </c>
      <c r="C23750">
        <v>102</v>
      </c>
      <c r="D23750">
        <v>1</v>
      </c>
    </row>
    <row r="23754" spans="2:4">
      <c r="B23754">
        <v>1</v>
      </c>
      <c r="C23754">
        <v>102</v>
      </c>
      <c r="D23754">
        <v>1</v>
      </c>
    </row>
    <row r="23756" spans="2:4">
      <c r="B23756">
        <v>1</v>
      </c>
      <c r="C23756">
        <v>102</v>
      </c>
      <c r="D23756">
        <v>1</v>
      </c>
    </row>
    <row r="23758" spans="2:4">
      <c r="B23758">
        <v>1</v>
      </c>
      <c r="C23758">
        <v>102</v>
      </c>
      <c r="D23758">
        <v>1</v>
      </c>
    </row>
    <row r="23759" spans="2:4">
      <c r="B23759">
        <v>1</v>
      </c>
      <c r="C23759">
        <v>102</v>
      </c>
      <c r="D23759">
        <v>1</v>
      </c>
    </row>
    <row r="23768" spans="2:4">
      <c r="B23768">
        <v>1</v>
      </c>
      <c r="C23768">
        <v>102</v>
      </c>
      <c r="D23768">
        <v>1</v>
      </c>
    </row>
    <row r="23775" spans="2:4">
      <c r="B23775">
        <v>1</v>
      </c>
      <c r="C23775">
        <v>102</v>
      </c>
      <c r="D23775">
        <v>1</v>
      </c>
    </row>
    <row r="23777" spans="2:4">
      <c r="B23777">
        <v>1</v>
      </c>
      <c r="C23777">
        <v>102</v>
      </c>
      <c r="D23777">
        <v>1</v>
      </c>
    </row>
    <row r="23778" spans="2:4">
      <c r="B23778">
        <v>1</v>
      </c>
      <c r="C23778">
        <v>102</v>
      </c>
      <c r="D23778">
        <v>1</v>
      </c>
    </row>
    <row r="23781" spans="2:4">
      <c r="B23781">
        <v>1</v>
      </c>
      <c r="C23781">
        <v>102</v>
      </c>
      <c r="D23781">
        <v>1</v>
      </c>
    </row>
    <row r="23784" spans="2:4">
      <c r="B23784">
        <v>1</v>
      </c>
      <c r="C23784">
        <v>102</v>
      </c>
      <c r="D23784">
        <v>1</v>
      </c>
    </row>
    <row r="23785" spans="2:4">
      <c r="B23785">
        <v>1</v>
      </c>
      <c r="C23785">
        <v>102</v>
      </c>
      <c r="D23785">
        <v>1</v>
      </c>
    </row>
    <row r="23791" spans="2:4">
      <c r="B23791">
        <v>1</v>
      </c>
      <c r="C23791">
        <v>102</v>
      </c>
      <c r="D23791">
        <v>1</v>
      </c>
    </row>
    <row r="23792" spans="2:4">
      <c r="B23792">
        <v>1</v>
      </c>
      <c r="C23792">
        <v>102</v>
      </c>
      <c r="D23792">
        <v>1</v>
      </c>
    </row>
    <row r="23798" spans="2:4">
      <c r="B23798">
        <v>1</v>
      </c>
      <c r="C23798">
        <v>102</v>
      </c>
      <c r="D23798">
        <v>1</v>
      </c>
    </row>
    <row r="23802" spans="2:4">
      <c r="B23802">
        <v>1</v>
      </c>
      <c r="C23802">
        <v>102</v>
      </c>
      <c r="D23802">
        <v>1</v>
      </c>
    </row>
    <row r="23803" spans="2:4">
      <c r="B23803">
        <v>1</v>
      </c>
      <c r="C23803">
        <v>102</v>
      </c>
      <c r="D23803">
        <v>1</v>
      </c>
    </row>
    <row r="23807" spans="2:4">
      <c r="B23807">
        <v>1</v>
      </c>
      <c r="C23807">
        <v>102</v>
      </c>
      <c r="D23807">
        <v>1</v>
      </c>
    </row>
    <row r="23808" spans="2:4">
      <c r="B23808">
        <v>1</v>
      </c>
      <c r="C23808">
        <v>102</v>
      </c>
      <c r="D23808">
        <v>1</v>
      </c>
    </row>
    <row r="23811" spans="2:4">
      <c r="B23811">
        <v>1</v>
      </c>
      <c r="C23811">
        <v>102</v>
      </c>
      <c r="D23811">
        <v>1</v>
      </c>
    </row>
    <row r="23813" spans="2:4">
      <c r="B23813">
        <v>1</v>
      </c>
      <c r="C23813">
        <v>102</v>
      </c>
      <c r="D23813">
        <v>1</v>
      </c>
    </row>
    <row r="23814" spans="2:4">
      <c r="B23814">
        <v>1</v>
      </c>
      <c r="C23814">
        <v>102</v>
      </c>
      <c r="D23814">
        <v>1</v>
      </c>
    </row>
    <row r="23817" spans="2:4">
      <c r="B23817">
        <v>1</v>
      </c>
      <c r="C23817">
        <v>102</v>
      </c>
      <c r="D23817">
        <v>1</v>
      </c>
    </row>
    <row r="23818" spans="2:4">
      <c r="B23818">
        <v>1</v>
      </c>
      <c r="C23818">
        <v>102</v>
      </c>
      <c r="D23818">
        <v>1</v>
      </c>
    </row>
    <row r="23820" spans="2:4">
      <c r="B23820">
        <v>1</v>
      </c>
      <c r="C23820">
        <v>102</v>
      </c>
      <c r="D23820">
        <v>1</v>
      </c>
    </row>
    <row r="23824" spans="2:4">
      <c r="B23824">
        <v>1</v>
      </c>
      <c r="C23824">
        <v>102</v>
      </c>
      <c r="D23824">
        <v>1</v>
      </c>
    </row>
    <row r="23825" spans="2:4">
      <c r="B23825">
        <v>1</v>
      </c>
      <c r="C23825">
        <v>102</v>
      </c>
      <c r="D23825">
        <v>1</v>
      </c>
    </row>
    <row r="23826" spans="2:4">
      <c r="B23826">
        <v>1</v>
      </c>
      <c r="C23826">
        <v>102</v>
      </c>
      <c r="D23826">
        <v>1</v>
      </c>
    </row>
    <row r="23827" spans="2:4">
      <c r="B23827">
        <v>1</v>
      </c>
      <c r="C23827">
        <v>102</v>
      </c>
      <c r="D23827">
        <v>1</v>
      </c>
    </row>
    <row r="23828" spans="2:4">
      <c r="B23828">
        <v>1</v>
      </c>
      <c r="C23828">
        <v>102</v>
      </c>
      <c r="D23828">
        <v>1</v>
      </c>
    </row>
    <row r="23835" spans="2:4">
      <c r="B23835">
        <v>1</v>
      </c>
      <c r="C23835">
        <v>102</v>
      </c>
      <c r="D23835">
        <v>1</v>
      </c>
    </row>
    <row r="23836" spans="2:4">
      <c r="B23836">
        <v>1</v>
      </c>
      <c r="C23836">
        <v>102</v>
      </c>
      <c r="D23836">
        <v>1</v>
      </c>
    </row>
    <row r="23837" spans="2:4">
      <c r="B23837">
        <v>1</v>
      </c>
      <c r="C23837">
        <v>102</v>
      </c>
      <c r="D23837">
        <v>1</v>
      </c>
    </row>
    <row r="23838" spans="2:4">
      <c r="B23838">
        <v>1</v>
      </c>
      <c r="C23838">
        <v>102</v>
      </c>
      <c r="D23838">
        <v>1</v>
      </c>
    </row>
    <row r="23843" spans="2:4">
      <c r="B23843">
        <v>1</v>
      </c>
      <c r="C23843">
        <v>102</v>
      </c>
      <c r="D23843">
        <v>1</v>
      </c>
    </row>
    <row r="23844" spans="2:4">
      <c r="B23844">
        <v>1</v>
      </c>
      <c r="C23844">
        <v>102</v>
      </c>
      <c r="D23844">
        <v>1</v>
      </c>
    </row>
    <row r="23846" spans="2:4">
      <c r="B23846">
        <v>1</v>
      </c>
      <c r="C23846">
        <v>102</v>
      </c>
      <c r="D23846">
        <v>1</v>
      </c>
    </row>
    <row r="23847" spans="2:4">
      <c r="B23847">
        <v>1</v>
      </c>
      <c r="C23847">
        <v>102</v>
      </c>
      <c r="D23847">
        <v>1</v>
      </c>
    </row>
    <row r="23849" spans="2:4">
      <c r="B23849">
        <v>1</v>
      </c>
      <c r="C23849">
        <v>102</v>
      </c>
      <c r="D23849">
        <v>1</v>
      </c>
    </row>
    <row r="23851" spans="2:4">
      <c r="B23851">
        <v>1</v>
      </c>
      <c r="C23851">
        <v>102</v>
      </c>
      <c r="D23851">
        <v>1</v>
      </c>
    </row>
    <row r="23854" spans="2:4">
      <c r="B23854">
        <v>1</v>
      </c>
      <c r="C23854">
        <v>102</v>
      </c>
      <c r="D23854">
        <v>1</v>
      </c>
    </row>
    <row r="23857" spans="2:4">
      <c r="B23857">
        <v>1</v>
      </c>
      <c r="C23857">
        <v>102</v>
      </c>
      <c r="D23857">
        <v>1</v>
      </c>
    </row>
    <row r="23859" spans="2:4">
      <c r="B23859">
        <v>1</v>
      </c>
      <c r="C23859">
        <v>102</v>
      </c>
      <c r="D23859">
        <v>1</v>
      </c>
    </row>
    <row r="23864" spans="2:4">
      <c r="B23864">
        <v>1</v>
      </c>
      <c r="C23864">
        <v>102</v>
      </c>
      <c r="D23864">
        <v>1</v>
      </c>
    </row>
    <row r="23865" spans="2:4">
      <c r="B23865">
        <v>1</v>
      </c>
      <c r="C23865">
        <v>102</v>
      </c>
      <c r="D23865">
        <v>1</v>
      </c>
    </row>
    <row r="23867" spans="2:4">
      <c r="B23867">
        <v>1</v>
      </c>
      <c r="C23867">
        <v>102</v>
      </c>
      <c r="D23867">
        <v>1</v>
      </c>
    </row>
    <row r="23869" spans="2:4">
      <c r="B23869">
        <v>1</v>
      </c>
      <c r="C23869">
        <v>102</v>
      </c>
      <c r="D23869">
        <v>1</v>
      </c>
    </row>
    <row r="23874" spans="2:4">
      <c r="B23874">
        <v>1</v>
      </c>
      <c r="C23874">
        <v>102</v>
      </c>
      <c r="D23874">
        <v>1</v>
      </c>
    </row>
    <row r="23875" spans="2:4">
      <c r="B23875">
        <v>1</v>
      </c>
      <c r="C23875">
        <v>102</v>
      </c>
      <c r="D23875">
        <v>1</v>
      </c>
    </row>
    <row r="23879" spans="2:4">
      <c r="B23879">
        <v>1</v>
      </c>
      <c r="C23879">
        <v>102</v>
      </c>
      <c r="D23879">
        <v>1</v>
      </c>
    </row>
    <row r="23880" spans="2:4">
      <c r="B23880">
        <v>1</v>
      </c>
      <c r="C23880">
        <v>102</v>
      </c>
      <c r="D23880">
        <v>1</v>
      </c>
    </row>
    <row r="23883" spans="2:4">
      <c r="B23883">
        <v>1</v>
      </c>
      <c r="C23883">
        <v>102</v>
      </c>
      <c r="D23883">
        <v>1</v>
      </c>
    </row>
    <row r="23888" spans="2:4">
      <c r="B23888">
        <v>1</v>
      </c>
      <c r="C23888">
        <v>102</v>
      </c>
      <c r="D23888">
        <v>1</v>
      </c>
    </row>
    <row r="23889" spans="2:4">
      <c r="B23889">
        <v>1</v>
      </c>
      <c r="C23889">
        <v>102</v>
      </c>
      <c r="D23889">
        <v>1</v>
      </c>
    </row>
    <row r="23890" spans="2:4">
      <c r="B23890">
        <v>1</v>
      </c>
      <c r="C23890">
        <v>102</v>
      </c>
      <c r="D23890">
        <v>1</v>
      </c>
    </row>
    <row r="23891" spans="2:4">
      <c r="B23891">
        <v>1</v>
      </c>
      <c r="C23891">
        <v>102</v>
      </c>
      <c r="D23891">
        <v>1</v>
      </c>
    </row>
    <row r="23892" spans="2:4">
      <c r="B23892">
        <v>1</v>
      </c>
      <c r="C23892">
        <v>102</v>
      </c>
      <c r="D23892">
        <v>1</v>
      </c>
    </row>
    <row r="23893" spans="2:4">
      <c r="B23893">
        <v>1</v>
      </c>
      <c r="C23893">
        <v>102</v>
      </c>
      <c r="D23893">
        <v>1</v>
      </c>
    </row>
    <row r="23894" spans="2:4">
      <c r="B23894">
        <v>1</v>
      </c>
      <c r="C23894">
        <v>102</v>
      </c>
      <c r="D23894">
        <v>1</v>
      </c>
    </row>
    <row r="23895" spans="2:4">
      <c r="B23895">
        <v>1</v>
      </c>
      <c r="C23895">
        <v>102</v>
      </c>
      <c r="D23895">
        <v>1</v>
      </c>
    </row>
    <row r="23897" spans="2:4">
      <c r="B23897">
        <v>1</v>
      </c>
      <c r="C23897">
        <v>102</v>
      </c>
      <c r="D23897">
        <v>1</v>
      </c>
    </row>
    <row r="23898" spans="2:4">
      <c r="B23898">
        <v>1</v>
      </c>
      <c r="C23898">
        <v>102</v>
      </c>
      <c r="D23898">
        <v>1</v>
      </c>
    </row>
    <row r="23900" spans="2:4">
      <c r="B23900">
        <v>1</v>
      </c>
      <c r="C23900">
        <v>102</v>
      </c>
      <c r="D23900">
        <v>1</v>
      </c>
    </row>
    <row r="23901" spans="2:4">
      <c r="B23901">
        <v>1</v>
      </c>
      <c r="C23901">
        <v>102</v>
      </c>
      <c r="D23901">
        <v>1</v>
      </c>
    </row>
    <row r="23902" spans="2:4">
      <c r="B23902">
        <v>1</v>
      </c>
      <c r="C23902">
        <v>102</v>
      </c>
      <c r="D23902">
        <v>1</v>
      </c>
    </row>
    <row r="23904" spans="2:4">
      <c r="B23904">
        <v>1</v>
      </c>
      <c r="C23904">
        <v>102</v>
      </c>
      <c r="D23904">
        <v>1</v>
      </c>
    </row>
    <row r="23907" spans="2:4">
      <c r="B23907">
        <v>1</v>
      </c>
      <c r="C23907">
        <v>102</v>
      </c>
      <c r="D23907">
        <v>1</v>
      </c>
    </row>
    <row r="23908" spans="2:4">
      <c r="B23908">
        <v>1</v>
      </c>
      <c r="C23908">
        <v>102</v>
      </c>
      <c r="D23908">
        <v>1</v>
      </c>
    </row>
    <row r="23910" spans="2:4">
      <c r="B23910">
        <v>1</v>
      </c>
      <c r="C23910">
        <v>102</v>
      </c>
      <c r="D23910">
        <v>1</v>
      </c>
    </row>
    <row r="23911" spans="2:4">
      <c r="B23911">
        <v>1</v>
      </c>
      <c r="C23911">
        <v>102</v>
      </c>
      <c r="D23911">
        <v>1</v>
      </c>
    </row>
    <row r="23914" spans="2:4">
      <c r="B23914">
        <v>1</v>
      </c>
      <c r="C23914">
        <v>102</v>
      </c>
      <c r="D23914">
        <v>1</v>
      </c>
    </row>
    <row r="23915" spans="2:4">
      <c r="B23915">
        <v>1</v>
      </c>
      <c r="C23915">
        <v>102</v>
      </c>
      <c r="D23915">
        <v>1</v>
      </c>
    </row>
    <row r="23916" spans="2:4">
      <c r="B23916">
        <v>1</v>
      </c>
      <c r="C23916">
        <v>102</v>
      </c>
      <c r="D23916">
        <v>1</v>
      </c>
    </row>
    <row r="23917" spans="2:4">
      <c r="B23917">
        <v>1</v>
      </c>
      <c r="C23917">
        <v>102</v>
      </c>
      <c r="D23917">
        <v>1</v>
      </c>
    </row>
    <row r="23925" spans="2:4">
      <c r="B23925">
        <v>1</v>
      </c>
      <c r="C23925">
        <v>102</v>
      </c>
      <c r="D23925">
        <v>1</v>
      </c>
    </row>
    <row r="23927" spans="2:4">
      <c r="B23927">
        <v>1</v>
      </c>
      <c r="C23927">
        <v>102</v>
      </c>
      <c r="D23927">
        <v>1</v>
      </c>
    </row>
    <row r="23928" spans="2:4">
      <c r="B23928">
        <v>1</v>
      </c>
      <c r="C23928">
        <v>102</v>
      </c>
      <c r="D23928">
        <v>1</v>
      </c>
    </row>
    <row r="23929" spans="2:4">
      <c r="B23929">
        <v>1</v>
      </c>
      <c r="C23929">
        <v>102</v>
      </c>
      <c r="D23929">
        <v>1</v>
      </c>
    </row>
    <row r="23937" spans="2:4">
      <c r="B23937">
        <v>1</v>
      </c>
      <c r="C23937">
        <v>102</v>
      </c>
      <c r="D23937">
        <v>1</v>
      </c>
    </row>
    <row r="23938" spans="2:4">
      <c r="B23938">
        <v>1</v>
      </c>
      <c r="C23938">
        <v>102</v>
      </c>
      <c r="D23938">
        <v>1</v>
      </c>
    </row>
    <row r="23944" spans="2:4">
      <c r="B23944">
        <v>1</v>
      </c>
      <c r="C23944">
        <v>102</v>
      </c>
      <c r="D23944">
        <v>1</v>
      </c>
    </row>
    <row r="23949" spans="2:4">
      <c r="B23949">
        <v>1</v>
      </c>
      <c r="C23949">
        <v>102</v>
      </c>
      <c r="D23949">
        <v>1</v>
      </c>
    </row>
    <row r="23950" spans="2:4">
      <c r="B23950">
        <v>1</v>
      </c>
      <c r="C23950">
        <v>102</v>
      </c>
      <c r="D23950">
        <v>1</v>
      </c>
    </row>
    <row r="23951" spans="2:4">
      <c r="B23951">
        <v>1</v>
      </c>
      <c r="C23951">
        <v>102</v>
      </c>
      <c r="D23951">
        <v>1</v>
      </c>
    </row>
    <row r="23957" spans="2:4">
      <c r="B23957">
        <v>1</v>
      </c>
      <c r="C23957">
        <v>102</v>
      </c>
      <c r="D23957">
        <v>1</v>
      </c>
    </row>
    <row r="23958" spans="2:4">
      <c r="B23958">
        <v>1</v>
      </c>
      <c r="C23958">
        <v>102</v>
      </c>
      <c r="D23958">
        <v>1</v>
      </c>
    </row>
    <row r="23959" spans="2:4">
      <c r="B23959">
        <v>1</v>
      </c>
      <c r="C23959">
        <v>102</v>
      </c>
      <c r="D23959">
        <v>1</v>
      </c>
    </row>
    <row r="23962" spans="2:4">
      <c r="B23962">
        <v>1</v>
      </c>
      <c r="C23962">
        <v>102</v>
      </c>
      <c r="D23962">
        <v>1</v>
      </c>
    </row>
    <row r="23969" spans="2:4">
      <c r="B23969">
        <v>1</v>
      </c>
      <c r="C23969">
        <v>102</v>
      </c>
      <c r="D23969">
        <v>1</v>
      </c>
    </row>
    <row r="23980" spans="2:4">
      <c r="B23980">
        <v>1</v>
      </c>
      <c r="C23980">
        <v>102</v>
      </c>
      <c r="D23980">
        <v>1</v>
      </c>
    </row>
    <row r="23981" spans="2:4">
      <c r="B23981">
        <v>1</v>
      </c>
      <c r="C23981">
        <v>102</v>
      </c>
      <c r="D23981">
        <v>1</v>
      </c>
    </row>
    <row r="23983" spans="2:4">
      <c r="B23983">
        <v>1</v>
      </c>
      <c r="C23983">
        <v>102</v>
      </c>
      <c r="D23983">
        <v>1</v>
      </c>
    </row>
    <row r="23984" spans="2:4">
      <c r="B23984">
        <v>1</v>
      </c>
      <c r="C23984">
        <v>102</v>
      </c>
      <c r="D23984">
        <v>1</v>
      </c>
    </row>
    <row r="23986" spans="2:4">
      <c r="B23986">
        <v>1</v>
      </c>
      <c r="C23986">
        <v>102</v>
      </c>
      <c r="D23986">
        <v>1</v>
      </c>
    </row>
    <row r="23988" spans="2:4">
      <c r="B23988">
        <v>1</v>
      </c>
      <c r="C23988">
        <v>102</v>
      </c>
      <c r="D23988">
        <v>1</v>
      </c>
    </row>
    <row r="23989" spans="2:4">
      <c r="B23989">
        <v>1</v>
      </c>
      <c r="C23989">
        <v>102</v>
      </c>
      <c r="D23989">
        <v>1</v>
      </c>
    </row>
    <row r="23996" spans="2:4">
      <c r="B23996">
        <v>1</v>
      </c>
      <c r="C23996">
        <v>102</v>
      </c>
      <c r="D23996">
        <v>1</v>
      </c>
    </row>
    <row r="23998" spans="2:4">
      <c r="B23998">
        <v>1</v>
      </c>
      <c r="C23998">
        <v>102</v>
      </c>
      <c r="D23998">
        <v>1</v>
      </c>
    </row>
    <row r="23999" spans="2:4">
      <c r="B23999">
        <v>1</v>
      </c>
      <c r="C23999">
        <v>102</v>
      </c>
      <c r="D23999">
        <v>1</v>
      </c>
    </row>
    <row r="24000" spans="2:4">
      <c r="B24000">
        <v>1</v>
      </c>
      <c r="C24000">
        <v>102</v>
      </c>
      <c r="D24000">
        <v>1</v>
      </c>
    </row>
    <row r="24001" spans="2:4">
      <c r="B24001">
        <v>1</v>
      </c>
      <c r="C24001">
        <v>102</v>
      </c>
      <c r="D24001">
        <v>1</v>
      </c>
    </row>
    <row r="24004" spans="2:4">
      <c r="B24004">
        <v>1</v>
      </c>
      <c r="C24004">
        <v>102</v>
      </c>
      <c r="D24004">
        <v>1</v>
      </c>
    </row>
    <row r="24005" spans="2:4">
      <c r="B24005">
        <v>1</v>
      </c>
      <c r="C24005">
        <v>102</v>
      </c>
      <c r="D24005">
        <v>1</v>
      </c>
    </row>
    <row r="24006" spans="2:4">
      <c r="B24006">
        <v>1</v>
      </c>
      <c r="C24006">
        <v>102</v>
      </c>
      <c r="D24006">
        <v>1</v>
      </c>
    </row>
    <row r="24010" spans="2:4">
      <c r="B24010">
        <v>1</v>
      </c>
      <c r="C24010">
        <v>102</v>
      </c>
      <c r="D24010">
        <v>1</v>
      </c>
    </row>
    <row r="24012" spans="2:4">
      <c r="B24012">
        <v>1</v>
      </c>
      <c r="C24012">
        <v>102</v>
      </c>
      <c r="D24012">
        <v>1</v>
      </c>
    </row>
    <row r="24014" spans="2:4">
      <c r="B24014">
        <v>1</v>
      </c>
      <c r="C24014">
        <v>102</v>
      </c>
      <c r="D24014">
        <v>1</v>
      </c>
    </row>
    <row r="24015" spans="2:4">
      <c r="B24015">
        <v>1</v>
      </c>
      <c r="C24015">
        <v>102</v>
      </c>
      <c r="D24015">
        <v>1</v>
      </c>
    </row>
    <row r="24024" spans="2:4">
      <c r="B24024">
        <v>1</v>
      </c>
      <c r="C24024">
        <v>102</v>
      </c>
      <c r="D24024">
        <v>1</v>
      </c>
    </row>
    <row r="24031" spans="2:4">
      <c r="B24031">
        <v>1</v>
      </c>
      <c r="C24031">
        <v>102</v>
      </c>
      <c r="D24031">
        <v>1</v>
      </c>
    </row>
    <row r="24033" spans="2:4">
      <c r="B24033">
        <v>1</v>
      </c>
      <c r="C24033">
        <v>102</v>
      </c>
      <c r="D24033">
        <v>1</v>
      </c>
    </row>
    <row r="24034" spans="2:4">
      <c r="B24034">
        <v>1</v>
      </c>
      <c r="C24034">
        <v>102</v>
      </c>
      <c r="D24034">
        <v>1</v>
      </c>
    </row>
    <row r="24037" spans="2:4">
      <c r="B24037">
        <v>1</v>
      </c>
      <c r="C24037">
        <v>102</v>
      </c>
      <c r="D24037">
        <v>1</v>
      </c>
    </row>
    <row r="24040" spans="2:4">
      <c r="B24040">
        <v>1</v>
      </c>
      <c r="C24040">
        <v>102</v>
      </c>
      <c r="D24040">
        <v>1</v>
      </c>
    </row>
    <row r="24041" spans="2:4">
      <c r="B24041">
        <v>1</v>
      </c>
      <c r="C24041">
        <v>102</v>
      </c>
      <c r="D24041">
        <v>1</v>
      </c>
    </row>
    <row r="24047" spans="2:4">
      <c r="B24047">
        <v>1</v>
      </c>
      <c r="C24047">
        <v>102</v>
      </c>
      <c r="D24047">
        <v>1</v>
      </c>
    </row>
    <row r="24048" spans="2:4">
      <c r="B24048">
        <v>1</v>
      </c>
      <c r="C24048">
        <v>102</v>
      </c>
      <c r="D24048">
        <v>1</v>
      </c>
    </row>
    <row r="24054" spans="2:4">
      <c r="B24054">
        <v>1</v>
      </c>
      <c r="C24054">
        <v>102</v>
      </c>
      <c r="D24054">
        <v>1</v>
      </c>
    </row>
    <row r="24058" spans="2:4">
      <c r="B24058">
        <v>1</v>
      </c>
      <c r="C24058">
        <v>102</v>
      </c>
      <c r="D24058">
        <v>1</v>
      </c>
    </row>
    <row r="24059" spans="2:4">
      <c r="B24059">
        <v>1</v>
      </c>
      <c r="C24059">
        <v>102</v>
      </c>
      <c r="D24059">
        <v>1</v>
      </c>
    </row>
    <row r="24063" spans="2:4">
      <c r="B24063">
        <v>1</v>
      </c>
      <c r="C24063">
        <v>102</v>
      </c>
      <c r="D24063">
        <v>1</v>
      </c>
    </row>
    <row r="24064" spans="2:4">
      <c r="B24064">
        <v>1</v>
      </c>
      <c r="C24064">
        <v>102</v>
      </c>
      <c r="D24064">
        <v>1</v>
      </c>
    </row>
    <row r="24067" spans="2:4">
      <c r="B24067">
        <v>1</v>
      </c>
      <c r="C24067">
        <v>102</v>
      </c>
      <c r="D24067">
        <v>1</v>
      </c>
    </row>
    <row r="24069" spans="2:4">
      <c r="B24069">
        <v>1</v>
      </c>
      <c r="C24069">
        <v>102</v>
      </c>
      <c r="D24069">
        <v>1</v>
      </c>
    </row>
    <row r="24070" spans="2:4">
      <c r="B24070">
        <v>1</v>
      </c>
      <c r="C24070">
        <v>102</v>
      </c>
      <c r="D24070">
        <v>1</v>
      </c>
    </row>
    <row r="24073" spans="2:4">
      <c r="B24073">
        <v>1</v>
      </c>
      <c r="C24073">
        <v>102</v>
      </c>
      <c r="D24073">
        <v>1</v>
      </c>
    </row>
    <row r="24074" spans="2:4">
      <c r="B24074">
        <v>1</v>
      </c>
      <c r="C24074">
        <v>102</v>
      </c>
      <c r="D24074">
        <v>1</v>
      </c>
    </row>
    <row r="24076" spans="2:4">
      <c r="B24076">
        <v>1</v>
      </c>
      <c r="C24076">
        <v>102</v>
      </c>
      <c r="D24076">
        <v>1</v>
      </c>
    </row>
    <row r="24080" spans="2:4">
      <c r="B24080">
        <v>1</v>
      </c>
      <c r="C24080">
        <v>102</v>
      </c>
      <c r="D24080">
        <v>1</v>
      </c>
    </row>
    <row r="24081" spans="2:4">
      <c r="B24081">
        <v>1</v>
      </c>
      <c r="C24081">
        <v>102</v>
      </c>
      <c r="D24081">
        <v>1</v>
      </c>
    </row>
    <row r="24082" spans="2:4">
      <c r="B24082">
        <v>1</v>
      </c>
      <c r="C24082">
        <v>102</v>
      </c>
      <c r="D24082">
        <v>1</v>
      </c>
    </row>
    <row r="24083" spans="2:4">
      <c r="B24083">
        <v>1</v>
      </c>
      <c r="C24083">
        <v>102</v>
      </c>
      <c r="D24083">
        <v>1</v>
      </c>
    </row>
    <row r="24084" spans="2:4">
      <c r="B24084">
        <v>1</v>
      </c>
      <c r="C24084">
        <v>102</v>
      </c>
      <c r="D24084">
        <v>1</v>
      </c>
    </row>
    <row r="24091" spans="2:4">
      <c r="B24091">
        <v>1</v>
      </c>
      <c r="C24091">
        <v>102</v>
      </c>
      <c r="D24091">
        <v>1</v>
      </c>
    </row>
    <row r="24092" spans="2:4">
      <c r="B24092">
        <v>1</v>
      </c>
      <c r="C24092">
        <v>102</v>
      </c>
      <c r="D24092">
        <v>1</v>
      </c>
    </row>
    <row r="24093" spans="2:4">
      <c r="B24093">
        <v>1</v>
      </c>
      <c r="C24093">
        <v>102</v>
      </c>
      <c r="D24093">
        <v>1</v>
      </c>
    </row>
    <row r="24094" spans="2:4">
      <c r="B24094">
        <v>1</v>
      </c>
      <c r="C24094">
        <v>102</v>
      </c>
      <c r="D24094">
        <v>1</v>
      </c>
    </row>
    <row r="24099" spans="2:4">
      <c r="B24099">
        <v>1</v>
      </c>
      <c r="C24099">
        <v>102</v>
      </c>
      <c r="D24099">
        <v>1</v>
      </c>
    </row>
    <row r="24100" spans="2:4">
      <c r="B24100">
        <v>1</v>
      </c>
      <c r="C24100">
        <v>102</v>
      </c>
      <c r="D24100">
        <v>1</v>
      </c>
    </row>
    <row r="24102" spans="2:4">
      <c r="B24102">
        <v>1</v>
      </c>
      <c r="C24102">
        <v>102</v>
      </c>
      <c r="D24102">
        <v>1</v>
      </c>
    </row>
    <row r="24103" spans="2:4">
      <c r="B24103">
        <v>1</v>
      </c>
      <c r="C24103">
        <v>102</v>
      </c>
      <c r="D24103">
        <v>1</v>
      </c>
    </row>
    <row r="24105" spans="2:4">
      <c r="B24105">
        <v>1</v>
      </c>
      <c r="C24105">
        <v>102</v>
      </c>
      <c r="D24105">
        <v>1</v>
      </c>
    </row>
    <row r="24107" spans="2:4">
      <c r="B24107">
        <v>1</v>
      </c>
      <c r="C24107">
        <v>102</v>
      </c>
      <c r="D24107">
        <v>1</v>
      </c>
    </row>
    <row r="24110" spans="2:4">
      <c r="B24110">
        <v>1</v>
      </c>
      <c r="C24110">
        <v>102</v>
      </c>
      <c r="D24110">
        <v>1</v>
      </c>
    </row>
    <row r="24113" spans="2:4">
      <c r="B24113">
        <v>1</v>
      </c>
      <c r="C24113">
        <v>102</v>
      </c>
      <c r="D24113">
        <v>1</v>
      </c>
    </row>
    <row r="24115" spans="2:4">
      <c r="B24115">
        <v>1</v>
      </c>
      <c r="C24115">
        <v>102</v>
      </c>
      <c r="D24115">
        <v>1</v>
      </c>
    </row>
    <row r="24120" spans="2:4">
      <c r="B24120">
        <v>1</v>
      </c>
      <c r="C24120">
        <v>102</v>
      </c>
      <c r="D24120">
        <v>1</v>
      </c>
    </row>
    <row r="24121" spans="2:4">
      <c r="B24121">
        <v>1</v>
      </c>
      <c r="C24121">
        <v>102</v>
      </c>
      <c r="D24121">
        <v>1</v>
      </c>
    </row>
    <row r="24123" spans="2:4">
      <c r="B24123">
        <v>1</v>
      </c>
      <c r="C24123">
        <v>102</v>
      </c>
      <c r="D24123">
        <v>1</v>
      </c>
    </row>
    <row r="24125" spans="2:4">
      <c r="B24125">
        <v>1</v>
      </c>
      <c r="C24125">
        <v>102</v>
      </c>
      <c r="D24125">
        <v>1</v>
      </c>
    </row>
    <row r="24130" spans="2:4">
      <c r="B24130">
        <v>1</v>
      </c>
      <c r="C24130">
        <v>102</v>
      </c>
      <c r="D24130">
        <v>1</v>
      </c>
    </row>
    <row r="24131" spans="2:4">
      <c r="B24131">
        <v>1</v>
      </c>
      <c r="C24131">
        <v>102</v>
      </c>
      <c r="D24131">
        <v>1</v>
      </c>
    </row>
    <row r="24135" spans="2:4">
      <c r="B24135">
        <v>1</v>
      </c>
      <c r="C24135">
        <v>102</v>
      </c>
      <c r="D24135">
        <v>1</v>
      </c>
    </row>
    <row r="24136" spans="2:4">
      <c r="B24136">
        <v>1</v>
      </c>
      <c r="C24136">
        <v>102</v>
      </c>
      <c r="D24136">
        <v>1</v>
      </c>
    </row>
    <row r="24139" spans="2:4">
      <c r="B24139">
        <v>1</v>
      </c>
      <c r="C24139">
        <v>102</v>
      </c>
      <c r="D24139">
        <v>1</v>
      </c>
    </row>
    <row r="24144" spans="2:4">
      <c r="B24144">
        <v>1</v>
      </c>
      <c r="C24144">
        <v>102</v>
      </c>
      <c r="D24144">
        <v>1</v>
      </c>
    </row>
    <row r="24145" spans="2:4">
      <c r="B24145">
        <v>1</v>
      </c>
      <c r="C24145">
        <v>102</v>
      </c>
      <c r="D24145">
        <v>1</v>
      </c>
    </row>
    <row r="24146" spans="2:4">
      <c r="B24146">
        <v>1</v>
      </c>
      <c r="C24146">
        <v>102</v>
      </c>
      <c r="D24146">
        <v>1</v>
      </c>
    </row>
    <row r="24147" spans="2:4">
      <c r="B24147">
        <v>1</v>
      </c>
      <c r="C24147">
        <v>102</v>
      </c>
      <c r="D24147">
        <v>1</v>
      </c>
    </row>
    <row r="24148" spans="2:4">
      <c r="B24148">
        <v>1</v>
      </c>
      <c r="C24148">
        <v>102</v>
      </c>
      <c r="D24148">
        <v>1</v>
      </c>
    </row>
    <row r="24149" spans="2:4">
      <c r="B24149">
        <v>1</v>
      </c>
      <c r="C24149">
        <v>102</v>
      </c>
      <c r="D24149">
        <v>1</v>
      </c>
    </row>
    <row r="24150" spans="2:4">
      <c r="B24150">
        <v>1</v>
      </c>
      <c r="C24150">
        <v>102</v>
      </c>
      <c r="D24150">
        <v>1</v>
      </c>
    </row>
    <row r="24151" spans="2:4">
      <c r="B24151">
        <v>1</v>
      </c>
      <c r="C24151">
        <v>102</v>
      </c>
      <c r="D24151">
        <v>1</v>
      </c>
    </row>
    <row r="24153" spans="2:4">
      <c r="B24153">
        <v>1</v>
      </c>
      <c r="C24153">
        <v>102</v>
      </c>
      <c r="D24153">
        <v>1</v>
      </c>
    </row>
    <row r="24154" spans="2:4">
      <c r="B24154">
        <v>1</v>
      </c>
      <c r="C24154">
        <v>102</v>
      </c>
      <c r="D24154">
        <v>1</v>
      </c>
    </row>
    <row r="24156" spans="2:4">
      <c r="B24156">
        <v>1</v>
      </c>
      <c r="C24156">
        <v>102</v>
      </c>
      <c r="D24156">
        <v>1</v>
      </c>
    </row>
    <row r="24157" spans="2:4">
      <c r="B24157">
        <v>1</v>
      </c>
      <c r="C24157">
        <v>102</v>
      </c>
      <c r="D24157">
        <v>1</v>
      </c>
    </row>
    <row r="24158" spans="2:4">
      <c r="B24158">
        <v>1</v>
      </c>
      <c r="C24158">
        <v>102</v>
      </c>
      <c r="D24158">
        <v>1</v>
      </c>
    </row>
    <row r="24160" spans="2:4">
      <c r="B24160">
        <v>1</v>
      </c>
      <c r="C24160">
        <v>102</v>
      </c>
      <c r="D24160">
        <v>1</v>
      </c>
    </row>
    <row r="24163" spans="2:4">
      <c r="B24163">
        <v>1</v>
      </c>
      <c r="C24163">
        <v>102</v>
      </c>
      <c r="D24163">
        <v>1</v>
      </c>
    </row>
    <row r="24164" spans="2:4">
      <c r="B24164">
        <v>1</v>
      </c>
      <c r="C24164">
        <v>102</v>
      </c>
      <c r="D24164">
        <v>1</v>
      </c>
    </row>
    <row r="24166" spans="2:4">
      <c r="B24166">
        <v>1</v>
      </c>
      <c r="C24166">
        <v>102</v>
      </c>
      <c r="D24166">
        <v>1</v>
      </c>
    </row>
    <row r="24167" spans="2:4">
      <c r="B24167">
        <v>1</v>
      </c>
      <c r="C24167">
        <v>102</v>
      </c>
      <c r="D24167">
        <v>1</v>
      </c>
    </row>
    <row r="24170" spans="2:4">
      <c r="B24170">
        <v>1</v>
      </c>
      <c r="C24170">
        <v>102</v>
      </c>
      <c r="D24170">
        <v>1</v>
      </c>
    </row>
    <row r="24171" spans="2:4">
      <c r="B24171">
        <v>1</v>
      </c>
      <c r="C24171">
        <v>102</v>
      </c>
      <c r="D24171">
        <v>1</v>
      </c>
    </row>
    <row r="24172" spans="2:4">
      <c r="B24172">
        <v>1</v>
      </c>
      <c r="C24172">
        <v>102</v>
      </c>
      <c r="D24172">
        <v>1</v>
      </c>
    </row>
    <row r="24173" spans="2:4">
      <c r="B24173">
        <v>1</v>
      </c>
      <c r="C24173">
        <v>102</v>
      </c>
      <c r="D24173">
        <v>1</v>
      </c>
    </row>
    <row r="24181" spans="2:4">
      <c r="B24181">
        <v>1</v>
      </c>
      <c r="C24181">
        <v>102</v>
      </c>
      <c r="D24181">
        <v>1</v>
      </c>
    </row>
    <row r="24183" spans="2:4">
      <c r="B24183">
        <v>1</v>
      </c>
      <c r="C24183">
        <v>102</v>
      </c>
      <c r="D24183">
        <v>1</v>
      </c>
    </row>
    <row r="24184" spans="2:4">
      <c r="B24184">
        <v>1</v>
      </c>
      <c r="C24184">
        <v>102</v>
      </c>
      <c r="D24184">
        <v>1</v>
      </c>
    </row>
    <row r="24185" spans="2:4">
      <c r="B24185">
        <v>1</v>
      </c>
      <c r="C24185">
        <v>102</v>
      </c>
      <c r="D24185">
        <v>1</v>
      </c>
    </row>
    <row r="24193" spans="2:4">
      <c r="B24193">
        <v>1</v>
      </c>
      <c r="C24193">
        <v>102</v>
      </c>
      <c r="D24193">
        <v>1</v>
      </c>
    </row>
    <row r="24194" spans="2:4">
      <c r="B24194">
        <v>1</v>
      </c>
      <c r="C24194">
        <v>102</v>
      </c>
      <c r="D24194">
        <v>1</v>
      </c>
    </row>
    <row r="24200" spans="2:4">
      <c r="B24200">
        <v>1</v>
      </c>
      <c r="C24200">
        <v>102</v>
      </c>
      <c r="D24200">
        <v>1</v>
      </c>
    </row>
    <row r="24205" spans="2:4">
      <c r="B24205">
        <v>1</v>
      </c>
      <c r="C24205">
        <v>102</v>
      </c>
      <c r="D24205">
        <v>1</v>
      </c>
    </row>
    <row r="24206" spans="2:4">
      <c r="B24206">
        <v>1</v>
      </c>
      <c r="C24206">
        <v>102</v>
      </c>
      <c r="D24206">
        <v>1</v>
      </c>
    </row>
    <row r="24207" spans="2:4">
      <c r="B24207">
        <v>1</v>
      </c>
      <c r="C24207">
        <v>102</v>
      </c>
      <c r="D24207">
        <v>1</v>
      </c>
    </row>
    <row r="24213" spans="2:4">
      <c r="B24213">
        <v>1</v>
      </c>
      <c r="C24213">
        <v>102</v>
      </c>
      <c r="D24213">
        <v>1</v>
      </c>
    </row>
    <row r="24214" spans="2:4">
      <c r="B24214">
        <v>1</v>
      </c>
      <c r="C24214">
        <v>102</v>
      </c>
      <c r="D24214">
        <v>1</v>
      </c>
    </row>
    <row r="24215" spans="2:4">
      <c r="B24215">
        <v>1</v>
      </c>
      <c r="C24215">
        <v>102</v>
      </c>
      <c r="D24215">
        <v>1</v>
      </c>
    </row>
    <row r="24218" spans="2:4">
      <c r="B24218">
        <v>1</v>
      </c>
      <c r="C24218">
        <v>102</v>
      </c>
      <c r="D24218">
        <v>1</v>
      </c>
    </row>
    <row r="24225" spans="2:4">
      <c r="B24225">
        <v>1</v>
      </c>
      <c r="C24225">
        <v>102</v>
      </c>
      <c r="D24225">
        <v>1</v>
      </c>
    </row>
    <row r="24236" spans="2:4">
      <c r="B24236">
        <v>1</v>
      </c>
      <c r="C24236">
        <v>102</v>
      </c>
      <c r="D24236">
        <v>1</v>
      </c>
    </row>
    <row r="24237" spans="2:4">
      <c r="B24237">
        <v>1</v>
      </c>
      <c r="C24237">
        <v>102</v>
      </c>
      <c r="D24237">
        <v>1</v>
      </c>
    </row>
    <row r="24239" spans="2:4">
      <c r="B24239">
        <v>1</v>
      </c>
      <c r="C24239">
        <v>102</v>
      </c>
      <c r="D24239">
        <v>1</v>
      </c>
    </row>
    <row r="24240" spans="2:4">
      <c r="B24240">
        <v>1</v>
      </c>
      <c r="C24240">
        <v>102</v>
      </c>
      <c r="D24240">
        <v>1</v>
      </c>
    </row>
    <row r="24242" spans="2:4">
      <c r="B24242">
        <v>1</v>
      </c>
      <c r="C24242">
        <v>102</v>
      </c>
      <c r="D24242">
        <v>1</v>
      </c>
    </row>
    <row r="24244" spans="2:4">
      <c r="B24244">
        <v>1</v>
      </c>
      <c r="C24244">
        <v>102</v>
      </c>
      <c r="D24244">
        <v>1</v>
      </c>
    </row>
    <row r="24245" spans="2:4">
      <c r="B24245">
        <v>1</v>
      </c>
      <c r="C24245">
        <v>102</v>
      </c>
      <c r="D24245">
        <v>1</v>
      </c>
    </row>
    <row r="24252" spans="2:4">
      <c r="B24252">
        <v>1</v>
      </c>
      <c r="C24252">
        <v>102</v>
      </c>
      <c r="D24252">
        <v>1</v>
      </c>
    </row>
    <row r="24254" spans="2:4">
      <c r="B24254">
        <v>1</v>
      </c>
      <c r="C24254">
        <v>102</v>
      </c>
      <c r="D24254">
        <v>1</v>
      </c>
    </row>
    <row r="24255" spans="2:4">
      <c r="B24255">
        <v>1</v>
      </c>
      <c r="C24255">
        <v>102</v>
      </c>
      <c r="D24255">
        <v>1</v>
      </c>
    </row>
    <row r="24256" spans="2:4">
      <c r="B24256">
        <v>1</v>
      </c>
      <c r="C24256">
        <v>102</v>
      </c>
      <c r="D24256">
        <v>1</v>
      </c>
    </row>
    <row r="24257" spans="2:4">
      <c r="B24257">
        <v>1</v>
      </c>
      <c r="C24257">
        <v>102</v>
      </c>
      <c r="D24257">
        <v>1</v>
      </c>
    </row>
    <row r="24260" spans="2:4">
      <c r="B24260">
        <v>1</v>
      </c>
      <c r="C24260">
        <v>102</v>
      </c>
      <c r="D24260">
        <v>1</v>
      </c>
    </row>
    <row r="24261" spans="2:4">
      <c r="B24261">
        <v>1</v>
      </c>
      <c r="C24261">
        <v>102</v>
      </c>
      <c r="D24261">
        <v>1</v>
      </c>
    </row>
    <row r="24262" spans="2:4">
      <c r="B24262">
        <v>1</v>
      </c>
      <c r="C24262">
        <v>102</v>
      </c>
      <c r="D24262">
        <v>1</v>
      </c>
    </row>
    <row r="24266" spans="2:4">
      <c r="B24266">
        <v>1</v>
      </c>
      <c r="C24266">
        <v>102</v>
      </c>
      <c r="D24266">
        <v>1</v>
      </c>
    </row>
    <row r="24268" spans="2:4">
      <c r="B24268">
        <v>1</v>
      </c>
      <c r="C24268">
        <v>102</v>
      </c>
      <c r="D24268">
        <v>1</v>
      </c>
    </row>
    <row r="24270" spans="2:4">
      <c r="B24270">
        <v>1</v>
      </c>
      <c r="C24270">
        <v>102</v>
      </c>
      <c r="D24270">
        <v>1</v>
      </c>
    </row>
    <row r="24271" spans="2:4">
      <c r="B24271">
        <v>1</v>
      </c>
      <c r="C24271">
        <v>102</v>
      </c>
      <c r="D24271">
        <v>1</v>
      </c>
    </row>
    <row r="24280" spans="2:4">
      <c r="B24280">
        <v>1</v>
      </c>
      <c r="C24280">
        <v>102</v>
      </c>
      <c r="D24280">
        <v>1</v>
      </c>
    </row>
    <row r="24287" spans="2:4">
      <c r="B24287">
        <v>1</v>
      </c>
      <c r="C24287">
        <v>102</v>
      </c>
      <c r="D24287">
        <v>1</v>
      </c>
    </row>
    <row r="24289" spans="2:4">
      <c r="B24289">
        <v>1</v>
      </c>
      <c r="C24289">
        <v>102</v>
      </c>
      <c r="D24289">
        <v>1</v>
      </c>
    </row>
    <row r="24290" spans="2:4">
      <c r="B24290">
        <v>1</v>
      </c>
      <c r="C24290">
        <v>102</v>
      </c>
      <c r="D24290">
        <v>1</v>
      </c>
    </row>
    <row r="24293" spans="2:4">
      <c r="B24293">
        <v>1</v>
      </c>
      <c r="C24293">
        <v>102</v>
      </c>
      <c r="D24293">
        <v>1</v>
      </c>
    </row>
    <row r="24296" spans="2:4">
      <c r="B24296">
        <v>1</v>
      </c>
      <c r="C24296">
        <v>102</v>
      </c>
      <c r="D24296">
        <v>1</v>
      </c>
    </row>
    <row r="24297" spans="2:4">
      <c r="B24297">
        <v>1</v>
      </c>
      <c r="C24297">
        <v>102</v>
      </c>
      <c r="D24297">
        <v>1</v>
      </c>
    </row>
    <row r="24303" spans="2:4">
      <c r="B24303">
        <v>1</v>
      </c>
      <c r="C24303">
        <v>102</v>
      </c>
      <c r="D24303">
        <v>1</v>
      </c>
    </row>
    <row r="24304" spans="2:4">
      <c r="B24304">
        <v>1</v>
      </c>
      <c r="C24304">
        <v>102</v>
      </c>
      <c r="D24304">
        <v>1</v>
      </c>
    </row>
    <row r="24310" spans="2:4">
      <c r="B24310">
        <v>1</v>
      </c>
      <c r="C24310">
        <v>102</v>
      </c>
      <c r="D24310">
        <v>1</v>
      </c>
    </row>
    <row r="24314" spans="2:4">
      <c r="B24314">
        <v>1</v>
      </c>
      <c r="C24314">
        <v>102</v>
      </c>
      <c r="D24314">
        <v>1</v>
      </c>
    </row>
    <row r="24315" spans="2:4">
      <c r="B24315">
        <v>1</v>
      </c>
      <c r="C24315">
        <v>102</v>
      </c>
      <c r="D24315">
        <v>1</v>
      </c>
    </row>
    <row r="24319" spans="2:4">
      <c r="B24319">
        <v>1</v>
      </c>
      <c r="C24319">
        <v>102</v>
      </c>
      <c r="D24319">
        <v>1</v>
      </c>
    </row>
    <row r="24320" spans="2:4">
      <c r="B24320">
        <v>1</v>
      </c>
      <c r="C24320">
        <v>102</v>
      </c>
      <c r="D24320">
        <v>1</v>
      </c>
    </row>
    <row r="24323" spans="2:4">
      <c r="B24323">
        <v>1</v>
      </c>
      <c r="C24323">
        <v>102</v>
      </c>
      <c r="D24323">
        <v>1</v>
      </c>
    </row>
    <row r="24325" spans="2:4">
      <c r="B24325">
        <v>1</v>
      </c>
      <c r="C24325">
        <v>102</v>
      </c>
      <c r="D24325">
        <v>1</v>
      </c>
    </row>
    <row r="24326" spans="2:4">
      <c r="B24326">
        <v>1</v>
      </c>
      <c r="C24326">
        <v>102</v>
      </c>
      <c r="D24326">
        <v>1</v>
      </c>
    </row>
    <row r="24329" spans="2:4">
      <c r="B24329">
        <v>1</v>
      </c>
      <c r="C24329">
        <v>102</v>
      </c>
      <c r="D24329">
        <v>1</v>
      </c>
    </row>
    <row r="24330" spans="2:4">
      <c r="B24330">
        <v>1</v>
      </c>
      <c r="C24330">
        <v>102</v>
      </c>
      <c r="D24330">
        <v>1</v>
      </c>
    </row>
    <row r="24332" spans="2:4">
      <c r="B24332">
        <v>1</v>
      </c>
      <c r="C24332">
        <v>102</v>
      </c>
      <c r="D24332">
        <v>1</v>
      </c>
    </row>
    <row r="24336" spans="2:4">
      <c r="B24336">
        <v>1</v>
      </c>
      <c r="C24336">
        <v>102</v>
      </c>
      <c r="D24336">
        <v>1</v>
      </c>
    </row>
    <row r="24337" spans="2:4">
      <c r="B24337">
        <v>1</v>
      </c>
      <c r="C24337">
        <v>102</v>
      </c>
      <c r="D24337">
        <v>1</v>
      </c>
    </row>
    <row r="24338" spans="2:4">
      <c r="B24338">
        <v>1</v>
      </c>
      <c r="C24338">
        <v>102</v>
      </c>
      <c r="D24338">
        <v>1</v>
      </c>
    </row>
    <row r="24339" spans="2:4">
      <c r="B24339">
        <v>1</v>
      </c>
      <c r="C24339">
        <v>102</v>
      </c>
      <c r="D24339">
        <v>1</v>
      </c>
    </row>
    <row r="24340" spans="2:4">
      <c r="B24340">
        <v>1</v>
      </c>
      <c r="C24340">
        <v>102</v>
      </c>
      <c r="D24340">
        <v>1</v>
      </c>
    </row>
    <row r="24347" spans="2:4">
      <c r="B24347">
        <v>1</v>
      </c>
      <c r="C24347">
        <v>102</v>
      </c>
      <c r="D24347">
        <v>1</v>
      </c>
    </row>
    <row r="24348" spans="2:4">
      <c r="B24348">
        <v>1</v>
      </c>
      <c r="C24348">
        <v>102</v>
      </c>
      <c r="D24348">
        <v>1</v>
      </c>
    </row>
    <row r="24349" spans="2:4">
      <c r="B24349">
        <v>1</v>
      </c>
      <c r="C24349">
        <v>102</v>
      </c>
      <c r="D24349">
        <v>1</v>
      </c>
    </row>
    <row r="24350" spans="2:4">
      <c r="B24350">
        <v>1</v>
      </c>
      <c r="C24350">
        <v>102</v>
      </c>
      <c r="D24350">
        <v>1</v>
      </c>
    </row>
    <row r="24355" spans="2:4">
      <c r="B24355">
        <v>1</v>
      </c>
      <c r="C24355">
        <v>102</v>
      </c>
      <c r="D24355">
        <v>1</v>
      </c>
    </row>
    <row r="24356" spans="2:4">
      <c r="B24356">
        <v>1</v>
      </c>
      <c r="C24356">
        <v>102</v>
      </c>
      <c r="D24356">
        <v>1</v>
      </c>
    </row>
    <row r="24358" spans="2:4">
      <c r="B24358">
        <v>1</v>
      </c>
      <c r="C24358">
        <v>102</v>
      </c>
      <c r="D24358">
        <v>1</v>
      </c>
    </row>
    <row r="24359" spans="2:4">
      <c r="B24359">
        <v>1</v>
      </c>
      <c r="C24359">
        <v>102</v>
      </c>
      <c r="D24359">
        <v>1</v>
      </c>
    </row>
    <row r="24361" spans="2:4">
      <c r="B24361">
        <v>1</v>
      </c>
      <c r="C24361">
        <v>102</v>
      </c>
      <c r="D24361">
        <v>1</v>
      </c>
    </row>
    <row r="24363" spans="2:4">
      <c r="B24363">
        <v>1</v>
      </c>
      <c r="C24363">
        <v>102</v>
      </c>
      <c r="D24363">
        <v>1</v>
      </c>
    </row>
    <row r="24366" spans="2:4">
      <c r="B24366">
        <v>1</v>
      </c>
      <c r="C24366">
        <v>102</v>
      </c>
      <c r="D24366">
        <v>1</v>
      </c>
    </row>
    <row r="24369" spans="2:4">
      <c r="B24369">
        <v>1</v>
      </c>
      <c r="C24369">
        <v>102</v>
      </c>
      <c r="D24369">
        <v>1</v>
      </c>
    </row>
    <row r="24371" spans="2:4">
      <c r="B24371">
        <v>1</v>
      </c>
      <c r="C24371">
        <v>102</v>
      </c>
      <c r="D24371">
        <v>1</v>
      </c>
    </row>
    <row r="24376" spans="2:4">
      <c r="B24376">
        <v>1</v>
      </c>
      <c r="C24376">
        <v>102</v>
      </c>
      <c r="D24376">
        <v>1</v>
      </c>
    </row>
    <row r="24377" spans="2:4">
      <c r="B24377">
        <v>1</v>
      </c>
      <c r="C24377">
        <v>102</v>
      </c>
      <c r="D24377">
        <v>1</v>
      </c>
    </row>
    <row r="24379" spans="2:4">
      <c r="B24379">
        <v>1</v>
      </c>
      <c r="C24379">
        <v>102</v>
      </c>
      <c r="D24379">
        <v>1</v>
      </c>
    </row>
    <row r="24381" spans="2:4">
      <c r="B24381">
        <v>1</v>
      </c>
      <c r="C24381">
        <v>102</v>
      </c>
      <c r="D24381">
        <v>1</v>
      </c>
    </row>
    <row r="24386" spans="2:4">
      <c r="B24386">
        <v>1</v>
      </c>
      <c r="C24386">
        <v>102</v>
      </c>
      <c r="D24386">
        <v>1</v>
      </c>
    </row>
    <row r="24387" spans="2:4">
      <c r="B24387">
        <v>1</v>
      </c>
      <c r="C24387">
        <v>102</v>
      </c>
      <c r="D24387">
        <v>1</v>
      </c>
    </row>
    <row r="24391" spans="2:4">
      <c r="B24391">
        <v>1</v>
      </c>
      <c r="C24391">
        <v>102</v>
      </c>
      <c r="D24391">
        <v>1</v>
      </c>
    </row>
    <row r="24392" spans="2:4">
      <c r="B24392">
        <v>1</v>
      </c>
      <c r="C24392">
        <v>102</v>
      </c>
      <c r="D24392">
        <v>1</v>
      </c>
    </row>
    <row r="24395" spans="2:4">
      <c r="B24395">
        <v>1</v>
      </c>
      <c r="C24395">
        <v>102</v>
      </c>
      <c r="D24395">
        <v>1</v>
      </c>
    </row>
    <row r="24400" spans="2:4">
      <c r="B24400">
        <v>1</v>
      </c>
      <c r="C24400">
        <v>102</v>
      </c>
      <c r="D24400">
        <v>1</v>
      </c>
    </row>
    <row r="24401" spans="2:4">
      <c r="B24401">
        <v>1</v>
      </c>
      <c r="C24401">
        <v>102</v>
      </c>
      <c r="D24401">
        <v>1</v>
      </c>
    </row>
    <row r="24402" spans="2:4">
      <c r="B24402">
        <v>1</v>
      </c>
      <c r="C24402">
        <v>102</v>
      </c>
      <c r="D24402">
        <v>1</v>
      </c>
    </row>
    <row r="24403" spans="2:4">
      <c r="B24403">
        <v>1</v>
      </c>
      <c r="C24403">
        <v>102</v>
      </c>
      <c r="D24403">
        <v>1</v>
      </c>
    </row>
    <row r="24404" spans="2:4">
      <c r="B24404">
        <v>1</v>
      </c>
      <c r="C24404">
        <v>102</v>
      </c>
      <c r="D24404">
        <v>1</v>
      </c>
    </row>
    <row r="24405" spans="2:4">
      <c r="B24405">
        <v>1</v>
      </c>
      <c r="C24405">
        <v>102</v>
      </c>
      <c r="D24405">
        <v>1</v>
      </c>
    </row>
    <row r="24406" spans="2:4">
      <c r="B24406">
        <v>1</v>
      </c>
      <c r="C24406">
        <v>102</v>
      </c>
      <c r="D24406">
        <v>1</v>
      </c>
    </row>
    <row r="24407" spans="2:4">
      <c r="B24407">
        <v>1</v>
      </c>
      <c r="C24407">
        <v>102</v>
      </c>
      <c r="D24407">
        <v>1</v>
      </c>
    </row>
    <row r="24409" spans="2:4">
      <c r="B24409">
        <v>1</v>
      </c>
      <c r="C24409">
        <v>102</v>
      </c>
      <c r="D24409">
        <v>1</v>
      </c>
    </row>
    <row r="24410" spans="2:4">
      <c r="B24410">
        <v>1</v>
      </c>
      <c r="C24410">
        <v>102</v>
      </c>
      <c r="D24410">
        <v>1</v>
      </c>
    </row>
    <row r="24412" spans="2:4">
      <c r="B24412">
        <v>1</v>
      </c>
      <c r="C24412">
        <v>102</v>
      </c>
      <c r="D24412">
        <v>1</v>
      </c>
    </row>
    <row r="24413" spans="2:4">
      <c r="B24413">
        <v>1</v>
      </c>
      <c r="C24413">
        <v>102</v>
      </c>
      <c r="D24413">
        <v>1</v>
      </c>
    </row>
    <row r="24414" spans="2:4">
      <c r="B24414">
        <v>1</v>
      </c>
      <c r="C24414">
        <v>102</v>
      </c>
      <c r="D24414">
        <v>1</v>
      </c>
    </row>
    <row r="24416" spans="2:4">
      <c r="B24416">
        <v>1</v>
      </c>
      <c r="C24416">
        <v>102</v>
      </c>
      <c r="D24416">
        <v>1</v>
      </c>
    </row>
    <row r="24419" spans="2:4">
      <c r="B24419">
        <v>1</v>
      </c>
      <c r="C24419">
        <v>102</v>
      </c>
      <c r="D24419">
        <v>1</v>
      </c>
    </row>
    <row r="24420" spans="2:4">
      <c r="B24420">
        <v>1</v>
      </c>
      <c r="C24420">
        <v>102</v>
      </c>
      <c r="D24420">
        <v>1</v>
      </c>
    </row>
    <row r="24422" spans="2:4">
      <c r="B24422">
        <v>1</v>
      </c>
      <c r="C24422">
        <v>102</v>
      </c>
      <c r="D24422">
        <v>1</v>
      </c>
    </row>
    <row r="24423" spans="2:4">
      <c r="B24423">
        <v>1</v>
      </c>
      <c r="C24423">
        <v>102</v>
      </c>
      <c r="D24423">
        <v>1</v>
      </c>
    </row>
    <row r="24426" spans="2:4">
      <c r="B24426">
        <v>1</v>
      </c>
      <c r="C24426">
        <v>102</v>
      </c>
      <c r="D24426">
        <v>1</v>
      </c>
    </row>
    <row r="24427" spans="2:4">
      <c r="B24427">
        <v>1</v>
      </c>
      <c r="C24427">
        <v>102</v>
      </c>
      <c r="D24427">
        <v>1</v>
      </c>
    </row>
    <row r="24428" spans="2:4">
      <c r="B24428">
        <v>1</v>
      </c>
      <c r="C24428">
        <v>102</v>
      </c>
      <c r="D24428">
        <v>1</v>
      </c>
    </row>
    <row r="24429" spans="2:4">
      <c r="B24429">
        <v>1</v>
      </c>
      <c r="C24429">
        <v>102</v>
      </c>
      <c r="D24429">
        <v>1</v>
      </c>
    </row>
    <row r="24437" spans="2:4">
      <c r="B24437">
        <v>1</v>
      </c>
      <c r="C24437">
        <v>102</v>
      </c>
      <c r="D24437">
        <v>1</v>
      </c>
    </row>
    <row r="24439" spans="2:4">
      <c r="B24439">
        <v>1</v>
      </c>
      <c r="C24439">
        <v>102</v>
      </c>
      <c r="D24439">
        <v>1</v>
      </c>
    </row>
    <row r="24440" spans="2:4">
      <c r="B24440">
        <v>1</v>
      </c>
      <c r="C24440">
        <v>102</v>
      </c>
      <c r="D24440">
        <v>1</v>
      </c>
    </row>
    <row r="24441" spans="2:4">
      <c r="B24441">
        <v>1</v>
      </c>
      <c r="C24441">
        <v>102</v>
      </c>
      <c r="D24441">
        <v>1</v>
      </c>
    </row>
    <row r="24449" spans="2:4">
      <c r="B24449">
        <v>1</v>
      </c>
      <c r="C24449">
        <v>102</v>
      </c>
      <c r="D24449">
        <v>1</v>
      </c>
    </row>
    <row r="24450" spans="2:4">
      <c r="B24450">
        <v>1</v>
      </c>
      <c r="C24450">
        <v>102</v>
      </c>
      <c r="D24450">
        <v>1</v>
      </c>
    </row>
    <row r="24456" spans="2:4">
      <c r="B24456">
        <v>1</v>
      </c>
      <c r="C24456">
        <v>102</v>
      </c>
      <c r="D24456">
        <v>1</v>
      </c>
    </row>
    <row r="24461" spans="2:4">
      <c r="B24461">
        <v>1</v>
      </c>
      <c r="C24461">
        <v>102</v>
      </c>
      <c r="D24461">
        <v>1</v>
      </c>
    </row>
    <row r="24462" spans="2:4">
      <c r="B24462">
        <v>1</v>
      </c>
      <c r="C24462">
        <v>102</v>
      </c>
      <c r="D24462">
        <v>1</v>
      </c>
    </row>
    <row r="24463" spans="2:4">
      <c r="B24463">
        <v>1</v>
      </c>
      <c r="C24463">
        <v>102</v>
      </c>
      <c r="D24463">
        <v>1</v>
      </c>
    </row>
    <row r="24469" spans="2:4">
      <c r="B24469">
        <v>1</v>
      </c>
      <c r="C24469">
        <v>102</v>
      </c>
      <c r="D24469">
        <v>1</v>
      </c>
    </row>
    <row r="24470" spans="2:4">
      <c r="B24470">
        <v>1</v>
      </c>
      <c r="C24470">
        <v>102</v>
      </c>
      <c r="D24470">
        <v>1</v>
      </c>
    </row>
    <row r="24471" spans="2:4">
      <c r="B24471">
        <v>1</v>
      </c>
      <c r="C24471">
        <v>102</v>
      </c>
      <c r="D24471">
        <v>1</v>
      </c>
    </row>
    <row r="24474" spans="2:4">
      <c r="B24474">
        <v>1</v>
      </c>
      <c r="C24474">
        <v>102</v>
      </c>
      <c r="D24474">
        <v>1</v>
      </c>
    </row>
    <row r="24481" spans="2:4">
      <c r="B24481">
        <v>1</v>
      </c>
      <c r="C24481">
        <v>102</v>
      </c>
      <c r="D24481">
        <v>1</v>
      </c>
    </row>
    <row r="24492" spans="2:4">
      <c r="B24492">
        <v>1</v>
      </c>
      <c r="C24492">
        <v>102</v>
      </c>
      <c r="D24492">
        <v>1</v>
      </c>
    </row>
    <row r="24493" spans="2:4">
      <c r="B24493">
        <v>1</v>
      </c>
      <c r="C24493">
        <v>102</v>
      </c>
      <c r="D24493">
        <v>1</v>
      </c>
    </row>
    <row r="24495" spans="2:4">
      <c r="B24495">
        <v>1</v>
      </c>
      <c r="C24495">
        <v>102</v>
      </c>
      <c r="D24495">
        <v>1</v>
      </c>
    </row>
    <row r="24496" spans="2:4">
      <c r="B24496">
        <v>1</v>
      </c>
      <c r="C24496">
        <v>102</v>
      </c>
      <c r="D24496">
        <v>1</v>
      </c>
    </row>
    <row r="24498" spans="2:4">
      <c r="B24498">
        <v>1</v>
      </c>
      <c r="C24498">
        <v>102</v>
      </c>
      <c r="D24498">
        <v>1</v>
      </c>
    </row>
    <row r="24500" spans="2:4">
      <c r="B24500">
        <v>1</v>
      </c>
      <c r="C24500">
        <v>102</v>
      </c>
      <c r="D24500">
        <v>1</v>
      </c>
    </row>
    <row r="24501" spans="2:4">
      <c r="B24501">
        <v>1</v>
      </c>
      <c r="C24501">
        <v>102</v>
      </c>
      <c r="D24501">
        <v>1</v>
      </c>
    </row>
    <row r="24508" spans="2:4">
      <c r="B24508">
        <v>1</v>
      </c>
      <c r="C24508">
        <v>102</v>
      </c>
      <c r="D24508">
        <v>1</v>
      </c>
    </row>
    <row r="24510" spans="2:4">
      <c r="B24510">
        <v>1</v>
      </c>
      <c r="C24510">
        <v>102</v>
      </c>
      <c r="D24510">
        <v>1</v>
      </c>
    </row>
    <row r="24511" spans="2:4">
      <c r="B24511">
        <v>1</v>
      </c>
      <c r="C24511">
        <v>102</v>
      </c>
      <c r="D24511">
        <v>1</v>
      </c>
    </row>
    <row r="24512" spans="2:4">
      <c r="B24512">
        <v>1</v>
      </c>
      <c r="C24512">
        <v>102</v>
      </c>
      <c r="D24512">
        <v>1</v>
      </c>
    </row>
    <row r="24513" spans="2:4">
      <c r="B24513">
        <v>1</v>
      </c>
      <c r="C24513">
        <v>102</v>
      </c>
      <c r="D24513">
        <v>1</v>
      </c>
    </row>
    <row r="24516" spans="2:4">
      <c r="B24516">
        <v>1</v>
      </c>
      <c r="C24516">
        <v>102</v>
      </c>
      <c r="D24516">
        <v>1</v>
      </c>
    </row>
    <row r="24517" spans="2:4">
      <c r="B24517">
        <v>1</v>
      </c>
      <c r="C24517">
        <v>102</v>
      </c>
      <c r="D24517">
        <v>1</v>
      </c>
    </row>
    <row r="24518" spans="2:4">
      <c r="B24518">
        <v>1</v>
      </c>
      <c r="C24518">
        <v>102</v>
      </c>
      <c r="D24518">
        <v>1</v>
      </c>
    </row>
    <row r="24522" spans="2:4">
      <c r="B24522">
        <v>1</v>
      </c>
      <c r="C24522">
        <v>102</v>
      </c>
      <c r="D24522">
        <v>1</v>
      </c>
    </row>
    <row r="24524" spans="2:4">
      <c r="B24524">
        <v>1</v>
      </c>
      <c r="C24524">
        <v>102</v>
      </c>
      <c r="D24524">
        <v>1</v>
      </c>
    </row>
    <row r="24526" spans="2:4">
      <c r="B24526">
        <v>1</v>
      </c>
      <c r="C24526">
        <v>102</v>
      </c>
      <c r="D24526">
        <v>1</v>
      </c>
    </row>
    <row r="24527" spans="2:4">
      <c r="B24527">
        <v>1</v>
      </c>
      <c r="C24527">
        <v>102</v>
      </c>
      <c r="D24527">
        <v>1</v>
      </c>
    </row>
    <row r="24536" spans="2:4">
      <c r="B24536">
        <v>1</v>
      </c>
      <c r="C24536">
        <v>102</v>
      </c>
      <c r="D24536">
        <v>1</v>
      </c>
    </row>
    <row r="24543" spans="2:4">
      <c r="B24543">
        <v>1</v>
      </c>
      <c r="C24543">
        <v>102</v>
      </c>
      <c r="D24543">
        <v>1</v>
      </c>
    </row>
    <row r="24545" spans="2:4">
      <c r="B24545">
        <v>1</v>
      </c>
      <c r="C24545">
        <v>102</v>
      </c>
      <c r="D24545">
        <v>1</v>
      </c>
    </row>
    <row r="24546" spans="2:4">
      <c r="B24546">
        <v>1</v>
      </c>
      <c r="C24546">
        <v>102</v>
      </c>
      <c r="D24546">
        <v>1</v>
      </c>
    </row>
    <row r="24549" spans="2:4">
      <c r="B24549">
        <v>1</v>
      </c>
      <c r="C24549">
        <v>102</v>
      </c>
      <c r="D24549">
        <v>1</v>
      </c>
    </row>
    <row r="24552" spans="2:4">
      <c r="B24552">
        <v>1</v>
      </c>
      <c r="C24552">
        <v>102</v>
      </c>
      <c r="D24552">
        <v>1</v>
      </c>
    </row>
    <row r="24553" spans="2:4">
      <c r="B24553">
        <v>1</v>
      </c>
      <c r="C24553">
        <v>102</v>
      </c>
      <c r="D24553">
        <v>1</v>
      </c>
    </row>
    <row r="24559" spans="2:4">
      <c r="B24559">
        <v>1</v>
      </c>
      <c r="C24559">
        <v>102</v>
      </c>
      <c r="D24559">
        <v>1</v>
      </c>
    </row>
    <row r="24560" spans="2:4">
      <c r="B24560">
        <v>1</v>
      </c>
      <c r="C24560">
        <v>102</v>
      </c>
      <c r="D24560">
        <v>1</v>
      </c>
    </row>
    <row r="24566" spans="2:4">
      <c r="B24566">
        <v>1</v>
      </c>
      <c r="C24566">
        <v>102</v>
      </c>
      <c r="D24566">
        <v>1</v>
      </c>
    </row>
    <row r="24570" spans="2:4">
      <c r="B24570">
        <v>1</v>
      </c>
      <c r="C24570">
        <v>102</v>
      </c>
      <c r="D24570">
        <v>1</v>
      </c>
    </row>
    <row r="24571" spans="2:4">
      <c r="B24571">
        <v>1</v>
      </c>
      <c r="C24571">
        <v>102</v>
      </c>
      <c r="D24571">
        <v>1</v>
      </c>
    </row>
    <row r="24575" spans="2:4">
      <c r="B24575">
        <v>1</v>
      </c>
      <c r="C24575">
        <v>102</v>
      </c>
      <c r="D24575">
        <v>1</v>
      </c>
    </row>
    <row r="24576" spans="2:4">
      <c r="B24576">
        <v>1</v>
      </c>
      <c r="C24576">
        <v>102</v>
      </c>
      <c r="D24576">
        <v>1</v>
      </c>
    </row>
    <row r="24579" spans="2:4">
      <c r="B24579">
        <v>1</v>
      </c>
      <c r="C24579">
        <v>102</v>
      </c>
      <c r="D24579">
        <v>1</v>
      </c>
    </row>
    <row r="24581" spans="2:4">
      <c r="B24581">
        <v>1</v>
      </c>
      <c r="C24581">
        <v>102</v>
      </c>
      <c r="D24581">
        <v>1</v>
      </c>
    </row>
    <row r="24582" spans="2:4">
      <c r="B24582">
        <v>1</v>
      </c>
      <c r="C24582">
        <v>102</v>
      </c>
      <c r="D24582">
        <v>1</v>
      </c>
    </row>
    <row r="24585" spans="2:4">
      <c r="B24585">
        <v>1</v>
      </c>
      <c r="C24585">
        <v>102</v>
      </c>
      <c r="D24585">
        <v>1</v>
      </c>
    </row>
    <row r="24586" spans="2:4">
      <c r="B24586">
        <v>1</v>
      </c>
      <c r="C24586">
        <v>102</v>
      </c>
      <c r="D24586">
        <v>1</v>
      </c>
    </row>
    <row r="24588" spans="2:4">
      <c r="B24588">
        <v>1</v>
      </c>
      <c r="C24588">
        <v>102</v>
      </c>
      <c r="D24588">
        <v>1</v>
      </c>
    </row>
    <row r="24592" spans="2:4">
      <c r="B24592">
        <v>1</v>
      </c>
      <c r="C24592">
        <v>102</v>
      </c>
      <c r="D24592">
        <v>1</v>
      </c>
    </row>
    <row r="24593" spans="2:4">
      <c r="B24593">
        <v>1</v>
      </c>
      <c r="C24593">
        <v>102</v>
      </c>
      <c r="D24593">
        <v>1</v>
      </c>
    </row>
    <row r="24594" spans="2:4">
      <c r="B24594">
        <v>1</v>
      </c>
      <c r="C24594">
        <v>102</v>
      </c>
      <c r="D24594">
        <v>1</v>
      </c>
    </row>
    <row r="24595" spans="2:4">
      <c r="B24595">
        <v>1</v>
      </c>
      <c r="C24595">
        <v>102</v>
      </c>
      <c r="D24595">
        <v>1</v>
      </c>
    </row>
    <row r="24596" spans="2:4">
      <c r="B24596">
        <v>1</v>
      </c>
      <c r="C24596">
        <v>102</v>
      </c>
      <c r="D24596">
        <v>1</v>
      </c>
    </row>
    <row r="24603" spans="2:4">
      <c r="B24603">
        <v>1</v>
      </c>
      <c r="C24603">
        <v>102</v>
      </c>
      <c r="D24603">
        <v>1</v>
      </c>
    </row>
    <row r="24604" spans="2:4">
      <c r="B24604">
        <v>1</v>
      </c>
      <c r="C24604">
        <v>102</v>
      </c>
      <c r="D24604">
        <v>1</v>
      </c>
    </row>
    <row r="24605" spans="2:4">
      <c r="B24605">
        <v>1</v>
      </c>
      <c r="C24605">
        <v>102</v>
      </c>
      <c r="D24605">
        <v>1</v>
      </c>
    </row>
    <row r="24606" spans="2:4">
      <c r="B24606">
        <v>1</v>
      </c>
      <c r="C24606">
        <v>102</v>
      </c>
      <c r="D24606">
        <v>1</v>
      </c>
    </row>
    <row r="24611" spans="2:4">
      <c r="B24611">
        <v>1</v>
      </c>
      <c r="C24611">
        <v>102</v>
      </c>
      <c r="D24611">
        <v>1</v>
      </c>
    </row>
    <row r="24612" spans="2:4">
      <c r="B24612">
        <v>1</v>
      </c>
      <c r="C24612">
        <v>102</v>
      </c>
      <c r="D24612">
        <v>1</v>
      </c>
    </row>
    <row r="24614" spans="2:4">
      <c r="B24614">
        <v>1</v>
      </c>
      <c r="C24614">
        <v>102</v>
      </c>
      <c r="D24614">
        <v>1</v>
      </c>
    </row>
    <row r="24615" spans="2:4">
      <c r="B24615">
        <v>1</v>
      </c>
      <c r="C24615">
        <v>102</v>
      </c>
      <c r="D24615">
        <v>1</v>
      </c>
    </row>
    <row r="24617" spans="2:4">
      <c r="B24617">
        <v>1</v>
      </c>
      <c r="C24617">
        <v>102</v>
      </c>
      <c r="D24617">
        <v>1</v>
      </c>
    </row>
    <row r="24619" spans="2:4">
      <c r="B24619">
        <v>1</v>
      </c>
      <c r="C24619">
        <v>102</v>
      </c>
      <c r="D24619">
        <v>1</v>
      </c>
    </row>
    <row r="24622" spans="2:4">
      <c r="B24622">
        <v>1</v>
      </c>
      <c r="C24622">
        <v>102</v>
      </c>
      <c r="D24622">
        <v>1</v>
      </c>
    </row>
    <row r="24625" spans="2:4">
      <c r="B24625">
        <v>1</v>
      </c>
      <c r="C24625">
        <v>102</v>
      </c>
      <c r="D24625">
        <v>1</v>
      </c>
    </row>
    <row r="24627" spans="2:4">
      <c r="B24627">
        <v>1</v>
      </c>
      <c r="C24627">
        <v>102</v>
      </c>
      <c r="D24627">
        <v>1</v>
      </c>
    </row>
    <row r="24632" spans="2:4">
      <c r="B24632">
        <v>1</v>
      </c>
      <c r="C24632">
        <v>102</v>
      </c>
      <c r="D24632">
        <v>1</v>
      </c>
    </row>
    <row r="24633" spans="2:4">
      <c r="B24633">
        <v>1</v>
      </c>
      <c r="C24633">
        <v>102</v>
      </c>
      <c r="D24633">
        <v>1</v>
      </c>
    </row>
    <row r="24635" spans="2:4">
      <c r="B24635">
        <v>1</v>
      </c>
      <c r="C24635">
        <v>102</v>
      </c>
      <c r="D24635">
        <v>1</v>
      </c>
    </row>
    <row r="24637" spans="2:4">
      <c r="B24637">
        <v>1</v>
      </c>
      <c r="C24637">
        <v>102</v>
      </c>
      <c r="D24637">
        <v>1</v>
      </c>
    </row>
    <row r="24642" spans="2:4">
      <c r="B24642">
        <v>1</v>
      </c>
      <c r="C24642">
        <v>102</v>
      </c>
      <c r="D24642">
        <v>1</v>
      </c>
    </row>
    <row r="24643" spans="2:4">
      <c r="B24643">
        <v>1</v>
      </c>
      <c r="C24643">
        <v>102</v>
      </c>
      <c r="D24643">
        <v>1</v>
      </c>
    </row>
    <row r="24647" spans="2:4">
      <c r="B24647">
        <v>1</v>
      </c>
      <c r="C24647">
        <v>102</v>
      </c>
      <c r="D24647">
        <v>1</v>
      </c>
    </row>
    <row r="24648" spans="2:4">
      <c r="B24648">
        <v>1</v>
      </c>
      <c r="C24648">
        <v>102</v>
      </c>
      <c r="D24648">
        <v>1</v>
      </c>
    </row>
    <row r="24651" spans="2:4">
      <c r="B24651">
        <v>1</v>
      </c>
      <c r="C24651">
        <v>102</v>
      </c>
      <c r="D24651">
        <v>1</v>
      </c>
    </row>
    <row r="24656" spans="2:4">
      <c r="B24656">
        <v>1</v>
      </c>
      <c r="C24656">
        <v>102</v>
      </c>
      <c r="D24656">
        <v>1</v>
      </c>
    </row>
    <row r="24657" spans="2:4">
      <c r="B24657">
        <v>1</v>
      </c>
      <c r="C24657">
        <v>102</v>
      </c>
      <c r="D24657">
        <v>1</v>
      </c>
    </row>
    <row r="24658" spans="2:4">
      <c r="B24658">
        <v>1</v>
      </c>
      <c r="C24658">
        <v>102</v>
      </c>
      <c r="D24658">
        <v>1</v>
      </c>
    </row>
    <row r="24659" spans="2:4">
      <c r="B24659">
        <v>1</v>
      </c>
      <c r="C24659">
        <v>102</v>
      </c>
      <c r="D24659">
        <v>1</v>
      </c>
    </row>
    <row r="24660" spans="2:4">
      <c r="B24660">
        <v>1</v>
      </c>
      <c r="C24660">
        <v>102</v>
      </c>
      <c r="D24660">
        <v>1</v>
      </c>
    </row>
    <row r="24661" spans="2:4">
      <c r="B24661">
        <v>1</v>
      </c>
      <c r="C24661">
        <v>102</v>
      </c>
      <c r="D24661">
        <v>1</v>
      </c>
    </row>
    <row r="24662" spans="2:4">
      <c r="B24662">
        <v>1</v>
      </c>
      <c r="C24662">
        <v>102</v>
      </c>
      <c r="D24662">
        <v>1</v>
      </c>
    </row>
    <row r="24663" spans="2:4">
      <c r="B24663">
        <v>1</v>
      </c>
      <c r="C24663">
        <v>102</v>
      </c>
      <c r="D24663">
        <v>1</v>
      </c>
    </row>
    <row r="24665" spans="2:4">
      <c r="B24665">
        <v>1</v>
      </c>
      <c r="C24665">
        <v>102</v>
      </c>
      <c r="D24665">
        <v>1</v>
      </c>
    </row>
    <row r="24666" spans="2:4">
      <c r="B24666">
        <v>1</v>
      </c>
      <c r="C24666">
        <v>102</v>
      </c>
      <c r="D24666">
        <v>1</v>
      </c>
    </row>
    <row r="24668" spans="2:4">
      <c r="B24668">
        <v>1</v>
      </c>
      <c r="C24668">
        <v>102</v>
      </c>
      <c r="D24668">
        <v>1</v>
      </c>
    </row>
    <row r="24669" spans="2:4">
      <c r="B24669">
        <v>1</v>
      </c>
      <c r="C24669">
        <v>102</v>
      </c>
      <c r="D24669">
        <v>1</v>
      </c>
    </row>
    <row r="24670" spans="2:4">
      <c r="B24670">
        <v>1</v>
      </c>
      <c r="C24670">
        <v>102</v>
      </c>
      <c r="D24670">
        <v>1</v>
      </c>
    </row>
    <row r="24672" spans="2:4">
      <c r="B24672">
        <v>1</v>
      </c>
      <c r="C24672">
        <v>102</v>
      </c>
      <c r="D24672">
        <v>1</v>
      </c>
    </row>
    <row r="24675" spans="2:4">
      <c r="B24675">
        <v>1</v>
      </c>
      <c r="C24675">
        <v>102</v>
      </c>
      <c r="D24675">
        <v>1</v>
      </c>
    </row>
    <row r="24676" spans="2:4">
      <c r="B24676">
        <v>1</v>
      </c>
      <c r="C24676">
        <v>102</v>
      </c>
      <c r="D24676">
        <v>1</v>
      </c>
    </row>
    <row r="24678" spans="2:4">
      <c r="B24678">
        <v>1</v>
      </c>
      <c r="C24678">
        <v>102</v>
      </c>
      <c r="D24678">
        <v>1</v>
      </c>
    </row>
    <row r="24679" spans="2:4">
      <c r="B24679">
        <v>1</v>
      </c>
      <c r="C24679">
        <v>102</v>
      </c>
      <c r="D24679">
        <v>1</v>
      </c>
    </row>
    <row r="24682" spans="2:4">
      <c r="B24682">
        <v>1</v>
      </c>
      <c r="C24682">
        <v>102</v>
      </c>
      <c r="D24682">
        <v>1</v>
      </c>
    </row>
    <row r="24683" spans="2:4">
      <c r="B24683">
        <v>1</v>
      </c>
      <c r="C24683">
        <v>102</v>
      </c>
      <c r="D24683">
        <v>1</v>
      </c>
    </row>
    <row r="24684" spans="2:4">
      <c r="B24684">
        <v>1</v>
      </c>
      <c r="C24684">
        <v>102</v>
      </c>
      <c r="D24684">
        <v>1</v>
      </c>
    </row>
    <row r="24685" spans="2:4">
      <c r="B24685">
        <v>1</v>
      </c>
      <c r="C24685">
        <v>102</v>
      </c>
      <c r="D24685">
        <v>1</v>
      </c>
    </row>
    <row r="24693" spans="2:4">
      <c r="B24693">
        <v>1</v>
      </c>
      <c r="C24693">
        <v>102</v>
      </c>
      <c r="D24693">
        <v>1</v>
      </c>
    </row>
    <row r="24695" spans="2:4">
      <c r="B24695">
        <v>1</v>
      </c>
      <c r="C24695">
        <v>102</v>
      </c>
      <c r="D24695">
        <v>1</v>
      </c>
    </row>
    <row r="24696" spans="2:4">
      <c r="B24696">
        <v>1</v>
      </c>
      <c r="C24696">
        <v>102</v>
      </c>
      <c r="D24696">
        <v>1</v>
      </c>
    </row>
    <row r="24697" spans="2:4">
      <c r="B24697">
        <v>1</v>
      </c>
      <c r="C24697">
        <v>102</v>
      </c>
      <c r="D24697">
        <v>1</v>
      </c>
    </row>
    <row r="24705" spans="2:4">
      <c r="B24705">
        <v>1</v>
      </c>
      <c r="C24705">
        <v>102</v>
      </c>
      <c r="D24705">
        <v>1</v>
      </c>
    </row>
    <row r="24706" spans="2:4">
      <c r="B24706">
        <v>1</v>
      </c>
      <c r="C24706">
        <v>102</v>
      </c>
      <c r="D24706">
        <v>1</v>
      </c>
    </row>
    <row r="24712" spans="2:4">
      <c r="B24712">
        <v>1</v>
      </c>
      <c r="C24712">
        <v>102</v>
      </c>
      <c r="D24712">
        <v>1</v>
      </c>
    </row>
    <row r="24717" spans="2:4">
      <c r="B24717">
        <v>1</v>
      </c>
      <c r="C24717">
        <v>102</v>
      </c>
      <c r="D24717">
        <v>1</v>
      </c>
    </row>
    <row r="24718" spans="2:4">
      <c r="B24718">
        <v>1</v>
      </c>
      <c r="C24718">
        <v>102</v>
      </c>
      <c r="D24718">
        <v>1</v>
      </c>
    </row>
    <row r="24719" spans="2:4">
      <c r="B24719">
        <v>1</v>
      </c>
      <c r="C24719">
        <v>102</v>
      </c>
      <c r="D24719">
        <v>1</v>
      </c>
    </row>
    <row r="24725" spans="2:4">
      <c r="B24725">
        <v>1</v>
      </c>
      <c r="C24725">
        <v>102</v>
      </c>
      <c r="D24725">
        <v>1</v>
      </c>
    </row>
    <row r="24726" spans="2:4">
      <c r="B24726">
        <v>1</v>
      </c>
      <c r="C24726">
        <v>102</v>
      </c>
      <c r="D24726">
        <v>1</v>
      </c>
    </row>
    <row r="24727" spans="2:4">
      <c r="B24727">
        <v>1</v>
      </c>
      <c r="C24727">
        <v>102</v>
      </c>
      <c r="D24727">
        <v>1</v>
      </c>
    </row>
    <row r="24730" spans="2:4">
      <c r="B24730">
        <v>1</v>
      </c>
      <c r="C24730">
        <v>102</v>
      </c>
      <c r="D24730">
        <v>1</v>
      </c>
    </row>
    <row r="24737" spans="2:4">
      <c r="B24737">
        <v>1</v>
      </c>
      <c r="C24737">
        <v>102</v>
      </c>
      <c r="D24737">
        <v>1</v>
      </c>
    </row>
    <row r="24748" spans="2:4">
      <c r="B24748">
        <v>1</v>
      </c>
      <c r="C24748">
        <v>102</v>
      </c>
      <c r="D24748">
        <v>1</v>
      </c>
    </row>
    <row r="24749" spans="2:4">
      <c r="B24749">
        <v>1</v>
      </c>
      <c r="C24749">
        <v>102</v>
      </c>
      <c r="D24749">
        <v>1</v>
      </c>
    </row>
    <row r="24751" spans="2:4">
      <c r="B24751">
        <v>1</v>
      </c>
      <c r="C24751">
        <v>102</v>
      </c>
      <c r="D24751">
        <v>1</v>
      </c>
    </row>
    <row r="24752" spans="2:4">
      <c r="B24752">
        <v>1</v>
      </c>
      <c r="C24752">
        <v>102</v>
      </c>
      <c r="D24752">
        <v>1</v>
      </c>
    </row>
    <row r="24754" spans="2:4">
      <c r="B24754">
        <v>1</v>
      </c>
      <c r="C24754">
        <v>102</v>
      </c>
      <c r="D24754">
        <v>1</v>
      </c>
    </row>
    <row r="24756" spans="2:4">
      <c r="B24756">
        <v>1</v>
      </c>
      <c r="C24756">
        <v>102</v>
      </c>
      <c r="D24756">
        <v>1</v>
      </c>
    </row>
    <row r="24757" spans="2:4">
      <c r="B24757">
        <v>1</v>
      </c>
      <c r="C24757">
        <v>102</v>
      </c>
      <c r="D24757">
        <v>1</v>
      </c>
    </row>
    <row r="24764" spans="2:4">
      <c r="B24764">
        <v>1</v>
      </c>
      <c r="C24764">
        <v>102</v>
      </c>
      <c r="D24764">
        <v>1</v>
      </c>
    </row>
    <row r="24766" spans="2:4">
      <c r="B24766">
        <v>1</v>
      </c>
      <c r="C24766">
        <v>102</v>
      </c>
      <c r="D24766">
        <v>1</v>
      </c>
    </row>
    <row r="24767" spans="2:4">
      <c r="B24767">
        <v>1</v>
      </c>
      <c r="C24767">
        <v>102</v>
      </c>
      <c r="D24767">
        <v>1</v>
      </c>
    </row>
    <row r="24768" spans="2:4">
      <c r="B24768">
        <v>1</v>
      </c>
      <c r="C24768">
        <v>102</v>
      </c>
      <c r="D24768">
        <v>1</v>
      </c>
    </row>
    <row r="24769" spans="2:4">
      <c r="B24769">
        <v>1</v>
      </c>
      <c r="C24769">
        <v>102</v>
      </c>
      <c r="D24769">
        <v>1</v>
      </c>
    </row>
    <row r="24772" spans="2:4">
      <c r="B24772">
        <v>1</v>
      </c>
      <c r="C24772">
        <v>102</v>
      </c>
      <c r="D24772">
        <v>1</v>
      </c>
    </row>
    <row r="24773" spans="2:4">
      <c r="B24773">
        <v>1</v>
      </c>
      <c r="C24773">
        <v>102</v>
      </c>
      <c r="D24773">
        <v>1</v>
      </c>
    </row>
    <row r="24774" spans="2:4">
      <c r="B24774">
        <v>1</v>
      </c>
      <c r="C24774">
        <v>102</v>
      </c>
      <c r="D24774">
        <v>1</v>
      </c>
    </row>
    <row r="24778" spans="2:4">
      <c r="B24778">
        <v>1</v>
      </c>
      <c r="C24778">
        <v>102</v>
      </c>
      <c r="D24778">
        <v>1</v>
      </c>
    </row>
    <row r="24780" spans="2:4">
      <c r="B24780">
        <v>1</v>
      </c>
      <c r="C24780">
        <v>102</v>
      </c>
      <c r="D24780">
        <v>1</v>
      </c>
    </row>
    <row r="24782" spans="2:4">
      <c r="B24782">
        <v>1</v>
      </c>
      <c r="C24782">
        <v>102</v>
      </c>
      <c r="D24782">
        <v>1</v>
      </c>
    </row>
    <row r="24783" spans="2:4">
      <c r="B24783">
        <v>1</v>
      </c>
      <c r="C24783">
        <v>102</v>
      </c>
      <c r="D24783">
        <v>1</v>
      </c>
    </row>
    <row r="24792" spans="2:4">
      <c r="B24792">
        <v>1</v>
      </c>
      <c r="C24792">
        <v>102</v>
      </c>
      <c r="D24792">
        <v>1</v>
      </c>
    </row>
    <row r="24799" spans="2:4">
      <c r="B24799">
        <v>1</v>
      </c>
      <c r="C24799">
        <v>102</v>
      </c>
      <c r="D24799">
        <v>1</v>
      </c>
    </row>
    <row r="24801" spans="2:4">
      <c r="B24801">
        <v>1</v>
      </c>
      <c r="C24801">
        <v>102</v>
      </c>
      <c r="D24801">
        <v>1</v>
      </c>
    </row>
    <row r="24802" spans="2:4">
      <c r="B24802">
        <v>1</v>
      </c>
      <c r="C24802">
        <v>102</v>
      </c>
      <c r="D24802">
        <v>1</v>
      </c>
    </row>
    <row r="24805" spans="2:4">
      <c r="B24805">
        <v>1</v>
      </c>
      <c r="C24805">
        <v>102</v>
      </c>
      <c r="D24805">
        <v>1</v>
      </c>
    </row>
    <row r="24808" spans="2:4">
      <c r="B24808">
        <v>1</v>
      </c>
      <c r="C24808">
        <v>102</v>
      </c>
      <c r="D24808">
        <v>1</v>
      </c>
    </row>
    <row r="24809" spans="2:4">
      <c r="B24809">
        <v>1</v>
      </c>
      <c r="C24809">
        <v>102</v>
      </c>
      <c r="D24809">
        <v>1</v>
      </c>
    </row>
    <row r="24815" spans="2:4">
      <c r="B24815">
        <v>1</v>
      </c>
      <c r="C24815">
        <v>102</v>
      </c>
      <c r="D24815">
        <v>1</v>
      </c>
    </row>
    <row r="24816" spans="2:4">
      <c r="B24816">
        <v>1</v>
      </c>
      <c r="C24816">
        <v>102</v>
      </c>
      <c r="D24816">
        <v>1</v>
      </c>
    </row>
    <row r="24822" spans="2:4">
      <c r="B24822">
        <v>1</v>
      </c>
      <c r="C24822">
        <v>102</v>
      </c>
      <c r="D24822">
        <v>1</v>
      </c>
    </row>
    <row r="24826" spans="2:4">
      <c r="B24826">
        <v>1</v>
      </c>
      <c r="C24826">
        <v>102</v>
      </c>
      <c r="D24826">
        <v>1</v>
      </c>
    </row>
    <row r="24827" spans="2:4">
      <c r="B24827">
        <v>1</v>
      </c>
      <c r="C24827">
        <v>102</v>
      </c>
      <c r="D24827">
        <v>1</v>
      </c>
    </row>
    <row r="24831" spans="2:4">
      <c r="B24831">
        <v>1</v>
      </c>
      <c r="C24831">
        <v>102</v>
      </c>
      <c r="D24831">
        <v>1</v>
      </c>
    </row>
    <row r="24832" spans="2:4">
      <c r="B24832">
        <v>1</v>
      </c>
      <c r="C24832">
        <v>102</v>
      </c>
      <c r="D24832">
        <v>1</v>
      </c>
    </row>
    <row r="24835" spans="2:4">
      <c r="B24835">
        <v>1</v>
      </c>
      <c r="C24835">
        <v>102</v>
      </c>
      <c r="D24835">
        <v>1</v>
      </c>
    </row>
    <row r="24837" spans="2:4">
      <c r="B24837">
        <v>1</v>
      </c>
      <c r="C24837">
        <v>102</v>
      </c>
      <c r="D24837">
        <v>1</v>
      </c>
    </row>
    <row r="24838" spans="2:4">
      <c r="B24838">
        <v>1</v>
      </c>
      <c r="C24838">
        <v>102</v>
      </c>
      <c r="D24838">
        <v>1</v>
      </c>
    </row>
    <row r="24841" spans="2:4">
      <c r="B24841">
        <v>1</v>
      </c>
      <c r="C24841">
        <v>102</v>
      </c>
      <c r="D24841">
        <v>1</v>
      </c>
    </row>
    <row r="24842" spans="2:4">
      <c r="B24842">
        <v>1</v>
      </c>
      <c r="C24842">
        <v>102</v>
      </c>
      <c r="D24842">
        <v>1</v>
      </c>
    </row>
    <row r="24844" spans="2:4">
      <c r="B24844">
        <v>1</v>
      </c>
      <c r="C24844">
        <v>102</v>
      </c>
      <c r="D24844">
        <v>1</v>
      </c>
    </row>
    <row r="24848" spans="2:4">
      <c r="B24848">
        <v>1</v>
      </c>
      <c r="C24848">
        <v>102</v>
      </c>
      <c r="D24848">
        <v>1</v>
      </c>
    </row>
    <row r="24849" spans="2:4">
      <c r="B24849">
        <v>1</v>
      </c>
      <c r="C24849">
        <v>102</v>
      </c>
      <c r="D24849">
        <v>1</v>
      </c>
    </row>
    <row r="24854" spans="2:4">
      <c r="B24854">
        <v>1</v>
      </c>
      <c r="C24854">
        <v>102</v>
      </c>
      <c r="D24854">
        <v>1</v>
      </c>
    </row>
    <row r="24855" spans="2:4">
      <c r="B24855">
        <v>1</v>
      </c>
      <c r="C24855">
        <v>102</v>
      </c>
      <c r="D24855">
        <v>1</v>
      </c>
    </row>
    <row r="24857" spans="2:4">
      <c r="B24857">
        <v>1</v>
      </c>
      <c r="C24857">
        <v>102</v>
      </c>
      <c r="D24857">
        <v>1</v>
      </c>
    </row>
    <row r="24858" spans="2:4">
      <c r="B24858">
        <v>1</v>
      </c>
      <c r="C24858">
        <v>102</v>
      </c>
      <c r="D24858">
        <v>1</v>
      </c>
    </row>
    <row r="24859" spans="2:4">
      <c r="B24859">
        <v>1</v>
      </c>
      <c r="C24859">
        <v>102</v>
      </c>
      <c r="D24859">
        <v>1</v>
      </c>
    </row>
    <row r="24862" spans="2:4">
      <c r="B24862">
        <v>1</v>
      </c>
      <c r="C24862">
        <v>102</v>
      </c>
      <c r="D24862">
        <v>1</v>
      </c>
    </row>
    <row r="24864" spans="2:4">
      <c r="B24864">
        <v>1</v>
      </c>
      <c r="C24864">
        <v>102</v>
      </c>
      <c r="D24864">
        <v>1</v>
      </c>
    </row>
    <row r="24867" spans="2:4">
      <c r="B24867">
        <v>1</v>
      </c>
      <c r="C24867">
        <v>102</v>
      </c>
      <c r="D24867">
        <v>1</v>
      </c>
    </row>
    <row r="24868" spans="2:4">
      <c r="B24868">
        <v>1</v>
      </c>
      <c r="C24868">
        <v>102</v>
      </c>
      <c r="D24868">
        <v>1</v>
      </c>
    </row>
    <row r="24870" spans="2:4">
      <c r="B24870">
        <v>1</v>
      </c>
      <c r="C24870">
        <v>102</v>
      </c>
      <c r="D24870">
        <v>1</v>
      </c>
    </row>
    <row r="24874" spans="2:4">
      <c r="B24874">
        <v>1</v>
      </c>
      <c r="C24874">
        <v>102</v>
      </c>
      <c r="D24874">
        <v>1</v>
      </c>
    </row>
    <row r="24885" spans="2:4">
      <c r="B24885">
        <v>1</v>
      </c>
      <c r="C24885">
        <v>102</v>
      </c>
      <c r="D24885">
        <v>1</v>
      </c>
    </row>
    <row r="24887" spans="2:4">
      <c r="B24887">
        <v>1</v>
      </c>
      <c r="C24887">
        <v>102</v>
      </c>
      <c r="D24887">
        <v>1</v>
      </c>
    </row>
    <row r="24889" spans="2:4">
      <c r="B24889">
        <v>1</v>
      </c>
      <c r="C24889">
        <v>102</v>
      </c>
      <c r="D24889">
        <v>1</v>
      </c>
    </row>
    <row r="24898" spans="2:4">
      <c r="B24898">
        <v>1</v>
      </c>
      <c r="C24898">
        <v>102</v>
      </c>
      <c r="D24898">
        <v>1</v>
      </c>
    </row>
    <row r="24904" spans="2:4">
      <c r="B24904">
        <v>1</v>
      </c>
      <c r="C24904">
        <v>102</v>
      </c>
      <c r="D24904">
        <v>1</v>
      </c>
    </row>
    <row r="24909" spans="2:4">
      <c r="B24909">
        <v>1</v>
      </c>
      <c r="C24909">
        <v>102</v>
      </c>
      <c r="D24909">
        <v>1</v>
      </c>
    </row>
    <row r="24910" spans="2:4">
      <c r="B24910">
        <v>1</v>
      </c>
      <c r="C24910">
        <v>102</v>
      </c>
      <c r="D24910">
        <v>1</v>
      </c>
    </row>
    <row r="24917" spans="2:4">
      <c r="B24917">
        <v>1</v>
      </c>
      <c r="C24917">
        <v>102</v>
      </c>
      <c r="D24917">
        <v>1</v>
      </c>
    </row>
    <row r="24922" spans="2:4">
      <c r="B24922">
        <v>1</v>
      </c>
      <c r="C24922">
        <v>102</v>
      </c>
      <c r="D24922">
        <v>1</v>
      </c>
    </row>
    <row r="24929" spans="2:4">
      <c r="B24929">
        <v>1</v>
      </c>
      <c r="C24929">
        <v>102</v>
      </c>
      <c r="D24929">
        <v>1</v>
      </c>
    </row>
    <row r="24940" spans="2:4">
      <c r="B24940">
        <v>1</v>
      </c>
      <c r="C24940">
        <v>102</v>
      </c>
      <c r="D24940">
        <v>1</v>
      </c>
    </row>
    <row r="24941" spans="2:4">
      <c r="B24941">
        <v>1</v>
      </c>
      <c r="C24941">
        <v>102</v>
      </c>
      <c r="D24941">
        <v>1</v>
      </c>
    </row>
    <row r="24944" spans="2:4">
      <c r="B24944">
        <v>1</v>
      </c>
      <c r="C24944">
        <v>102</v>
      </c>
      <c r="D24944">
        <v>1</v>
      </c>
    </row>
    <row r="24946" spans="2:4">
      <c r="B24946">
        <v>1</v>
      </c>
      <c r="C24946">
        <v>102</v>
      </c>
      <c r="D24946">
        <v>1</v>
      </c>
    </row>
    <row r="24948" spans="2:4">
      <c r="B24948">
        <v>1</v>
      </c>
      <c r="C24948">
        <v>102</v>
      </c>
      <c r="D24948">
        <v>1</v>
      </c>
    </row>
    <row r="24956" spans="2:4">
      <c r="B24956">
        <v>1</v>
      </c>
      <c r="C24956">
        <v>102</v>
      </c>
      <c r="D24956">
        <v>1</v>
      </c>
    </row>
    <row r="24958" spans="2:4">
      <c r="B24958">
        <v>1</v>
      </c>
      <c r="C24958">
        <v>102</v>
      </c>
      <c r="D24958">
        <v>1</v>
      </c>
    </row>
    <row r="24959" spans="2:4">
      <c r="B24959">
        <v>1</v>
      </c>
      <c r="C24959">
        <v>102</v>
      </c>
      <c r="D24959">
        <v>1</v>
      </c>
    </row>
    <row r="24960" spans="2:4">
      <c r="B24960">
        <v>1</v>
      </c>
      <c r="C24960">
        <v>102</v>
      </c>
      <c r="D24960">
        <v>1</v>
      </c>
    </row>
    <row r="24961" spans="2:4">
      <c r="B24961">
        <v>1</v>
      </c>
      <c r="C24961">
        <v>102</v>
      </c>
      <c r="D24961">
        <v>1</v>
      </c>
    </row>
    <row r="24964" spans="2:4">
      <c r="B24964">
        <v>1</v>
      </c>
      <c r="C24964">
        <v>102</v>
      </c>
      <c r="D24964">
        <v>1</v>
      </c>
    </row>
    <row r="24965" spans="2:4">
      <c r="B24965">
        <v>1</v>
      </c>
      <c r="C24965">
        <v>102</v>
      </c>
      <c r="D24965">
        <v>1</v>
      </c>
    </row>
    <row r="24966" spans="2:4">
      <c r="B24966">
        <v>1</v>
      </c>
      <c r="C24966">
        <v>102</v>
      </c>
      <c r="D24966">
        <v>1</v>
      </c>
    </row>
    <row r="24968" spans="2:4">
      <c r="B24968">
        <v>1</v>
      </c>
      <c r="C24968">
        <v>102</v>
      </c>
      <c r="D24968">
        <v>1</v>
      </c>
    </row>
    <row r="24970" spans="2:4">
      <c r="B24970">
        <v>1</v>
      </c>
      <c r="C24970">
        <v>102</v>
      </c>
      <c r="D24970">
        <v>1</v>
      </c>
    </row>
    <row r="24973" spans="2:4">
      <c r="B24973">
        <v>1</v>
      </c>
      <c r="C24973">
        <v>102</v>
      </c>
      <c r="D24973">
        <v>1</v>
      </c>
    </row>
    <row r="24975" spans="2:4">
      <c r="B24975">
        <v>1</v>
      </c>
      <c r="C24975">
        <v>102</v>
      </c>
      <c r="D24975">
        <v>1</v>
      </c>
    </row>
    <row r="24984" spans="2:4">
      <c r="B24984">
        <v>1</v>
      </c>
      <c r="C24984">
        <v>102</v>
      </c>
      <c r="D24984">
        <v>1</v>
      </c>
    </row>
    <row r="24991" spans="2:4">
      <c r="B24991">
        <v>1</v>
      </c>
      <c r="C24991">
        <v>102</v>
      </c>
      <c r="D24991">
        <v>1</v>
      </c>
    </row>
    <row r="24993" spans="2:4">
      <c r="B24993">
        <v>1</v>
      </c>
      <c r="C24993">
        <v>102</v>
      </c>
      <c r="D24993">
        <v>1</v>
      </c>
    </row>
    <row r="24994" spans="2:4">
      <c r="B24994">
        <v>1</v>
      </c>
      <c r="C24994">
        <v>102</v>
      </c>
      <c r="D24994">
        <v>1</v>
      </c>
    </row>
    <row r="24997" spans="2:4">
      <c r="B24997">
        <v>1</v>
      </c>
      <c r="C24997">
        <v>102</v>
      </c>
      <c r="D24997">
        <v>1</v>
      </c>
    </row>
    <row r="25000" spans="2:4">
      <c r="B25000">
        <v>1</v>
      </c>
      <c r="C25000">
        <v>102</v>
      </c>
      <c r="D25000">
        <v>1</v>
      </c>
    </row>
    <row r="25001" spans="2:4">
      <c r="B25001">
        <v>1</v>
      </c>
      <c r="C25001">
        <v>102</v>
      </c>
      <c r="D25001">
        <v>1</v>
      </c>
    </row>
    <row r="25005" spans="2:4">
      <c r="B25005">
        <v>1</v>
      </c>
      <c r="C25005">
        <v>102</v>
      </c>
      <c r="D25005">
        <v>1</v>
      </c>
    </row>
    <row r="25007" spans="2:4">
      <c r="B25007">
        <v>1</v>
      </c>
      <c r="C25007">
        <v>102</v>
      </c>
      <c r="D25007">
        <v>1</v>
      </c>
    </row>
    <row r="25014" spans="2:4">
      <c r="B25014">
        <v>1</v>
      </c>
      <c r="C25014">
        <v>102</v>
      </c>
      <c r="D25014">
        <v>1</v>
      </c>
    </row>
    <row r="25018" spans="2:4">
      <c r="B25018">
        <v>1</v>
      </c>
      <c r="C25018">
        <v>102</v>
      </c>
      <c r="D25018">
        <v>1</v>
      </c>
    </row>
    <row r="25019" spans="2:4">
      <c r="B25019">
        <v>1</v>
      </c>
      <c r="C25019">
        <v>102</v>
      </c>
      <c r="D25019">
        <v>1</v>
      </c>
    </row>
    <row r="25022" spans="2:4">
      <c r="B25022">
        <v>1</v>
      </c>
      <c r="C25022">
        <v>102</v>
      </c>
      <c r="D25022">
        <v>1</v>
      </c>
    </row>
    <row r="25028" spans="2:4">
      <c r="B25028">
        <v>1</v>
      </c>
      <c r="C25028">
        <v>102</v>
      </c>
      <c r="D25028">
        <v>1</v>
      </c>
    </row>
    <row r="25033" spans="2:4">
      <c r="B25033">
        <v>1</v>
      </c>
      <c r="C25033">
        <v>102</v>
      </c>
      <c r="D25033">
        <v>1</v>
      </c>
    </row>
    <row r="25036" spans="2:4">
      <c r="B25036">
        <v>1</v>
      </c>
      <c r="C25036">
        <v>102</v>
      </c>
      <c r="D25036">
        <v>1</v>
      </c>
    </row>
    <row r="25039" spans="2:4">
      <c r="B25039">
        <v>1</v>
      </c>
      <c r="C25039">
        <v>102</v>
      </c>
      <c r="D25039">
        <v>1</v>
      </c>
    </row>
    <row r="25041" spans="2:4">
      <c r="B25041">
        <v>1</v>
      </c>
      <c r="C25041">
        <v>102</v>
      </c>
      <c r="D25041">
        <v>1</v>
      </c>
    </row>
    <row r="25042" spans="2:4">
      <c r="B25042">
        <v>1</v>
      </c>
      <c r="C25042">
        <v>102</v>
      </c>
      <c r="D25042">
        <v>1</v>
      </c>
    </row>
    <row r="25043" spans="2:4">
      <c r="B25043">
        <v>1</v>
      </c>
      <c r="C25043">
        <v>102</v>
      </c>
      <c r="D25043">
        <v>1</v>
      </c>
    </row>
    <row r="25044" spans="2:4">
      <c r="B25044">
        <v>1</v>
      </c>
      <c r="C25044">
        <v>102</v>
      </c>
      <c r="D25044">
        <v>1</v>
      </c>
    </row>
    <row r="25051" spans="2:4">
      <c r="B25051">
        <v>1</v>
      </c>
      <c r="C25051">
        <v>102</v>
      </c>
      <c r="D25051">
        <v>1</v>
      </c>
    </row>
    <row r="25052" spans="2:4">
      <c r="B25052">
        <v>1</v>
      </c>
      <c r="C25052">
        <v>102</v>
      </c>
      <c r="D25052">
        <v>1</v>
      </c>
    </row>
    <row r="25053" spans="2:4">
      <c r="B25053">
        <v>1</v>
      </c>
      <c r="C25053">
        <v>102</v>
      </c>
      <c r="D25053">
        <v>1</v>
      </c>
    </row>
    <row r="25054" spans="2:4">
      <c r="B25054">
        <v>1</v>
      </c>
      <c r="C25054">
        <v>102</v>
      </c>
      <c r="D25054">
        <v>1</v>
      </c>
    </row>
    <row r="25058" spans="2:4">
      <c r="B25058">
        <v>1</v>
      </c>
      <c r="C25058">
        <v>102</v>
      </c>
      <c r="D25058">
        <v>1</v>
      </c>
    </row>
    <row r="25060" spans="2:4">
      <c r="B25060">
        <v>1</v>
      </c>
      <c r="C25060">
        <v>102</v>
      </c>
      <c r="D25060">
        <v>1</v>
      </c>
    </row>
    <row r="25063" spans="2:4">
      <c r="B25063">
        <v>1</v>
      </c>
      <c r="C25063">
        <v>102</v>
      </c>
      <c r="D25063">
        <v>1</v>
      </c>
    </row>
    <row r="25064" spans="2:4">
      <c r="B25064">
        <v>1</v>
      </c>
      <c r="C25064">
        <v>102</v>
      </c>
      <c r="D25064">
        <v>1</v>
      </c>
    </row>
    <row r="25067" spans="2:4">
      <c r="B25067">
        <v>1</v>
      </c>
      <c r="C25067">
        <v>102</v>
      </c>
      <c r="D25067">
        <v>1</v>
      </c>
    </row>
    <row r="25070" spans="2:4">
      <c r="B25070">
        <v>1</v>
      </c>
      <c r="C25070">
        <v>102</v>
      </c>
      <c r="D25070">
        <v>1</v>
      </c>
    </row>
    <row r="25073" spans="2:4">
      <c r="B25073">
        <v>1</v>
      </c>
      <c r="C25073">
        <v>102</v>
      </c>
      <c r="D25073">
        <v>1</v>
      </c>
    </row>
    <row r="25075" spans="2:4">
      <c r="B25075">
        <v>1</v>
      </c>
      <c r="C25075">
        <v>102</v>
      </c>
      <c r="D25075">
        <v>1</v>
      </c>
    </row>
    <row r="25080" spans="2:4">
      <c r="B25080">
        <v>1</v>
      </c>
      <c r="C25080">
        <v>102</v>
      </c>
      <c r="D25080">
        <v>1</v>
      </c>
    </row>
    <row r="25081" spans="2:4">
      <c r="B25081">
        <v>1</v>
      </c>
      <c r="C25081">
        <v>102</v>
      </c>
      <c r="D25081">
        <v>1</v>
      </c>
    </row>
    <row r="25083" spans="2:4">
      <c r="B25083">
        <v>1</v>
      </c>
      <c r="C25083">
        <v>102</v>
      </c>
      <c r="D25083">
        <v>1</v>
      </c>
    </row>
    <row r="25085" spans="2:4">
      <c r="B25085">
        <v>1</v>
      </c>
      <c r="C25085">
        <v>102</v>
      </c>
      <c r="D25085">
        <v>1</v>
      </c>
    </row>
    <row r="25091" spans="2:4">
      <c r="B25091">
        <v>1</v>
      </c>
      <c r="C25091">
        <v>102</v>
      </c>
      <c r="D25091">
        <v>1</v>
      </c>
    </row>
    <row r="25095" spans="2:4">
      <c r="B25095">
        <v>1</v>
      </c>
      <c r="C25095">
        <v>102</v>
      </c>
      <c r="D25095">
        <v>1</v>
      </c>
    </row>
    <row r="25099" spans="2:4">
      <c r="B25099">
        <v>1</v>
      </c>
      <c r="C25099">
        <v>102</v>
      </c>
      <c r="D25099">
        <v>1</v>
      </c>
    </row>
    <row r="25104" spans="2:4">
      <c r="B25104">
        <v>1</v>
      </c>
      <c r="C25104">
        <v>102</v>
      </c>
      <c r="D25104">
        <v>1</v>
      </c>
    </row>
    <row r="25110" spans="2:4">
      <c r="B25110">
        <v>1</v>
      </c>
      <c r="C25110">
        <v>102</v>
      </c>
      <c r="D25110">
        <v>1</v>
      </c>
    </row>
    <row r="25111" spans="2:4">
      <c r="B25111">
        <v>1</v>
      </c>
      <c r="C25111">
        <v>102</v>
      </c>
      <c r="D25111">
        <v>1</v>
      </c>
    </row>
    <row r="25113" spans="2:4">
      <c r="B25113">
        <v>1</v>
      </c>
      <c r="C25113">
        <v>102</v>
      </c>
      <c r="D25113">
        <v>1</v>
      </c>
    </row>
    <row r="25114" spans="2:4">
      <c r="B25114">
        <v>1</v>
      </c>
      <c r="C25114">
        <v>102</v>
      </c>
      <c r="D25114">
        <v>1</v>
      </c>
    </row>
    <row r="25115" spans="2:4">
      <c r="B25115">
        <v>1</v>
      </c>
      <c r="C25115">
        <v>102</v>
      </c>
      <c r="D25115">
        <v>1</v>
      </c>
    </row>
    <row r="25118" spans="2:4">
      <c r="B25118">
        <v>1</v>
      </c>
      <c r="C25118">
        <v>102</v>
      </c>
      <c r="D25118">
        <v>1</v>
      </c>
    </row>
    <row r="25120" spans="2:4">
      <c r="B25120">
        <v>1</v>
      </c>
      <c r="C25120">
        <v>102</v>
      </c>
      <c r="D25120">
        <v>1</v>
      </c>
    </row>
    <row r="25123" spans="2:4">
      <c r="B25123">
        <v>1</v>
      </c>
      <c r="C25123">
        <v>102</v>
      </c>
      <c r="D25123">
        <v>1</v>
      </c>
    </row>
    <row r="25124" spans="2:4">
      <c r="B25124">
        <v>1</v>
      </c>
      <c r="C25124">
        <v>102</v>
      </c>
      <c r="D25124">
        <v>1</v>
      </c>
    </row>
    <row r="25126" spans="2:4">
      <c r="B25126">
        <v>1</v>
      </c>
      <c r="C25126">
        <v>102</v>
      </c>
      <c r="D25126">
        <v>1</v>
      </c>
    </row>
    <row r="25130" spans="2:4">
      <c r="B25130">
        <v>1</v>
      </c>
      <c r="C25130">
        <v>102</v>
      </c>
      <c r="D25130">
        <v>1</v>
      </c>
    </row>
    <row r="25141" spans="2:4">
      <c r="B25141">
        <v>1</v>
      </c>
      <c r="C25141">
        <v>102</v>
      </c>
      <c r="D25141">
        <v>1</v>
      </c>
    </row>
    <row r="25143" spans="2:4">
      <c r="B25143">
        <v>1</v>
      </c>
      <c r="C25143">
        <v>102</v>
      </c>
      <c r="D25143">
        <v>1</v>
      </c>
    </row>
    <row r="25145" spans="2:4">
      <c r="B25145">
        <v>1</v>
      </c>
      <c r="C25145">
        <v>102</v>
      </c>
      <c r="D25145">
        <v>1</v>
      </c>
    </row>
    <row r="25154" spans="2:4">
      <c r="B25154">
        <v>1</v>
      </c>
      <c r="C25154">
        <v>102</v>
      </c>
      <c r="D25154">
        <v>1</v>
      </c>
    </row>
    <row r="25160" spans="2:4">
      <c r="B25160">
        <v>1</v>
      </c>
      <c r="C25160">
        <v>102</v>
      </c>
      <c r="D25160">
        <v>1</v>
      </c>
    </row>
    <row r="25165" spans="2:4">
      <c r="B25165">
        <v>1</v>
      </c>
      <c r="C25165">
        <v>102</v>
      </c>
      <c r="D25165">
        <v>1</v>
      </c>
    </row>
    <row r="25166" spans="2:4">
      <c r="B25166">
        <v>1</v>
      </c>
      <c r="C25166">
        <v>102</v>
      </c>
      <c r="D25166">
        <v>1</v>
      </c>
    </row>
    <row r="25173" spans="2:4">
      <c r="B25173">
        <v>1</v>
      </c>
      <c r="C25173">
        <v>102</v>
      </c>
      <c r="D25173">
        <v>1</v>
      </c>
    </row>
    <row r="25178" spans="2:4">
      <c r="B25178">
        <v>1</v>
      </c>
      <c r="C25178">
        <v>102</v>
      </c>
      <c r="D25178">
        <v>1</v>
      </c>
    </row>
    <row r="25185" spans="2:4">
      <c r="B25185">
        <v>1</v>
      </c>
      <c r="C25185">
        <v>102</v>
      </c>
      <c r="D25185">
        <v>1</v>
      </c>
    </row>
    <row r="25196" spans="2:4">
      <c r="B25196">
        <v>1</v>
      </c>
      <c r="C25196">
        <v>102</v>
      </c>
      <c r="D25196">
        <v>1</v>
      </c>
    </row>
    <row r="25197" spans="2:4">
      <c r="B25197">
        <v>1</v>
      </c>
      <c r="C25197">
        <v>102</v>
      </c>
      <c r="D25197">
        <v>1</v>
      </c>
    </row>
    <row r="25200" spans="2:4">
      <c r="B25200">
        <v>1</v>
      </c>
      <c r="C25200">
        <v>102</v>
      </c>
      <c r="D25200">
        <v>1</v>
      </c>
    </row>
    <row r="25202" spans="2:4">
      <c r="B25202">
        <v>1</v>
      </c>
      <c r="C25202">
        <v>102</v>
      </c>
      <c r="D25202">
        <v>1</v>
      </c>
    </row>
    <row r="25204" spans="2:4">
      <c r="B25204">
        <v>1</v>
      </c>
      <c r="C25204">
        <v>102</v>
      </c>
      <c r="D25204">
        <v>1</v>
      </c>
    </row>
    <row r="25212" spans="2:4">
      <c r="B25212">
        <v>1</v>
      </c>
      <c r="C25212">
        <v>102</v>
      </c>
      <c r="D25212">
        <v>1</v>
      </c>
    </row>
    <row r="25214" spans="2:4">
      <c r="B25214">
        <v>1</v>
      </c>
      <c r="C25214">
        <v>102</v>
      </c>
      <c r="D25214">
        <v>1</v>
      </c>
    </row>
    <row r="25215" spans="2:4">
      <c r="B25215">
        <v>1</v>
      </c>
      <c r="C25215">
        <v>102</v>
      </c>
      <c r="D25215">
        <v>1</v>
      </c>
    </row>
    <row r="25216" spans="2:4">
      <c r="B25216">
        <v>1</v>
      </c>
      <c r="C25216">
        <v>102</v>
      </c>
      <c r="D25216">
        <v>1</v>
      </c>
    </row>
    <row r="25217" spans="2:4">
      <c r="B25217">
        <v>1</v>
      </c>
      <c r="C25217">
        <v>102</v>
      </c>
      <c r="D25217">
        <v>1</v>
      </c>
    </row>
    <row r="25220" spans="2:4">
      <c r="B25220">
        <v>1</v>
      </c>
      <c r="C25220">
        <v>102</v>
      </c>
      <c r="D25220">
        <v>1</v>
      </c>
    </row>
    <row r="25221" spans="2:4">
      <c r="B25221">
        <v>1</v>
      </c>
      <c r="C25221">
        <v>102</v>
      </c>
      <c r="D25221">
        <v>1</v>
      </c>
    </row>
    <row r="25222" spans="2:4">
      <c r="B25222">
        <v>1</v>
      </c>
      <c r="C25222">
        <v>102</v>
      </c>
      <c r="D25222">
        <v>1</v>
      </c>
    </row>
    <row r="25224" spans="2:4">
      <c r="B25224">
        <v>1</v>
      </c>
      <c r="C25224">
        <v>102</v>
      </c>
      <c r="D25224">
        <v>1</v>
      </c>
    </row>
    <row r="25226" spans="2:4">
      <c r="B25226">
        <v>1</v>
      </c>
      <c r="C25226">
        <v>102</v>
      </c>
      <c r="D25226">
        <v>1</v>
      </c>
    </row>
    <row r="25229" spans="2:4">
      <c r="B25229">
        <v>1</v>
      </c>
      <c r="C25229">
        <v>102</v>
      </c>
      <c r="D25229">
        <v>1</v>
      </c>
    </row>
    <row r="25231" spans="2:4">
      <c r="B25231">
        <v>1</v>
      </c>
      <c r="C25231">
        <v>102</v>
      </c>
      <c r="D25231">
        <v>1</v>
      </c>
    </row>
    <row r="25240" spans="2:4">
      <c r="B25240">
        <v>1</v>
      </c>
      <c r="C25240">
        <v>102</v>
      </c>
      <c r="D25240">
        <v>1</v>
      </c>
    </row>
    <row r="25247" spans="2:4">
      <c r="B25247">
        <v>1</v>
      </c>
      <c r="C25247">
        <v>102</v>
      </c>
      <c r="D25247">
        <v>1</v>
      </c>
    </row>
    <row r="25249" spans="2:4">
      <c r="B25249">
        <v>1</v>
      </c>
      <c r="C25249">
        <v>102</v>
      </c>
      <c r="D25249">
        <v>1</v>
      </c>
    </row>
    <row r="25250" spans="2:4">
      <c r="B25250">
        <v>1</v>
      </c>
      <c r="C25250">
        <v>102</v>
      </c>
      <c r="D25250">
        <v>1</v>
      </c>
    </row>
    <row r="25253" spans="2:4">
      <c r="B25253">
        <v>1</v>
      </c>
      <c r="C25253">
        <v>102</v>
      </c>
      <c r="D25253">
        <v>1</v>
      </c>
    </row>
    <row r="25256" spans="2:4">
      <c r="B25256">
        <v>1</v>
      </c>
      <c r="C25256">
        <v>102</v>
      </c>
      <c r="D25256">
        <v>1</v>
      </c>
    </row>
    <row r="25257" spans="2:4">
      <c r="B25257">
        <v>1</v>
      </c>
      <c r="C25257">
        <v>102</v>
      </c>
      <c r="D25257">
        <v>1</v>
      </c>
    </row>
    <row r="25261" spans="2:4">
      <c r="B25261">
        <v>1</v>
      </c>
      <c r="C25261">
        <v>102</v>
      </c>
      <c r="D25261">
        <v>1</v>
      </c>
    </row>
    <row r="25263" spans="2:4">
      <c r="B25263">
        <v>1</v>
      </c>
      <c r="C25263">
        <v>102</v>
      </c>
      <c r="D25263">
        <v>1</v>
      </c>
    </row>
    <row r="25270" spans="2:4">
      <c r="B25270">
        <v>1</v>
      </c>
      <c r="C25270">
        <v>102</v>
      </c>
      <c r="D25270">
        <v>1</v>
      </c>
    </row>
    <row r="25274" spans="2:4">
      <c r="B25274">
        <v>1</v>
      </c>
      <c r="C25274">
        <v>102</v>
      </c>
      <c r="D25274">
        <v>1</v>
      </c>
    </row>
    <row r="25275" spans="2:4">
      <c r="B25275">
        <v>1</v>
      </c>
      <c r="C25275">
        <v>102</v>
      </c>
      <c r="D25275">
        <v>1</v>
      </c>
    </row>
    <row r="25278" spans="2:4">
      <c r="B25278">
        <v>1</v>
      </c>
      <c r="C25278">
        <v>102</v>
      </c>
      <c r="D25278">
        <v>1</v>
      </c>
    </row>
    <row r="25284" spans="2:4">
      <c r="B25284">
        <v>1</v>
      </c>
      <c r="C25284">
        <v>102</v>
      </c>
      <c r="D25284">
        <v>1</v>
      </c>
    </row>
    <row r="25289" spans="2:4">
      <c r="B25289">
        <v>1</v>
      </c>
      <c r="C25289">
        <v>102</v>
      </c>
      <c r="D25289">
        <v>1</v>
      </c>
    </row>
    <row r="25292" spans="2:4">
      <c r="B25292">
        <v>1</v>
      </c>
      <c r="C25292">
        <v>102</v>
      </c>
      <c r="D25292">
        <v>1</v>
      </c>
    </row>
    <row r="25295" spans="2:4">
      <c r="B25295">
        <v>1</v>
      </c>
      <c r="C25295">
        <v>102</v>
      </c>
      <c r="D25295">
        <v>1</v>
      </c>
    </row>
    <row r="25297" spans="2:4">
      <c r="B25297">
        <v>1</v>
      </c>
      <c r="C25297">
        <v>102</v>
      </c>
      <c r="D25297">
        <v>1</v>
      </c>
    </row>
    <row r="25298" spans="2:4">
      <c r="B25298">
        <v>1</v>
      </c>
      <c r="C25298">
        <v>102</v>
      </c>
      <c r="D25298">
        <v>1</v>
      </c>
    </row>
    <row r="25299" spans="2:4">
      <c r="B25299">
        <v>1</v>
      </c>
      <c r="C25299">
        <v>102</v>
      </c>
      <c r="D25299">
        <v>1</v>
      </c>
    </row>
    <row r="25300" spans="2:4">
      <c r="B25300">
        <v>1</v>
      </c>
      <c r="C25300">
        <v>102</v>
      </c>
      <c r="D25300">
        <v>1</v>
      </c>
    </row>
    <row r="25307" spans="2:4">
      <c r="B25307">
        <v>1</v>
      </c>
      <c r="C25307">
        <v>102</v>
      </c>
      <c r="D25307">
        <v>1</v>
      </c>
    </row>
    <row r="25308" spans="2:4">
      <c r="B25308">
        <v>1</v>
      </c>
      <c r="C25308">
        <v>102</v>
      </c>
      <c r="D25308">
        <v>1</v>
      </c>
    </row>
    <row r="25309" spans="2:4">
      <c r="B25309">
        <v>1</v>
      </c>
      <c r="C25309">
        <v>102</v>
      </c>
      <c r="D25309">
        <v>1</v>
      </c>
    </row>
    <row r="25310" spans="2:4">
      <c r="B25310">
        <v>1</v>
      </c>
      <c r="C25310">
        <v>102</v>
      </c>
      <c r="D25310">
        <v>1</v>
      </c>
    </row>
    <row r="25314" spans="2:4">
      <c r="B25314">
        <v>1</v>
      </c>
      <c r="C25314">
        <v>102</v>
      </c>
      <c r="D25314">
        <v>1</v>
      </c>
    </row>
    <row r="25316" spans="2:4">
      <c r="B25316">
        <v>1</v>
      </c>
      <c r="C25316">
        <v>102</v>
      </c>
      <c r="D25316">
        <v>1</v>
      </c>
    </row>
    <row r="25319" spans="2:4">
      <c r="B25319">
        <v>1</v>
      </c>
      <c r="C25319">
        <v>102</v>
      </c>
      <c r="D25319">
        <v>1</v>
      </c>
    </row>
    <row r="25320" spans="2:4">
      <c r="B25320">
        <v>1</v>
      </c>
      <c r="C25320">
        <v>102</v>
      </c>
      <c r="D25320">
        <v>1</v>
      </c>
    </row>
    <row r="25323" spans="2:4">
      <c r="B25323">
        <v>1</v>
      </c>
      <c r="C25323">
        <v>102</v>
      </c>
      <c r="D25323">
        <v>1</v>
      </c>
    </row>
    <row r="25326" spans="2:4">
      <c r="B25326">
        <v>1</v>
      </c>
      <c r="C25326">
        <v>102</v>
      </c>
      <c r="D25326">
        <v>1</v>
      </c>
    </row>
    <row r="25329" spans="2:4">
      <c r="B25329">
        <v>1</v>
      </c>
      <c r="C25329">
        <v>102</v>
      </c>
      <c r="D25329">
        <v>1</v>
      </c>
    </row>
    <row r="25331" spans="2:4">
      <c r="B25331">
        <v>1</v>
      </c>
      <c r="C25331">
        <v>102</v>
      </c>
      <c r="D25331">
        <v>1</v>
      </c>
    </row>
    <row r="25336" spans="2:4">
      <c r="B25336">
        <v>1</v>
      </c>
      <c r="C25336">
        <v>102</v>
      </c>
      <c r="D25336">
        <v>1</v>
      </c>
    </row>
    <row r="25337" spans="2:4">
      <c r="B25337">
        <v>1</v>
      </c>
      <c r="C25337">
        <v>102</v>
      </c>
      <c r="D25337">
        <v>1</v>
      </c>
    </row>
    <row r="25339" spans="2:4">
      <c r="B25339">
        <v>1</v>
      </c>
      <c r="C25339">
        <v>102</v>
      </c>
      <c r="D25339">
        <v>1</v>
      </c>
    </row>
    <row r="25341" spans="2:4">
      <c r="B25341">
        <v>1</v>
      </c>
      <c r="C25341">
        <v>102</v>
      </c>
      <c r="D25341">
        <v>1</v>
      </c>
    </row>
    <row r="25347" spans="2:4">
      <c r="B25347">
        <v>1</v>
      </c>
      <c r="C25347">
        <v>102</v>
      </c>
      <c r="D25347">
        <v>1</v>
      </c>
    </row>
    <row r="25351" spans="2:4">
      <c r="B25351">
        <v>1</v>
      </c>
      <c r="C25351">
        <v>102</v>
      </c>
      <c r="D25351">
        <v>1</v>
      </c>
    </row>
    <row r="25355" spans="2:4">
      <c r="B25355">
        <v>1</v>
      </c>
      <c r="C25355">
        <v>102</v>
      </c>
      <c r="D25355">
        <v>1</v>
      </c>
    </row>
    <row r="25360" spans="2:4">
      <c r="B25360">
        <v>1</v>
      </c>
      <c r="C25360">
        <v>102</v>
      </c>
      <c r="D25360">
        <v>1</v>
      </c>
    </row>
    <row r="25366" spans="2:4">
      <c r="B25366">
        <v>1</v>
      </c>
      <c r="C25366">
        <v>102</v>
      </c>
      <c r="D25366">
        <v>1</v>
      </c>
    </row>
    <row r="25367" spans="2:4">
      <c r="B25367">
        <v>1</v>
      </c>
      <c r="C25367">
        <v>102</v>
      </c>
      <c r="D25367">
        <v>1</v>
      </c>
    </row>
    <row r="25369" spans="2:4">
      <c r="B25369">
        <v>1</v>
      </c>
      <c r="C25369">
        <v>102</v>
      </c>
      <c r="D25369">
        <v>1</v>
      </c>
    </row>
    <row r="25370" spans="2:4">
      <c r="B25370">
        <v>1</v>
      </c>
      <c r="C25370">
        <v>102</v>
      </c>
      <c r="D25370">
        <v>1</v>
      </c>
    </row>
    <row r="25371" spans="2:4">
      <c r="B25371">
        <v>1</v>
      </c>
      <c r="C25371">
        <v>102</v>
      </c>
      <c r="D25371">
        <v>1</v>
      </c>
    </row>
    <row r="25374" spans="2:4">
      <c r="B25374">
        <v>1</v>
      </c>
      <c r="C25374">
        <v>102</v>
      </c>
      <c r="D25374">
        <v>1</v>
      </c>
    </row>
    <row r="25376" spans="2:4">
      <c r="B25376">
        <v>1</v>
      </c>
      <c r="C25376">
        <v>102</v>
      </c>
      <c r="D25376">
        <v>1</v>
      </c>
    </row>
    <row r="25379" spans="2:4">
      <c r="B25379">
        <v>1</v>
      </c>
      <c r="C25379">
        <v>102</v>
      </c>
      <c r="D25379">
        <v>1</v>
      </c>
    </row>
    <row r="25380" spans="2:4">
      <c r="B25380">
        <v>1</v>
      </c>
      <c r="C25380">
        <v>102</v>
      </c>
      <c r="D25380">
        <v>1</v>
      </c>
    </row>
    <row r="25382" spans="2:4">
      <c r="B25382">
        <v>1</v>
      </c>
      <c r="C25382">
        <v>102</v>
      </c>
      <c r="D25382">
        <v>1</v>
      </c>
    </row>
    <row r="25386" spans="2:4">
      <c r="B25386">
        <v>1</v>
      </c>
      <c r="C25386">
        <v>102</v>
      </c>
      <c r="D25386">
        <v>1</v>
      </c>
    </row>
    <row r="25397" spans="2:4">
      <c r="B25397">
        <v>1</v>
      </c>
      <c r="C25397">
        <v>102</v>
      </c>
      <c r="D25397">
        <v>1</v>
      </c>
    </row>
    <row r="25399" spans="2:4">
      <c r="B25399">
        <v>1</v>
      </c>
      <c r="C25399">
        <v>102</v>
      </c>
      <c r="D25399">
        <v>1</v>
      </c>
    </row>
    <row r="25401" spans="2:4">
      <c r="B25401">
        <v>1</v>
      </c>
      <c r="C25401">
        <v>102</v>
      </c>
      <c r="D25401">
        <v>1</v>
      </c>
    </row>
    <row r="25410" spans="2:4">
      <c r="B25410">
        <v>1</v>
      </c>
      <c r="C25410">
        <v>102</v>
      </c>
      <c r="D25410">
        <v>1</v>
      </c>
    </row>
    <row r="25416" spans="2:4">
      <c r="B25416">
        <v>1</v>
      </c>
      <c r="C25416">
        <v>102</v>
      </c>
      <c r="D25416">
        <v>1</v>
      </c>
    </row>
    <row r="25421" spans="2:4">
      <c r="B25421">
        <v>1</v>
      </c>
      <c r="C25421">
        <v>102</v>
      </c>
      <c r="D25421">
        <v>1</v>
      </c>
    </row>
    <row r="25422" spans="2:4">
      <c r="B25422">
        <v>1</v>
      </c>
      <c r="C25422">
        <v>102</v>
      </c>
      <c r="D25422">
        <v>1</v>
      </c>
    </row>
    <row r="25429" spans="2:4">
      <c r="B25429">
        <v>1</v>
      </c>
      <c r="C25429">
        <v>102</v>
      </c>
      <c r="D25429">
        <v>1</v>
      </c>
    </row>
    <row r="25434" spans="2:4">
      <c r="B25434">
        <v>1</v>
      </c>
      <c r="C25434">
        <v>102</v>
      </c>
      <c r="D25434">
        <v>1</v>
      </c>
    </row>
    <row r="25441" spans="2:4">
      <c r="B25441">
        <v>1</v>
      </c>
      <c r="C25441">
        <v>102</v>
      </c>
      <c r="D25441">
        <v>1</v>
      </c>
    </row>
    <row r="25452" spans="2:4">
      <c r="B25452">
        <v>1</v>
      </c>
      <c r="C25452">
        <v>102</v>
      </c>
      <c r="D25452">
        <v>1</v>
      </c>
    </row>
    <row r="25453" spans="2:4">
      <c r="B25453">
        <v>1</v>
      </c>
      <c r="C25453">
        <v>102</v>
      </c>
      <c r="D25453">
        <v>1</v>
      </c>
    </row>
    <row r="25456" spans="2:4">
      <c r="B25456">
        <v>1</v>
      </c>
      <c r="C25456">
        <v>102</v>
      </c>
      <c r="D25456">
        <v>1</v>
      </c>
    </row>
    <row r="25458" spans="2:4">
      <c r="B25458">
        <v>1</v>
      </c>
      <c r="C25458">
        <v>102</v>
      </c>
      <c r="D25458">
        <v>1</v>
      </c>
    </row>
    <row r="25460" spans="2:4">
      <c r="B25460">
        <v>1</v>
      </c>
      <c r="C25460">
        <v>102</v>
      </c>
      <c r="D25460">
        <v>1</v>
      </c>
    </row>
    <row r="25468" spans="2:4">
      <c r="B25468">
        <v>1</v>
      </c>
      <c r="C25468">
        <v>102</v>
      </c>
      <c r="D25468">
        <v>1</v>
      </c>
    </row>
    <row r="25470" spans="2:4">
      <c r="B25470">
        <v>1</v>
      </c>
      <c r="C25470">
        <v>102</v>
      </c>
      <c r="D25470">
        <v>1</v>
      </c>
    </row>
    <row r="25471" spans="2:4">
      <c r="B25471">
        <v>1</v>
      </c>
      <c r="C25471">
        <v>102</v>
      </c>
      <c r="D25471">
        <v>1</v>
      </c>
    </row>
    <row r="25472" spans="2:4">
      <c r="B25472">
        <v>1</v>
      </c>
      <c r="C25472">
        <v>102</v>
      </c>
      <c r="D25472">
        <v>1</v>
      </c>
    </row>
    <row r="25473" spans="2:4">
      <c r="B25473">
        <v>1</v>
      </c>
      <c r="C25473">
        <v>102</v>
      </c>
      <c r="D25473">
        <v>1</v>
      </c>
    </row>
    <row r="25476" spans="2:4">
      <c r="B25476">
        <v>1</v>
      </c>
      <c r="C25476">
        <v>102</v>
      </c>
      <c r="D25476">
        <v>1</v>
      </c>
    </row>
    <row r="25477" spans="2:4">
      <c r="B25477">
        <v>1</v>
      </c>
      <c r="C25477">
        <v>102</v>
      </c>
      <c r="D25477">
        <v>1</v>
      </c>
    </row>
    <row r="25478" spans="2:4">
      <c r="B25478">
        <v>1</v>
      </c>
      <c r="C25478">
        <v>102</v>
      </c>
      <c r="D25478">
        <v>1</v>
      </c>
    </row>
    <row r="25480" spans="2:4">
      <c r="B25480">
        <v>1</v>
      </c>
      <c r="C25480">
        <v>102</v>
      </c>
      <c r="D25480">
        <v>1</v>
      </c>
    </row>
    <row r="25482" spans="2:4">
      <c r="B25482">
        <v>1</v>
      </c>
      <c r="C25482">
        <v>102</v>
      </c>
      <c r="D25482">
        <v>1</v>
      </c>
    </row>
    <row r="25485" spans="2:4">
      <c r="B25485">
        <v>1</v>
      </c>
      <c r="C25485">
        <v>102</v>
      </c>
      <c r="D25485">
        <v>1</v>
      </c>
    </row>
    <row r="25487" spans="2:4">
      <c r="B25487">
        <v>1</v>
      </c>
      <c r="C25487">
        <v>102</v>
      </c>
      <c r="D25487">
        <v>1</v>
      </c>
    </row>
    <row r="25496" spans="2:4">
      <c r="B25496">
        <v>1</v>
      </c>
      <c r="C25496">
        <v>102</v>
      </c>
      <c r="D25496">
        <v>1</v>
      </c>
    </row>
    <row r="25503" spans="2:4">
      <c r="B25503">
        <v>1</v>
      </c>
      <c r="C25503">
        <v>102</v>
      </c>
      <c r="D25503">
        <v>1</v>
      </c>
    </row>
    <row r="25505" spans="2:4">
      <c r="B25505">
        <v>1</v>
      </c>
      <c r="C25505">
        <v>102</v>
      </c>
      <c r="D25505">
        <v>1</v>
      </c>
    </row>
    <row r="25506" spans="2:4">
      <c r="B25506">
        <v>1</v>
      </c>
      <c r="C25506">
        <v>102</v>
      </c>
      <c r="D25506">
        <v>1</v>
      </c>
    </row>
    <row r="25509" spans="2:4">
      <c r="B25509">
        <v>1</v>
      </c>
      <c r="C25509">
        <v>102</v>
      </c>
      <c r="D25509">
        <v>1</v>
      </c>
    </row>
    <row r="25512" spans="2:4">
      <c r="B25512">
        <v>1</v>
      </c>
      <c r="C25512">
        <v>102</v>
      </c>
      <c r="D25512">
        <v>1</v>
      </c>
    </row>
    <row r="25513" spans="2:4">
      <c r="B25513">
        <v>1</v>
      </c>
      <c r="C25513">
        <v>102</v>
      </c>
      <c r="D25513">
        <v>1</v>
      </c>
    </row>
    <row r="25517" spans="2:4">
      <c r="B25517">
        <v>1</v>
      </c>
      <c r="C25517">
        <v>102</v>
      </c>
      <c r="D25517">
        <v>1</v>
      </c>
    </row>
    <row r="25519" spans="2:4">
      <c r="B25519">
        <v>1</v>
      </c>
      <c r="C25519">
        <v>102</v>
      </c>
      <c r="D25519">
        <v>1</v>
      </c>
    </row>
    <row r="25526" spans="2:4">
      <c r="B25526">
        <v>1</v>
      </c>
      <c r="C25526">
        <v>102</v>
      </c>
      <c r="D25526">
        <v>1</v>
      </c>
    </row>
    <row r="25530" spans="2:4">
      <c r="B25530">
        <v>1</v>
      </c>
      <c r="C25530">
        <v>102</v>
      </c>
      <c r="D25530">
        <v>1</v>
      </c>
    </row>
    <row r="25531" spans="2:4">
      <c r="B25531">
        <v>1</v>
      </c>
      <c r="C25531">
        <v>102</v>
      </c>
      <c r="D25531">
        <v>1</v>
      </c>
    </row>
    <row r="25534" spans="2:4">
      <c r="B25534">
        <v>1</v>
      </c>
      <c r="C25534">
        <v>102</v>
      </c>
      <c r="D25534">
        <v>1</v>
      </c>
    </row>
    <row r="25540" spans="2:4">
      <c r="B25540">
        <v>1</v>
      </c>
      <c r="C25540">
        <v>102</v>
      </c>
      <c r="D25540">
        <v>1</v>
      </c>
    </row>
    <row r="25545" spans="2:4">
      <c r="B25545">
        <v>1</v>
      </c>
      <c r="C25545">
        <v>102</v>
      </c>
      <c r="D25545">
        <v>1</v>
      </c>
    </row>
    <row r="25548" spans="2:4">
      <c r="B25548">
        <v>1</v>
      </c>
      <c r="C25548">
        <v>102</v>
      </c>
      <c r="D25548">
        <v>1</v>
      </c>
    </row>
    <row r="25551" spans="2:4">
      <c r="B25551">
        <v>1</v>
      </c>
      <c r="C25551">
        <v>102</v>
      </c>
      <c r="D25551">
        <v>1</v>
      </c>
    </row>
    <row r="25553" spans="2:4">
      <c r="B25553">
        <v>1</v>
      </c>
      <c r="C25553">
        <v>102</v>
      </c>
      <c r="D25553">
        <v>1</v>
      </c>
    </row>
    <row r="25554" spans="2:4">
      <c r="B25554">
        <v>1</v>
      </c>
      <c r="C25554">
        <v>102</v>
      </c>
      <c r="D25554">
        <v>1</v>
      </c>
    </row>
    <row r="25555" spans="2:4">
      <c r="B25555">
        <v>1</v>
      </c>
      <c r="C25555">
        <v>102</v>
      </c>
      <c r="D25555">
        <v>1</v>
      </c>
    </row>
    <row r="25556" spans="2:4">
      <c r="B25556">
        <v>1</v>
      </c>
      <c r="C25556">
        <v>102</v>
      </c>
      <c r="D25556">
        <v>1</v>
      </c>
    </row>
    <row r="25563" spans="2:4">
      <c r="B25563">
        <v>1</v>
      </c>
      <c r="C25563">
        <v>102</v>
      </c>
      <c r="D25563">
        <v>1</v>
      </c>
    </row>
    <row r="25564" spans="2:4">
      <c r="B25564">
        <v>1</v>
      </c>
      <c r="C25564">
        <v>102</v>
      </c>
      <c r="D25564">
        <v>1</v>
      </c>
    </row>
    <row r="25565" spans="2:4">
      <c r="B25565">
        <v>1</v>
      </c>
      <c r="C25565">
        <v>102</v>
      </c>
      <c r="D25565">
        <v>1</v>
      </c>
    </row>
    <row r="25566" spans="2:4">
      <c r="B25566">
        <v>1</v>
      </c>
      <c r="C25566">
        <v>102</v>
      </c>
      <c r="D25566">
        <v>1</v>
      </c>
    </row>
    <row r="25570" spans="2:4">
      <c r="B25570">
        <v>1</v>
      </c>
      <c r="C25570">
        <v>102</v>
      </c>
      <c r="D25570">
        <v>1</v>
      </c>
    </row>
    <row r="25572" spans="2:4">
      <c r="B25572">
        <v>1</v>
      </c>
      <c r="C25572">
        <v>102</v>
      </c>
      <c r="D25572">
        <v>1</v>
      </c>
    </row>
    <row r="25575" spans="2:4">
      <c r="B25575">
        <v>1</v>
      </c>
      <c r="C25575">
        <v>102</v>
      </c>
      <c r="D25575">
        <v>1</v>
      </c>
    </row>
    <row r="25576" spans="2:4">
      <c r="B25576">
        <v>1</v>
      </c>
      <c r="C25576">
        <v>102</v>
      </c>
      <c r="D25576">
        <v>1</v>
      </c>
    </row>
    <row r="25579" spans="2:4">
      <c r="B25579">
        <v>1</v>
      </c>
      <c r="C25579">
        <v>102</v>
      </c>
      <c r="D25579">
        <v>1</v>
      </c>
    </row>
    <row r="25582" spans="2:4">
      <c r="B25582">
        <v>1</v>
      </c>
      <c r="C25582">
        <v>102</v>
      </c>
      <c r="D25582">
        <v>1</v>
      </c>
    </row>
    <row r="25585" spans="2:4">
      <c r="B25585">
        <v>1</v>
      </c>
      <c r="C25585">
        <v>102</v>
      </c>
      <c r="D25585">
        <v>1</v>
      </c>
    </row>
    <row r="25587" spans="2:4">
      <c r="B25587">
        <v>1</v>
      </c>
      <c r="C25587">
        <v>102</v>
      </c>
      <c r="D25587">
        <v>1</v>
      </c>
    </row>
    <row r="25592" spans="2:4">
      <c r="B25592">
        <v>1</v>
      </c>
      <c r="C25592">
        <v>102</v>
      </c>
      <c r="D25592">
        <v>1</v>
      </c>
    </row>
    <row r="25593" spans="2:4">
      <c r="B25593">
        <v>1</v>
      </c>
      <c r="C25593">
        <v>102</v>
      </c>
      <c r="D25593">
        <v>1</v>
      </c>
    </row>
    <row r="25595" spans="2:4">
      <c r="B25595">
        <v>1</v>
      </c>
      <c r="C25595">
        <v>102</v>
      </c>
      <c r="D25595">
        <v>1</v>
      </c>
    </row>
    <row r="25597" spans="2:4">
      <c r="B25597">
        <v>1</v>
      </c>
      <c r="C25597">
        <v>102</v>
      </c>
      <c r="D25597">
        <v>1</v>
      </c>
    </row>
    <row r="25603" spans="2:4">
      <c r="B25603">
        <v>1</v>
      </c>
      <c r="C25603">
        <v>102</v>
      </c>
      <c r="D25603">
        <v>1</v>
      </c>
    </row>
    <row r="25607" spans="2:4">
      <c r="B25607">
        <v>1</v>
      </c>
      <c r="C25607">
        <v>102</v>
      </c>
      <c r="D25607">
        <v>1</v>
      </c>
    </row>
    <row r="25611" spans="2:4">
      <c r="B25611">
        <v>1</v>
      </c>
      <c r="C25611">
        <v>102</v>
      </c>
      <c r="D25611">
        <v>1</v>
      </c>
    </row>
    <row r="25616" spans="2:4">
      <c r="B25616">
        <v>1</v>
      </c>
      <c r="C25616">
        <v>102</v>
      </c>
      <c r="D25616">
        <v>1</v>
      </c>
    </row>
    <row r="25622" spans="2:4">
      <c r="B25622">
        <v>1</v>
      </c>
      <c r="C25622">
        <v>102</v>
      </c>
      <c r="D25622">
        <v>1</v>
      </c>
    </row>
    <row r="25623" spans="2:4">
      <c r="B25623">
        <v>1</v>
      </c>
      <c r="C25623">
        <v>102</v>
      </c>
      <c r="D25623">
        <v>1</v>
      </c>
    </row>
    <row r="25625" spans="2:4">
      <c r="B25625">
        <v>1</v>
      </c>
      <c r="C25625">
        <v>102</v>
      </c>
      <c r="D25625">
        <v>1</v>
      </c>
    </row>
    <row r="25626" spans="2:4">
      <c r="B25626">
        <v>1</v>
      </c>
      <c r="C25626">
        <v>102</v>
      </c>
      <c r="D25626">
        <v>1</v>
      </c>
    </row>
    <row r="25627" spans="2:4">
      <c r="B25627">
        <v>1</v>
      </c>
      <c r="C25627">
        <v>102</v>
      </c>
      <c r="D25627">
        <v>1</v>
      </c>
    </row>
    <row r="25630" spans="2:4">
      <c r="B25630">
        <v>1</v>
      </c>
      <c r="C25630">
        <v>102</v>
      </c>
      <c r="D25630">
        <v>1</v>
      </c>
    </row>
    <row r="25632" spans="2:4">
      <c r="B25632">
        <v>1</v>
      </c>
      <c r="C25632">
        <v>102</v>
      </c>
      <c r="D25632">
        <v>1</v>
      </c>
    </row>
    <row r="25635" spans="2:4">
      <c r="B25635">
        <v>1</v>
      </c>
      <c r="C25635">
        <v>102</v>
      </c>
      <c r="D25635">
        <v>1</v>
      </c>
    </row>
    <row r="25636" spans="2:4">
      <c r="B25636">
        <v>1</v>
      </c>
      <c r="C25636">
        <v>102</v>
      </c>
      <c r="D25636">
        <v>1</v>
      </c>
    </row>
    <row r="25638" spans="2:4">
      <c r="B25638">
        <v>1</v>
      </c>
      <c r="C25638">
        <v>102</v>
      </c>
      <c r="D25638">
        <v>1</v>
      </c>
    </row>
    <row r="25642" spans="2:4">
      <c r="B25642">
        <v>1</v>
      </c>
      <c r="C25642">
        <v>102</v>
      </c>
      <c r="D25642">
        <v>1</v>
      </c>
    </row>
    <row r="25653" spans="2:4">
      <c r="B25653">
        <v>1</v>
      </c>
      <c r="C25653">
        <v>102</v>
      </c>
      <c r="D25653">
        <v>1</v>
      </c>
    </row>
    <row r="25655" spans="2:4">
      <c r="B25655">
        <v>1</v>
      </c>
      <c r="C25655">
        <v>102</v>
      </c>
      <c r="D25655">
        <v>1</v>
      </c>
    </row>
    <row r="25657" spans="2:4">
      <c r="B25657">
        <v>1</v>
      </c>
      <c r="C25657">
        <v>102</v>
      </c>
      <c r="D25657">
        <v>1</v>
      </c>
    </row>
    <row r="25666" spans="2:4">
      <c r="B25666">
        <v>1</v>
      </c>
      <c r="C25666">
        <v>102</v>
      </c>
      <c r="D25666">
        <v>1</v>
      </c>
    </row>
    <row r="25672" spans="2:4">
      <c r="B25672">
        <v>1</v>
      </c>
      <c r="C25672">
        <v>102</v>
      </c>
      <c r="D25672">
        <v>1</v>
      </c>
    </row>
    <row r="25677" spans="2:4">
      <c r="B25677">
        <v>1</v>
      </c>
      <c r="C25677">
        <v>102</v>
      </c>
      <c r="D25677">
        <v>1</v>
      </c>
    </row>
    <row r="25678" spans="2:4">
      <c r="B25678">
        <v>1</v>
      </c>
      <c r="C25678">
        <v>102</v>
      </c>
      <c r="D25678">
        <v>1</v>
      </c>
    </row>
    <row r="25685" spans="2:4">
      <c r="B25685">
        <v>1</v>
      </c>
      <c r="C25685">
        <v>102</v>
      </c>
      <c r="D25685">
        <v>1</v>
      </c>
    </row>
    <row r="25690" spans="2:4">
      <c r="B25690">
        <v>1</v>
      </c>
      <c r="C25690">
        <v>102</v>
      </c>
      <c r="D25690">
        <v>1</v>
      </c>
    </row>
    <row r="25697" spans="2:4">
      <c r="B25697">
        <v>1</v>
      </c>
      <c r="C25697">
        <v>102</v>
      </c>
      <c r="D25697">
        <v>1</v>
      </c>
    </row>
    <row r="25708" spans="2:4">
      <c r="B25708">
        <v>1</v>
      </c>
      <c r="C25708">
        <v>102</v>
      </c>
      <c r="D25708">
        <v>1</v>
      </c>
    </row>
    <row r="25709" spans="2:4">
      <c r="B25709">
        <v>1</v>
      </c>
      <c r="C25709">
        <v>102</v>
      </c>
      <c r="D25709">
        <v>1</v>
      </c>
    </row>
    <row r="25712" spans="2:4">
      <c r="B25712">
        <v>1</v>
      </c>
      <c r="C25712">
        <v>102</v>
      </c>
      <c r="D25712">
        <v>1</v>
      </c>
    </row>
    <row r="25714" spans="2:4">
      <c r="B25714">
        <v>1</v>
      </c>
      <c r="C25714">
        <v>102</v>
      </c>
      <c r="D25714">
        <v>1</v>
      </c>
    </row>
    <row r="25716" spans="2:4">
      <c r="B25716">
        <v>1</v>
      </c>
      <c r="C25716">
        <v>102</v>
      </c>
      <c r="D25716">
        <v>1</v>
      </c>
    </row>
    <row r="25724" spans="2:4">
      <c r="B25724">
        <v>1</v>
      </c>
      <c r="C25724">
        <v>102</v>
      </c>
      <c r="D25724">
        <v>1</v>
      </c>
    </row>
    <row r="25726" spans="2:4">
      <c r="B25726">
        <v>1</v>
      </c>
      <c r="C25726">
        <v>102</v>
      </c>
      <c r="D25726">
        <v>1</v>
      </c>
    </row>
    <row r="25727" spans="2:4">
      <c r="B25727">
        <v>1</v>
      </c>
      <c r="C25727">
        <v>102</v>
      </c>
      <c r="D25727">
        <v>1</v>
      </c>
    </row>
    <row r="25728" spans="2:4">
      <c r="B25728">
        <v>1</v>
      </c>
      <c r="C25728">
        <v>102</v>
      </c>
      <c r="D25728">
        <v>1</v>
      </c>
    </row>
    <row r="25729" spans="2:4">
      <c r="B25729">
        <v>1</v>
      </c>
      <c r="C25729">
        <v>102</v>
      </c>
      <c r="D25729">
        <v>1</v>
      </c>
    </row>
    <row r="25732" spans="2:4">
      <c r="B25732">
        <v>1</v>
      </c>
      <c r="C25732">
        <v>102</v>
      </c>
      <c r="D25732">
        <v>1</v>
      </c>
    </row>
    <row r="25733" spans="2:4">
      <c r="B25733">
        <v>1</v>
      </c>
      <c r="C25733">
        <v>102</v>
      </c>
      <c r="D25733">
        <v>1</v>
      </c>
    </row>
    <row r="25734" spans="2:4">
      <c r="B25734">
        <v>1</v>
      </c>
      <c r="C25734">
        <v>102</v>
      </c>
      <c r="D25734">
        <v>1</v>
      </c>
    </row>
    <row r="25736" spans="2:4">
      <c r="B25736">
        <v>1</v>
      </c>
      <c r="C25736">
        <v>102</v>
      </c>
      <c r="D25736">
        <v>1</v>
      </c>
    </row>
    <row r="25738" spans="2:4">
      <c r="B25738">
        <v>1</v>
      </c>
      <c r="C25738">
        <v>102</v>
      </c>
      <c r="D25738">
        <v>1</v>
      </c>
    </row>
    <row r="25741" spans="2:4">
      <c r="B25741">
        <v>1</v>
      </c>
      <c r="C25741">
        <v>102</v>
      </c>
      <c r="D25741">
        <v>1</v>
      </c>
    </row>
    <row r="25743" spans="2:4">
      <c r="B25743">
        <v>1</v>
      </c>
      <c r="C25743">
        <v>102</v>
      </c>
      <c r="D25743">
        <v>1</v>
      </c>
    </row>
    <row r="25752" spans="2:4">
      <c r="B25752">
        <v>1</v>
      </c>
      <c r="C25752">
        <v>102</v>
      </c>
      <c r="D25752">
        <v>1</v>
      </c>
    </row>
    <row r="25759" spans="2:4">
      <c r="B25759">
        <v>1</v>
      </c>
      <c r="C25759">
        <v>102</v>
      </c>
      <c r="D25759">
        <v>1</v>
      </c>
    </row>
    <row r="25761" spans="2:4">
      <c r="B25761">
        <v>1</v>
      </c>
      <c r="C25761">
        <v>102</v>
      </c>
      <c r="D25761">
        <v>1</v>
      </c>
    </row>
    <row r="25762" spans="2:4">
      <c r="B25762">
        <v>1</v>
      </c>
      <c r="C25762">
        <v>102</v>
      </c>
      <c r="D25762">
        <v>1</v>
      </c>
    </row>
    <row r="25765" spans="2:4">
      <c r="B25765">
        <v>1</v>
      </c>
      <c r="C25765">
        <v>102</v>
      </c>
      <c r="D25765">
        <v>1</v>
      </c>
    </row>
    <row r="25768" spans="2:4">
      <c r="B25768">
        <v>1</v>
      </c>
      <c r="C25768">
        <v>102</v>
      </c>
      <c r="D25768">
        <v>1</v>
      </c>
    </row>
    <row r="25769" spans="2:4">
      <c r="B25769">
        <v>1</v>
      </c>
      <c r="C25769">
        <v>102</v>
      </c>
      <c r="D25769">
        <v>1</v>
      </c>
    </row>
    <row r="25773" spans="2:4">
      <c r="B25773">
        <v>1</v>
      </c>
      <c r="C25773">
        <v>102</v>
      </c>
      <c r="D25773">
        <v>1</v>
      </c>
    </row>
    <row r="25775" spans="2:4">
      <c r="B25775">
        <v>1</v>
      </c>
      <c r="C25775">
        <v>102</v>
      </c>
      <c r="D25775">
        <v>1</v>
      </c>
    </row>
    <row r="25782" spans="2:4">
      <c r="B25782">
        <v>1</v>
      </c>
      <c r="C25782">
        <v>102</v>
      </c>
      <c r="D25782">
        <v>1</v>
      </c>
    </row>
    <row r="25786" spans="2:4">
      <c r="B25786">
        <v>1</v>
      </c>
      <c r="C25786">
        <v>102</v>
      </c>
      <c r="D25786">
        <v>1</v>
      </c>
    </row>
    <row r="25787" spans="2:4">
      <c r="B25787">
        <v>1</v>
      </c>
      <c r="C25787">
        <v>102</v>
      </c>
      <c r="D25787">
        <v>1</v>
      </c>
    </row>
    <row r="25790" spans="2:4">
      <c r="B25790">
        <v>1</v>
      </c>
      <c r="C25790">
        <v>102</v>
      </c>
      <c r="D25790">
        <v>1</v>
      </c>
    </row>
    <row r="25796" spans="2:4">
      <c r="B25796">
        <v>1</v>
      </c>
      <c r="C25796">
        <v>102</v>
      </c>
      <c r="D25796">
        <v>1</v>
      </c>
    </row>
    <row r="25801" spans="2:4">
      <c r="B25801">
        <v>1</v>
      </c>
      <c r="C25801">
        <v>102</v>
      </c>
      <c r="D25801">
        <v>1</v>
      </c>
    </row>
    <row r="25804" spans="2:4">
      <c r="B25804">
        <v>1</v>
      </c>
      <c r="C25804">
        <v>102</v>
      </c>
      <c r="D25804">
        <v>1</v>
      </c>
    </row>
    <row r="25807" spans="2:4">
      <c r="B25807">
        <v>1</v>
      </c>
      <c r="C25807">
        <v>102</v>
      </c>
      <c r="D25807">
        <v>1</v>
      </c>
    </row>
    <row r="25809" spans="2:4">
      <c r="B25809">
        <v>1</v>
      </c>
      <c r="C25809">
        <v>102</v>
      </c>
      <c r="D25809">
        <v>1</v>
      </c>
    </row>
    <row r="25810" spans="2:4">
      <c r="B25810">
        <v>1</v>
      </c>
      <c r="C25810">
        <v>102</v>
      </c>
      <c r="D25810">
        <v>1</v>
      </c>
    </row>
    <row r="25811" spans="2:4">
      <c r="B25811">
        <v>1</v>
      </c>
      <c r="C25811">
        <v>102</v>
      </c>
      <c r="D25811">
        <v>1</v>
      </c>
    </row>
    <row r="25812" spans="2:4">
      <c r="B25812">
        <v>1</v>
      </c>
      <c r="C25812">
        <v>102</v>
      </c>
      <c r="D25812">
        <v>1</v>
      </c>
    </row>
    <row r="25819" spans="2:4">
      <c r="B25819">
        <v>1</v>
      </c>
      <c r="C25819">
        <v>102</v>
      </c>
      <c r="D25819">
        <v>1</v>
      </c>
    </row>
    <row r="25820" spans="2:4">
      <c r="B25820">
        <v>1</v>
      </c>
      <c r="C25820">
        <v>102</v>
      </c>
      <c r="D25820">
        <v>1</v>
      </c>
    </row>
    <row r="25821" spans="2:4">
      <c r="B25821">
        <v>1</v>
      </c>
      <c r="C25821">
        <v>102</v>
      </c>
      <c r="D25821">
        <v>1</v>
      </c>
    </row>
    <row r="25822" spans="2:4">
      <c r="B25822">
        <v>1</v>
      </c>
      <c r="C25822">
        <v>102</v>
      </c>
      <c r="D25822">
        <v>1</v>
      </c>
    </row>
    <row r="25826" spans="2:4">
      <c r="B25826">
        <v>1</v>
      </c>
      <c r="C25826">
        <v>102</v>
      </c>
      <c r="D25826">
        <v>1</v>
      </c>
    </row>
    <row r="25828" spans="2:4">
      <c r="B25828">
        <v>1</v>
      </c>
      <c r="C25828">
        <v>102</v>
      </c>
      <c r="D25828">
        <v>1</v>
      </c>
    </row>
    <row r="25831" spans="2:4">
      <c r="B25831">
        <v>1</v>
      </c>
      <c r="C25831">
        <v>102</v>
      </c>
      <c r="D25831">
        <v>1</v>
      </c>
    </row>
    <row r="25832" spans="2:4">
      <c r="B25832">
        <v>1</v>
      </c>
      <c r="C25832">
        <v>102</v>
      </c>
      <c r="D25832">
        <v>1</v>
      </c>
    </row>
    <row r="25835" spans="2:4">
      <c r="B25835">
        <v>1</v>
      </c>
      <c r="C25835">
        <v>102</v>
      </c>
      <c r="D25835">
        <v>1</v>
      </c>
    </row>
    <row r="25838" spans="2:4">
      <c r="B25838">
        <v>1</v>
      </c>
      <c r="C25838">
        <v>102</v>
      </c>
      <c r="D25838">
        <v>1</v>
      </c>
    </row>
    <row r="25841" spans="2:4">
      <c r="B25841">
        <v>1</v>
      </c>
      <c r="C25841">
        <v>102</v>
      </c>
      <c r="D25841">
        <v>1</v>
      </c>
    </row>
    <row r="25843" spans="2:4">
      <c r="B25843">
        <v>1</v>
      </c>
      <c r="C25843">
        <v>102</v>
      </c>
      <c r="D25843">
        <v>1</v>
      </c>
    </row>
    <row r="25848" spans="2:4">
      <c r="B25848">
        <v>1</v>
      </c>
      <c r="C25848">
        <v>102</v>
      </c>
      <c r="D25848">
        <v>1</v>
      </c>
    </row>
    <row r="25849" spans="2:4">
      <c r="B25849">
        <v>1</v>
      </c>
      <c r="C25849">
        <v>102</v>
      </c>
      <c r="D25849">
        <v>1</v>
      </c>
    </row>
    <row r="25851" spans="2:4">
      <c r="B25851">
        <v>1</v>
      </c>
      <c r="C25851">
        <v>102</v>
      </c>
      <c r="D25851">
        <v>1</v>
      </c>
    </row>
    <row r="25853" spans="2:4">
      <c r="B25853">
        <v>1</v>
      </c>
      <c r="C25853">
        <v>102</v>
      </c>
      <c r="D25853">
        <v>1</v>
      </c>
    </row>
    <row r="25859" spans="2:4">
      <c r="B25859">
        <v>1</v>
      </c>
      <c r="C25859">
        <v>102</v>
      </c>
      <c r="D25859">
        <v>1</v>
      </c>
    </row>
    <row r="25863" spans="2:4">
      <c r="B25863">
        <v>1</v>
      </c>
      <c r="C25863">
        <v>102</v>
      </c>
      <c r="D25863">
        <v>1</v>
      </c>
    </row>
    <row r="25867" spans="2:4">
      <c r="B25867">
        <v>1</v>
      </c>
      <c r="C25867">
        <v>102</v>
      </c>
      <c r="D25867">
        <v>1</v>
      </c>
    </row>
    <row r="25872" spans="2:4">
      <c r="B25872">
        <v>1</v>
      </c>
      <c r="C25872">
        <v>102</v>
      </c>
      <c r="D25872">
        <v>1</v>
      </c>
    </row>
    <row r="25878" spans="2:4">
      <c r="B25878">
        <v>1</v>
      </c>
      <c r="C25878">
        <v>102</v>
      </c>
      <c r="D25878">
        <v>1</v>
      </c>
    </row>
    <row r="25879" spans="2:4">
      <c r="B25879">
        <v>1</v>
      </c>
      <c r="C25879">
        <v>102</v>
      </c>
      <c r="D25879">
        <v>1</v>
      </c>
    </row>
    <row r="25881" spans="2:4">
      <c r="B25881">
        <v>1</v>
      </c>
      <c r="C25881">
        <v>102</v>
      </c>
      <c r="D25881">
        <v>1</v>
      </c>
    </row>
    <row r="25882" spans="2:4">
      <c r="B25882">
        <v>1</v>
      </c>
      <c r="C25882">
        <v>102</v>
      </c>
      <c r="D25882">
        <v>1</v>
      </c>
    </row>
    <row r="25883" spans="2:4">
      <c r="B25883">
        <v>1</v>
      </c>
      <c r="C25883">
        <v>102</v>
      </c>
      <c r="D25883">
        <v>1</v>
      </c>
    </row>
    <row r="25886" spans="2:4">
      <c r="B25886">
        <v>1</v>
      </c>
      <c r="C25886">
        <v>102</v>
      </c>
      <c r="D25886">
        <v>1</v>
      </c>
    </row>
    <row r="25888" spans="2:4">
      <c r="B25888">
        <v>1</v>
      </c>
      <c r="C25888">
        <v>102</v>
      </c>
      <c r="D25888">
        <v>1</v>
      </c>
    </row>
    <row r="25891" spans="2:4">
      <c r="B25891">
        <v>1</v>
      </c>
      <c r="C25891">
        <v>102</v>
      </c>
      <c r="D25891">
        <v>1</v>
      </c>
    </row>
    <row r="25892" spans="2:4">
      <c r="B25892">
        <v>1</v>
      </c>
      <c r="C25892">
        <v>102</v>
      </c>
      <c r="D25892">
        <v>1</v>
      </c>
    </row>
    <row r="25894" spans="2:4">
      <c r="B25894">
        <v>1</v>
      </c>
      <c r="C25894">
        <v>102</v>
      </c>
      <c r="D25894">
        <v>1</v>
      </c>
    </row>
    <row r="25898" spans="2:4">
      <c r="B25898">
        <v>1</v>
      </c>
      <c r="C25898">
        <v>102</v>
      </c>
      <c r="D25898">
        <v>1</v>
      </c>
    </row>
    <row r="25909" spans="2:4">
      <c r="B25909">
        <v>1</v>
      </c>
      <c r="C25909">
        <v>102</v>
      </c>
      <c r="D25909">
        <v>1</v>
      </c>
    </row>
    <row r="25911" spans="2:4">
      <c r="B25911">
        <v>1</v>
      </c>
      <c r="C25911">
        <v>102</v>
      </c>
      <c r="D25911">
        <v>1</v>
      </c>
    </row>
    <row r="25913" spans="2:4">
      <c r="B25913">
        <v>1</v>
      </c>
      <c r="C25913">
        <v>102</v>
      </c>
      <c r="D25913">
        <v>1</v>
      </c>
    </row>
    <row r="25922" spans="2:4">
      <c r="B25922">
        <v>1</v>
      </c>
      <c r="C25922">
        <v>102</v>
      </c>
      <c r="D25922">
        <v>1</v>
      </c>
    </row>
    <row r="25928" spans="2:4">
      <c r="B25928">
        <v>1</v>
      </c>
      <c r="C25928">
        <v>102</v>
      </c>
      <c r="D25928">
        <v>1</v>
      </c>
    </row>
    <row r="25933" spans="2:4">
      <c r="B25933">
        <v>1</v>
      </c>
      <c r="C25933">
        <v>102</v>
      </c>
      <c r="D25933">
        <v>1</v>
      </c>
    </row>
    <row r="25934" spans="2:4">
      <c r="B25934">
        <v>1</v>
      </c>
      <c r="C25934">
        <v>102</v>
      </c>
      <c r="D25934">
        <v>1</v>
      </c>
    </row>
    <row r="25941" spans="2:4">
      <c r="B25941">
        <v>1</v>
      </c>
      <c r="C25941">
        <v>102</v>
      </c>
      <c r="D25941">
        <v>1</v>
      </c>
    </row>
    <row r="25946" spans="2:4">
      <c r="B25946">
        <v>1</v>
      </c>
      <c r="C25946">
        <v>102</v>
      </c>
      <c r="D25946">
        <v>1</v>
      </c>
    </row>
    <row r="25953" spans="2:4">
      <c r="B25953">
        <v>1</v>
      </c>
      <c r="C25953">
        <v>102</v>
      </c>
      <c r="D25953">
        <v>1</v>
      </c>
    </row>
    <row r="25964" spans="2:4">
      <c r="B25964">
        <v>1</v>
      </c>
      <c r="C25964">
        <v>102</v>
      </c>
      <c r="D25964">
        <v>1</v>
      </c>
    </row>
    <row r="25965" spans="2:4">
      <c r="B25965">
        <v>1</v>
      </c>
      <c r="C25965">
        <v>102</v>
      </c>
      <c r="D25965">
        <v>1</v>
      </c>
    </row>
    <row r="25968" spans="2:4">
      <c r="B25968">
        <v>1</v>
      </c>
      <c r="C25968">
        <v>102</v>
      </c>
      <c r="D25968">
        <v>1</v>
      </c>
    </row>
    <row r="25970" spans="2:4">
      <c r="B25970">
        <v>1</v>
      </c>
      <c r="C25970">
        <v>102</v>
      </c>
      <c r="D25970">
        <v>1</v>
      </c>
    </row>
    <row r="25972" spans="2:4">
      <c r="B25972">
        <v>1</v>
      </c>
      <c r="C25972">
        <v>102</v>
      </c>
      <c r="D25972">
        <v>1</v>
      </c>
    </row>
    <row r="25980" spans="2:4">
      <c r="B25980">
        <v>1</v>
      </c>
      <c r="C25980">
        <v>102</v>
      </c>
      <c r="D25980">
        <v>1</v>
      </c>
    </row>
    <row r="25982" spans="2:4">
      <c r="B25982">
        <v>1</v>
      </c>
      <c r="C25982">
        <v>102</v>
      </c>
      <c r="D25982">
        <v>1</v>
      </c>
    </row>
    <row r="25983" spans="2:4">
      <c r="B25983">
        <v>1</v>
      </c>
      <c r="C25983">
        <v>102</v>
      </c>
      <c r="D25983">
        <v>1</v>
      </c>
    </row>
    <row r="25984" spans="2:4">
      <c r="B25984">
        <v>1</v>
      </c>
      <c r="C25984">
        <v>102</v>
      </c>
      <c r="D25984">
        <v>1</v>
      </c>
    </row>
    <row r="25985" spans="2:4">
      <c r="B25985">
        <v>1</v>
      </c>
      <c r="C25985">
        <v>102</v>
      </c>
      <c r="D25985">
        <v>1</v>
      </c>
    </row>
    <row r="25988" spans="2:4">
      <c r="B25988">
        <v>1</v>
      </c>
      <c r="C25988">
        <v>102</v>
      </c>
      <c r="D25988">
        <v>1</v>
      </c>
    </row>
    <row r="25989" spans="2:4">
      <c r="B25989">
        <v>1</v>
      </c>
      <c r="C25989">
        <v>102</v>
      </c>
      <c r="D25989">
        <v>1</v>
      </c>
    </row>
    <row r="25990" spans="2:4">
      <c r="B25990">
        <v>1</v>
      </c>
      <c r="C25990">
        <v>102</v>
      </c>
      <c r="D25990">
        <v>1</v>
      </c>
    </row>
    <row r="25992" spans="2:4">
      <c r="B25992">
        <v>1</v>
      </c>
      <c r="C25992">
        <v>102</v>
      </c>
      <c r="D25992">
        <v>1</v>
      </c>
    </row>
    <row r="25994" spans="2:4">
      <c r="B25994">
        <v>1</v>
      </c>
      <c r="C25994">
        <v>102</v>
      </c>
      <c r="D25994">
        <v>1</v>
      </c>
    </row>
    <row r="25997" spans="2:4">
      <c r="B25997">
        <v>1</v>
      </c>
      <c r="C25997">
        <v>102</v>
      </c>
      <c r="D25997">
        <v>1</v>
      </c>
    </row>
    <row r="25999" spans="2:4">
      <c r="B25999">
        <v>1</v>
      </c>
      <c r="C25999">
        <v>102</v>
      </c>
      <c r="D25999">
        <v>1</v>
      </c>
    </row>
    <row r="26008" spans="2:4">
      <c r="B26008">
        <v>1</v>
      </c>
      <c r="C26008">
        <v>102</v>
      </c>
      <c r="D26008">
        <v>1</v>
      </c>
    </row>
    <row r="26015" spans="2:4">
      <c r="B26015">
        <v>1</v>
      </c>
      <c r="C26015">
        <v>102</v>
      </c>
      <c r="D26015">
        <v>1</v>
      </c>
    </row>
    <row r="26017" spans="2:4">
      <c r="B26017">
        <v>1</v>
      </c>
      <c r="C26017">
        <v>102</v>
      </c>
      <c r="D26017">
        <v>1</v>
      </c>
    </row>
    <row r="26018" spans="2:4">
      <c r="B26018">
        <v>1</v>
      </c>
      <c r="C26018">
        <v>102</v>
      </c>
      <c r="D26018">
        <v>1</v>
      </c>
    </row>
    <row r="26021" spans="2:4">
      <c r="B26021">
        <v>1</v>
      </c>
      <c r="C26021">
        <v>102</v>
      </c>
      <c r="D26021">
        <v>1</v>
      </c>
    </row>
    <row r="26024" spans="2:4">
      <c r="B26024">
        <v>1</v>
      </c>
      <c r="C26024">
        <v>102</v>
      </c>
      <c r="D26024">
        <v>1</v>
      </c>
    </row>
    <row r="26025" spans="2:4">
      <c r="B26025">
        <v>1</v>
      </c>
      <c r="C26025">
        <v>102</v>
      </c>
      <c r="D26025">
        <v>1</v>
      </c>
    </row>
    <row r="26029" spans="2:4">
      <c r="B26029">
        <v>1</v>
      </c>
      <c r="C26029">
        <v>102</v>
      </c>
      <c r="D26029">
        <v>1</v>
      </c>
    </row>
    <row r="26031" spans="2:4">
      <c r="B26031">
        <v>1</v>
      </c>
      <c r="C26031">
        <v>102</v>
      </c>
      <c r="D26031">
        <v>1</v>
      </c>
    </row>
    <row r="26038" spans="2:4">
      <c r="B26038">
        <v>1</v>
      </c>
      <c r="C26038">
        <v>102</v>
      </c>
      <c r="D26038">
        <v>1</v>
      </c>
    </row>
    <row r="26042" spans="2:4">
      <c r="B26042">
        <v>1</v>
      </c>
      <c r="C26042">
        <v>102</v>
      </c>
      <c r="D26042">
        <v>1</v>
      </c>
    </row>
    <row r="26043" spans="2:4">
      <c r="B26043">
        <v>1</v>
      </c>
      <c r="C26043">
        <v>102</v>
      </c>
      <c r="D26043">
        <v>1</v>
      </c>
    </row>
    <row r="26046" spans="2:4">
      <c r="B26046">
        <v>1</v>
      </c>
      <c r="C26046">
        <v>102</v>
      </c>
      <c r="D26046">
        <v>1</v>
      </c>
    </row>
    <row r="26052" spans="2:4">
      <c r="B26052">
        <v>1</v>
      </c>
      <c r="C26052">
        <v>102</v>
      </c>
      <c r="D26052">
        <v>1</v>
      </c>
    </row>
    <row r="26057" spans="2:4">
      <c r="B26057">
        <v>1</v>
      </c>
      <c r="C26057">
        <v>102</v>
      </c>
      <c r="D26057">
        <v>1</v>
      </c>
    </row>
    <row r="26060" spans="2:4">
      <c r="B26060">
        <v>1</v>
      </c>
      <c r="C26060">
        <v>102</v>
      </c>
      <c r="D26060">
        <v>1</v>
      </c>
    </row>
    <row r="26063" spans="2:4">
      <c r="B26063">
        <v>1</v>
      </c>
      <c r="C26063">
        <v>102</v>
      </c>
      <c r="D26063">
        <v>1</v>
      </c>
    </row>
    <row r="26065" spans="2:4">
      <c r="B26065">
        <v>1</v>
      </c>
      <c r="C26065">
        <v>102</v>
      </c>
      <c r="D26065">
        <v>1</v>
      </c>
    </row>
    <row r="26066" spans="2:4">
      <c r="B26066">
        <v>1</v>
      </c>
      <c r="C26066">
        <v>102</v>
      </c>
      <c r="D26066">
        <v>1</v>
      </c>
    </row>
    <row r="26067" spans="2:4">
      <c r="B26067">
        <v>1</v>
      </c>
      <c r="C26067">
        <v>102</v>
      </c>
      <c r="D26067">
        <v>1</v>
      </c>
    </row>
    <row r="26068" spans="2:4">
      <c r="B26068">
        <v>1</v>
      </c>
      <c r="C26068">
        <v>102</v>
      </c>
      <c r="D26068">
        <v>1</v>
      </c>
    </row>
    <row r="26075" spans="2:4">
      <c r="B26075">
        <v>1</v>
      </c>
      <c r="C26075">
        <v>102</v>
      </c>
      <c r="D26075">
        <v>1</v>
      </c>
    </row>
    <row r="26076" spans="2:4">
      <c r="B26076">
        <v>1</v>
      </c>
      <c r="C26076">
        <v>102</v>
      </c>
      <c r="D26076">
        <v>1</v>
      </c>
    </row>
    <row r="26077" spans="2:4">
      <c r="B26077">
        <v>1</v>
      </c>
      <c r="C26077">
        <v>102</v>
      </c>
      <c r="D26077">
        <v>1</v>
      </c>
    </row>
    <row r="26078" spans="2:4">
      <c r="B26078">
        <v>1</v>
      </c>
      <c r="C26078">
        <v>102</v>
      </c>
      <c r="D26078">
        <v>1</v>
      </c>
    </row>
    <row r="26082" spans="2:4">
      <c r="B26082">
        <v>1</v>
      </c>
      <c r="C26082">
        <v>102</v>
      </c>
      <c r="D26082">
        <v>1</v>
      </c>
    </row>
    <row r="26084" spans="2:4">
      <c r="B26084">
        <v>1</v>
      </c>
      <c r="C26084">
        <v>102</v>
      </c>
      <c r="D26084">
        <v>1</v>
      </c>
    </row>
    <row r="26087" spans="2:4">
      <c r="B26087">
        <v>1</v>
      </c>
      <c r="C26087">
        <v>102</v>
      </c>
      <c r="D26087">
        <v>1</v>
      </c>
    </row>
    <row r="26088" spans="2:4">
      <c r="B26088">
        <v>1</v>
      </c>
      <c r="C26088">
        <v>102</v>
      </c>
      <c r="D26088">
        <v>1</v>
      </c>
    </row>
    <row r="26091" spans="2:4">
      <c r="B26091">
        <v>1</v>
      </c>
      <c r="C26091">
        <v>102</v>
      </c>
      <c r="D26091">
        <v>1</v>
      </c>
    </row>
    <row r="26094" spans="2:4">
      <c r="B26094">
        <v>1</v>
      </c>
      <c r="C26094">
        <v>102</v>
      </c>
      <c r="D26094">
        <v>1</v>
      </c>
    </row>
    <row r="26097" spans="2:4">
      <c r="B26097">
        <v>1</v>
      </c>
      <c r="C26097">
        <v>102</v>
      </c>
      <c r="D26097">
        <v>1</v>
      </c>
    </row>
    <row r="26099" spans="2:4">
      <c r="B26099">
        <v>1</v>
      </c>
      <c r="C26099">
        <v>102</v>
      </c>
      <c r="D26099">
        <v>1</v>
      </c>
    </row>
    <row r="26104" spans="2:4">
      <c r="B26104">
        <v>1</v>
      </c>
      <c r="C26104">
        <v>102</v>
      </c>
      <c r="D26104">
        <v>1</v>
      </c>
    </row>
    <row r="26105" spans="2:4">
      <c r="B26105">
        <v>1</v>
      </c>
      <c r="C26105">
        <v>102</v>
      </c>
      <c r="D26105">
        <v>1</v>
      </c>
    </row>
    <row r="26107" spans="2:4">
      <c r="B26107">
        <v>1</v>
      </c>
      <c r="C26107">
        <v>102</v>
      </c>
      <c r="D26107">
        <v>1</v>
      </c>
    </row>
    <row r="26109" spans="2:4">
      <c r="B26109">
        <v>1</v>
      </c>
      <c r="C26109">
        <v>102</v>
      </c>
      <c r="D26109">
        <v>1</v>
      </c>
    </row>
    <row r="26115" spans="2:4">
      <c r="B26115">
        <v>1</v>
      </c>
      <c r="C26115">
        <v>102</v>
      </c>
      <c r="D26115">
        <v>1</v>
      </c>
    </row>
    <row r="26119" spans="2:4">
      <c r="B26119">
        <v>1</v>
      </c>
      <c r="C26119">
        <v>102</v>
      </c>
      <c r="D26119">
        <v>1</v>
      </c>
    </row>
    <row r="26123" spans="2:4">
      <c r="B26123">
        <v>1</v>
      </c>
      <c r="C26123">
        <v>102</v>
      </c>
      <c r="D26123">
        <v>1</v>
      </c>
    </row>
    <row r="26128" spans="2:4">
      <c r="B26128">
        <v>1</v>
      </c>
      <c r="C26128">
        <v>102</v>
      </c>
      <c r="D26128">
        <v>1</v>
      </c>
    </row>
    <row r="26134" spans="2:4">
      <c r="B26134">
        <v>1</v>
      </c>
      <c r="C26134">
        <v>102</v>
      </c>
      <c r="D26134">
        <v>1</v>
      </c>
    </row>
    <row r="26135" spans="2:4">
      <c r="B26135">
        <v>1</v>
      </c>
      <c r="C26135">
        <v>102</v>
      </c>
      <c r="D26135">
        <v>1</v>
      </c>
    </row>
    <row r="26137" spans="2:4">
      <c r="B26137">
        <v>1</v>
      </c>
      <c r="C26137">
        <v>102</v>
      </c>
      <c r="D26137">
        <v>1</v>
      </c>
    </row>
    <row r="26138" spans="2:4">
      <c r="B26138">
        <v>1</v>
      </c>
      <c r="C26138">
        <v>102</v>
      </c>
      <c r="D26138">
        <v>1</v>
      </c>
    </row>
    <row r="26139" spans="2:4">
      <c r="B26139">
        <v>1</v>
      </c>
      <c r="C26139">
        <v>102</v>
      </c>
      <c r="D26139">
        <v>1</v>
      </c>
    </row>
    <row r="26142" spans="2:4">
      <c r="B26142">
        <v>1</v>
      </c>
      <c r="C26142">
        <v>102</v>
      </c>
      <c r="D26142">
        <v>1</v>
      </c>
    </row>
    <row r="26144" spans="2:4">
      <c r="B26144">
        <v>1</v>
      </c>
      <c r="C26144">
        <v>102</v>
      </c>
      <c r="D26144">
        <v>1</v>
      </c>
    </row>
    <row r="26147" spans="2:4">
      <c r="B26147">
        <v>1</v>
      </c>
      <c r="C26147">
        <v>102</v>
      </c>
      <c r="D26147">
        <v>1</v>
      </c>
    </row>
    <row r="26148" spans="2:4">
      <c r="B26148">
        <v>1</v>
      </c>
      <c r="C26148">
        <v>102</v>
      </c>
      <c r="D26148">
        <v>1</v>
      </c>
    </row>
    <row r="26150" spans="2:4">
      <c r="B26150">
        <v>1</v>
      </c>
      <c r="C26150">
        <v>102</v>
      </c>
      <c r="D26150">
        <v>1</v>
      </c>
    </row>
    <row r="26154" spans="2:4">
      <c r="B26154">
        <v>1</v>
      </c>
      <c r="C26154">
        <v>102</v>
      </c>
      <c r="D26154">
        <v>1</v>
      </c>
    </row>
    <row r="26165" spans="2:4">
      <c r="B26165">
        <v>1</v>
      </c>
      <c r="C26165">
        <v>102</v>
      </c>
      <c r="D26165">
        <v>1</v>
      </c>
    </row>
    <row r="26167" spans="2:4">
      <c r="B26167">
        <v>1</v>
      </c>
      <c r="C26167">
        <v>102</v>
      </c>
      <c r="D26167">
        <v>1</v>
      </c>
    </row>
    <row r="26169" spans="2:4">
      <c r="B26169">
        <v>1</v>
      </c>
      <c r="C26169">
        <v>102</v>
      </c>
      <c r="D26169">
        <v>1</v>
      </c>
    </row>
    <row r="26178" spans="2:4">
      <c r="B26178">
        <v>1</v>
      </c>
      <c r="C26178">
        <v>102</v>
      </c>
      <c r="D26178">
        <v>1</v>
      </c>
    </row>
    <row r="26184" spans="2:4">
      <c r="B26184">
        <v>1</v>
      </c>
      <c r="C26184">
        <v>102</v>
      </c>
      <c r="D26184">
        <v>1</v>
      </c>
    </row>
    <row r="26189" spans="2:4">
      <c r="B26189">
        <v>1</v>
      </c>
      <c r="C26189">
        <v>102</v>
      </c>
      <c r="D26189">
        <v>1</v>
      </c>
    </row>
    <row r="26190" spans="2:4">
      <c r="B26190">
        <v>1</v>
      </c>
      <c r="C26190">
        <v>102</v>
      </c>
      <c r="D26190">
        <v>1</v>
      </c>
    </row>
    <row r="26197" spans="2:4">
      <c r="B26197">
        <v>1</v>
      </c>
      <c r="C26197">
        <v>102</v>
      </c>
      <c r="D26197">
        <v>1</v>
      </c>
    </row>
    <row r="26202" spans="2:4">
      <c r="B26202">
        <v>1</v>
      </c>
      <c r="C26202">
        <v>102</v>
      </c>
      <c r="D26202">
        <v>1</v>
      </c>
    </row>
    <row r="26209" spans="2:4">
      <c r="B26209">
        <v>1</v>
      </c>
      <c r="C26209">
        <v>102</v>
      </c>
      <c r="D26209">
        <v>1</v>
      </c>
    </row>
    <row r="26220" spans="2:4">
      <c r="B26220">
        <v>1</v>
      </c>
      <c r="C26220">
        <v>102</v>
      </c>
      <c r="D26220">
        <v>1</v>
      </c>
    </row>
    <row r="26221" spans="2:4">
      <c r="B26221">
        <v>1</v>
      </c>
      <c r="C26221">
        <v>102</v>
      </c>
      <c r="D26221">
        <v>1</v>
      </c>
    </row>
    <row r="26224" spans="2:4">
      <c r="B26224">
        <v>1</v>
      </c>
      <c r="C26224">
        <v>102</v>
      </c>
      <c r="D26224">
        <v>1</v>
      </c>
    </row>
    <row r="26226" spans="2:4">
      <c r="B26226">
        <v>1</v>
      </c>
      <c r="C26226">
        <v>102</v>
      </c>
      <c r="D26226">
        <v>1</v>
      </c>
    </row>
    <row r="26228" spans="2:4">
      <c r="B26228">
        <v>1</v>
      </c>
      <c r="C26228">
        <v>102</v>
      </c>
      <c r="D26228">
        <v>1</v>
      </c>
    </row>
    <row r="26236" spans="2:4">
      <c r="B26236">
        <v>1</v>
      </c>
      <c r="C26236">
        <v>102</v>
      </c>
      <c r="D26236">
        <v>1</v>
      </c>
    </row>
    <row r="26238" spans="2:4">
      <c r="B26238">
        <v>1</v>
      </c>
      <c r="C26238">
        <v>102</v>
      </c>
      <c r="D26238">
        <v>1</v>
      </c>
    </row>
    <row r="26239" spans="2:4">
      <c r="B26239">
        <v>1</v>
      </c>
      <c r="C26239">
        <v>102</v>
      </c>
      <c r="D26239">
        <v>1</v>
      </c>
    </row>
    <row r="26240" spans="2:4">
      <c r="B26240">
        <v>1</v>
      </c>
      <c r="C26240">
        <v>102</v>
      </c>
      <c r="D26240">
        <v>1</v>
      </c>
    </row>
    <row r="26241" spans="2:4">
      <c r="B26241">
        <v>1</v>
      </c>
      <c r="C26241">
        <v>102</v>
      </c>
      <c r="D26241">
        <v>1</v>
      </c>
    </row>
    <row r="26244" spans="2:4">
      <c r="B26244">
        <v>1</v>
      </c>
      <c r="C26244">
        <v>102</v>
      </c>
      <c r="D26244">
        <v>1</v>
      </c>
    </row>
    <row r="26245" spans="2:4">
      <c r="B26245">
        <v>1</v>
      </c>
      <c r="C26245">
        <v>102</v>
      </c>
      <c r="D26245">
        <v>1</v>
      </c>
    </row>
    <row r="26246" spans="2:4">
      <c r="B26246">
        <v>1</v>
      </c>
      <c r="C26246">
        <v>102</v>
      </c>
      <c r="D26246">
        <v>1</v>
      </c>
    </row>
    <row r="26248" spans="2:4">
      <c r="B26248">
        <v>1</v>
      </c>
      <c r="C26248">
        <v>102</v>
      </c>
      <c r="D26248">
        <v>1</v>
      </c>
    </row>
    <row r="26250" spans="2:4">
      <c r="B26250">
        <v>1</v>
      </c>
      <c r="C26250">
        <v>102</v>
      </c>
      <c r="D26250">
        <v>1</v>
      </c>
    </row>
    <row r="26253" spans="2:4">
      <c r="B26253">
        <v>1</v>
      </c>
      <c r="C26253">
        <v>102</v>
      </c>
      <c r="D26253">
        <v>1</v>
      </c>
    </row>
    <row r="26255" spans="2:4">
      <c r="B26255">
        <v>1</v>
      </c>
      <c r="C26255">
        <v>102</v>
      </c>
      <c r="D26255">
        <v>1</v>
      </c>
    </row>
    <row r="26264" spans="2:4">
      <c r="B26264">
        <v>1</v>
      </c>
      <c r="C26264">
        <v>102</v>
      </c>
      <c r="D26264">
        <v>1</v>
      </c>
    </row>
    <row r="26271" spans="2:4">
      <c r="B26271">
        <v>1</v>
      </c>
      <c r="C26271">
        <v>102</v>
      </c>
      <c r="D26271">
        <v>1</v>
      </c>
    </row>
    <row r="26273" spans="2:4">
      <c r="B26273">
        <v>1</v>
      </c>
      <c r="C26273">
        <v>102</v>
      </c>
      <c r="D26273">
        <v>1</v>
      </c>
    </row>
    <row r="26274" spans="2:4">
      <c r="B26274">
        <v>1</v>
      </c>
      <c r="C26274">
        <v>102</v>
      </c>
      <c r="D26274">
        <v>1</v>
      </c>
    </row>
    <row r="26277" spans="2:4">
      <c r="B26277">
        <v>1</v>
      </c>
      <c r="C26277">
        <v>102</v>
      </c>
      <c r="D26277">
        <v>1</v>
      </c>
    </row>
    <row r="26280" spans="2:4">
      <c r="B26280">
        <v>1</v>
      </c>
      <c r="C26280">
        <v>102</v>
      </c>
      <c r="D26280">
        <v>1</v>
      </c>
    </row>
    <row r="26281" spans="2:4">
      <c r="B26281">
        <v>1</v>
      </c>
      <c r="C26281">
        <v>102</v>
      </c>
      <c r="D26281">
        <v>1</v>
      </c>
    </row>
    <row r="26285" spans="2:4">
      <c r="B26285">
        <v>1</v>
      </c>
      <c r="C26285">
        <v>102</v>
      </c>
      <c r="D26285">
        <v>1</v>
      </c>
    </row>
    <row r="26287" spans="2:4">
      <c r="B26287">
        <v>1</v>
      </c>
      <c r="C26287">
        <v>102</v>
      </c>
      <c r="D26287">
        <v>1</v>
      </c>
    </row>
    <row r="26294" spans="2:4">
      <c r="B26294">
        <v>1</v>
      </c>
      <c r="C26294">
        <v>102</v>
      </c>
      <c r="D26294">
        <v>1</v>
      </c>
    </row>
    <row r="26298" spans="2:4">
      <c r="B26298">
        <v>1</v>
      </c>
      <c r="C26298">
        <v>102</v>
      </c>
      <c r="D26298">
        <v>1</v>
      </c>
    </row>
    <row r="26299" spans="2:4">
      <c r="B26299">
        <v>1</v>
      </c>
      <c r="C26299">
        <v>102</v>
      </c>
      <c r="D26299">
        <v>1</v>
      </c>
    </row>
    <row r="26302" spans="2:4">
      <c r="B26302">
        <v>1</v>
      </c>
      <c r="C26302">
        <v>102</v>
      </c>
      <c r="D26302">
        <v>1</v>
      </c>
    </row>
    <row r="26308" spans="2:4">
      <c r="B26308">
        <v>1</v>
      </c>
      <c r="C26308">
        <v>102</v>
      </c>
      <c r="D26308">
        <v>1</v>
      </c>
    </row>
    <row r="26313" spans="2:4">
      <c r="B26313">
        <v>1</v>
      </c>
      <c r="C26313">
        <v>102</v>
      </c>
      <c r="D26313">
        <v>1</v>
      </c>
    </row>
    <row r="26316" spans="2:4">
      <c r="B26316">
        <v>1</v>
      </c>
      <c r="C26316">
        <v>102</v>
      </c>
      <c r="D26316">
        <v>1</v>
      </c>
    </row>
    <row r="26319" spans="2:4">
      <c r="B26319">
        <v>1</v>
      </c>
      <c r="C26319">
        <v>102</v>
      </c>
      <c r="D26319">
        <v>1</v>
      </c>
    </row>
    <row r="26321" spans="2:4">
      <c r="B26321">
        <v>1</v>
      </c>
      <c r="C26321">
        <v>102</v>
      </c>
      <c r="D26321">
        <v>1</v>
      </c>
    </row>
    <row r="26322" spans="2:4">
      <c r="B26322">
        <v>1</v>
      </c>
      <c r="C26322">
        <v>102</v>
      </c>
      <c r="D26322">
        <v>1</v>
      </c>
    </row>
    <row r="26323" spans="2:4">
      <c r="B26323">
        <v>1</v>
      </c>
      <c r="C26323">
        <v>102</v>
      </c>
      <c r="D26323">
        <v>1</v>
      </c>
    </row>
    <row r="26324" spans="2:4">
      <c r="B26324">
        <v>1</v>
      </c>
      <c r="C26324">
        <v>102</v>
      </c>
      <c r="D26324">
        <v>1</v>
      </c>
    </row>
    <row r="26331" spans="2:4">
      <c r="B26331">
        <v>1</v>
      </c>
      <c r="C26331">
        <v>102</v>
      </c>
      <c r="D26331">
        <v>1</v>
      </c>
    </row>
    <row r="26332" spans="2:4">
      <c r="B26332">
        <v>1</v>
      </c>
      <c r="C26332">
        <v>102</v>
      </c>
      <c r="D26332">
        <v>1</v>
      </c>
    </row>
    <row r="26333" spans="2:4">
      <c r="B26333">
        <v>1</v>
      </c>
      <c r="C26333">
        <v>102</v>
      </c>
      <c r="D26333">
        <v>1</v>
      </c>
    </row>
    <row r="26334" spans="2:4">
      <c r="B26334">
        <v>1</v>
      </c>
      <c r="C26334">
        <v>102</v>
      </c>
      <c r="D26334">
        <v>1</v>
      </c>
    </row>
    <row r="26338" spans="2:4">
      <c r="B26338">
        <v>1</v>
      </c>
      <c r="C26338">
        <v>102</v>
      </c>
      <c r="D26338">
        <v>1</v>
      </c>
    </row>
    <row r="26340" spans="2:4">
      <c r="B26340">
        <v>1</v>
      </c>
      <c r="C26340">
        <v>102</v>
      </c>
      <c r="D26340">
        <v>1</v>
      </c>
    </row>
    <row r="26343" spans="2:4">
      <c r="B26343">
        <v>1</v>
      </c>
      <c r="C26343">
        <v>102</v>
      </c>
      <c r="D26343">
        <v>1</v>
      </c>
    </row>
    <row r="26344" spans="2:4">
      <c r="B26344">
        <v>1</v>
      </c>
      <c r="C26344">
        <v>102</v>
      </c>
      <c r="D26344">
        <v>1</v>
      </c>
    </row>
    <row r="26347" spans="2:4">
      <c r="B26347">
        <v>1</v>
      </c>
      <c r="C26347">
        <v>102</v>
      </c>
      <c r="D26347">
        <v>1</v>
      </c>
    </row>
    <row r="26350" spans="2:4">
      <c r="B26350">
        <v>1</v>
      </c>
      <c r="C26350">
        <v>102</v>
      </c>
      <c r="D26350">
        <v>1</v>
      </c>
    </row>
    <row r="26353" spans="2:4">
      <c r="B26353">
        <v>1</v>
      </c>
      <c r="C26353">
        <v>102</v>
      </c>
      <c r="D26353">
        <v>1</v>
      </c>
    </row>
    <row r="26355" spans="2:4">
      <c r="B26355">
        <v>1</v>
      </c>
      <c r="C26355">
        <v>102</v>
      </c>
      <c r="D26355">
        <v>1</v>
      </c>
    </row>
    <row r="26360" spans="2:4">
      <c r="B26360">
        <v>1</v>
      </c>
      <c r="C26360">
        <v>102</v>
      </c>
      <c r="D26360">
        <v>1</v>
      </c>
    </row>
    <row r="26361" spans="2:4">
      <c r="B26361">
        <v>1</v>
      </c>
      <c r="C26361">
        <v>102</v>
      </c>
      <c r="D26361">
        <v>1</v>
      </c>
    </row>
    <row r="26363" spans="2:4">
      <c r="B26363">
        <v>1</v>
      </c>
      <c r="C26363">
        <v>102</v>
      </c>
      <c r="D26363">
        <v>1</v>
      </c>
    </row>
    <row r="26365" spans="2:4">
      <c r="B26365">
        <v>1</v>
      </c>
      <c r="C26365">
        <v>102</v>
      </c>
      <c r="D26365">
        <v>1</v>
      </c>
    </row>
    <row r="26371" spans="2:4">
      <c r="B26371">
        <v>1</v>
      </c>
      <c r="C26371">
        <v>102</v>
      </c>
      <c r="D26371">
        <v>1</v>
      </c>
    </row>
    <row r="26375" spans="2:4">
      <c r="B26375">
        <v>1</v>
      </c>
      <c r="C26375">
        <v>102</v>
      </c>
      <c r="D26375">
        <v>1</v>
      </c>
    </row>
    <row r="26379" spans="2:4">
      <c r="B26379">
        <v>1</v>
      </c>
      <c r="C26379">
        <v>102</v>
      </c>
      <c r="D26379">
        <v>1</v>
      </c>
    </row>
    <row r="26384" spans="2:4">
      <c r="B26384">
        <v>1</v>
      </c>
      <c r="C26384">
        <v>102</v>
      </c>
      <c r="D26384">
        <v>1</v>
      </c>
    </row>
    <row r="26390" spans="2:4">
      <c r="B26390">
        <v>1</v>
      </c>
      <c r="C26390">
        <v>102</v>
      </c>
      <c r="D26390">
        <v>1</v>
      </c>
    </row>
    <row r="26391" spans="2:4">
      <c r="B26391">
        <v>1</v>
      </c>
      <c r="C26391">
        <v>102</v>
      </c>
      <c r="D26391">
        <v>1</v>
      </c>
    </row>
    <row r="26393" spans="2:4">
      <c r="B26393">
        <v>1</v>
      </c>
      <c r="C26393">
        <v>102</v>
      </c>
      <c r="D26393">
        <v>1</v>
      </c>
    </row>
    <row r="26394" spans="2:4">
      <c r="B26394">
        <v>1</v>
      </c>
      <c r="C26394">
        <v>102</v>
      </c>
      <c r="D26394">
        <v>1</v>
      </c>
    </row>
    <row r="26395" spans="2:4">
      <c r="B26395">
        <v>1</v>
      </c>
      <c r="C26395">
        <v>102</v>
      </c>
      <c r="D26395">
        <v>1</v>
      </c>
    </row>
    <row r="26398" spans="2:4">
      <c r="B26398">
        <v>1</v>
      </c>
      <c r="C26398">
        <v>102</v>
      </c>
      <c r="D26398">
        <v>1</v>
      </c>
    </row>
    <row r="26400" spans="2:4">
      <c r="B26400">
        <v>1</v>
      </c>
      <c r="C26400">
        <v>102</v>
      </c>
      <c r="D26400">
        <v>1</v>
      </c>
    </row>
    <row r="26403" spans="2:4">
      <c r="B26403">
        <v>1</v>
      </c>
      <c r="C26403">
        <v>102</v>
      </c>
      <c r="D26403">
        <v>1</v>
      </c>
    </row>
    <row r="26404" spans="2:4">
      <c r="B26404">
        <v>1</v>
      </c>
      <c r="C26404">
        <v>102</v>
      </c>
      <c r="D26404">
        <v>1</v>
      </c>
    </row>
    <row r="26406" spans="2:4">
      <c r="B26406">
        <v>1</v>
      </c>
      <c r="C26406">
        <v>102</v>
      </c>
      <c r="D26406">
        <v>1</v>
      </c>
    </row>
    <row r="26410" spans="2:4">
      <c r="B26410">
        <v>1</v>
      </c>
      <c r="C26410">
        <v>102</v>
      </c>
      <c r="D26410">
        <v>1</v>
      </c>
    </row>
    <row r="26421" spans="2:4">
      <c r="B26421">
        <v>1</v>
      </c>
      <c r="C26421">
        <v>102</v>
      </c>
      <c r="D26421">
        <v>1</v>
      </c>
    </row>
    <row r="26423" spans="2:4">
      <c r="B26423">
        <v>1</v>
      </c>
      <c r="C26423">
        <v>102</v>
      </c>
      <c r="D26423">
        <v>1</v>
      </c>
    </row>
    <row r="26425" spans="2:4">
      <c r="B26425">
        <v>1</v>
      </c>
      <c r="C26425">
        <v>102</v>
      </c>
      <c r="D26425">
        <v>1</v>
      </c>
    </row>
    <row r="26434" spans="2:4">
      <c r="B26434">
        <v>1</v>
      </c>
      <c r="C26434">
        <v>102</v>
      </c>
      <c r="D26434">
        <v>1</v>
      </c>
    </row>
    <row r="26440" spans="2:4">
      <c r="B26440">
        <v>1</v>
      </c>
      <c r="C26440">
        <v>102</v>
      </c>
      <c r="D26440">
        <v>1</v>
      </c>
    </row>
    <row r="26445" spans="2:4">
      <c r="B26445">
        <v>1</v>
      </c>
      <c r="C26445">
        <v>102</v>
      </c>
      <c r="D26445">
        <v>1</v>
      </c>
    </row>
    <row r="26446" spans="2:4">
      <c r="B26446">
        <v>1</v>
      </c>
      <c r="C26446">
        <v>102</v>
      </c>
      <c r="D26446">
        <v>1</v>
      </c>
    </row>
    <row r="26453" spans="2:4">
      <c r="B26453">
        <v>1</v>
      </c>
      <c r="C26453">
        <v>102</v>
      </c>
      <c r="D26453">
        <v>1</v>
      </c>
    </row>
    <row r="26458" spans="2:4">
      <c r="B26458">
        <v>1</v>
      </c>
      <c r="C26458">
        <v>102</v>
      </c>
      <c r="D26458">
        <v>1</v>
      </c>
    </row>
    <row r="26465" spans="2:4">
      <c r="B26465">
        <v>1</v>
      </c>
      <c r="C26465">
        <v>102</v>
      </c>
      <c r="D26465">
        <v>1</v>
      </c>
    </row>
    <row r="26476" spans="2:4">
      <c r="B26476">
        <v>1</v>
      </c>
      <c r="C26476">
        <v>102</v>
      </c>
      <c r="D26476">
        <v>1</v>
      </c>
    </row>
    <row r="26477" spans="2:4">
      <c r="B26477">
        <v>1</v>
      </c>
      <c r="C26477">
        <v>102</v>
      </c>
      <c r="D26477">
        <v>1</v>
      </c>
    </row>
    <row r="26480" spans="2:4">
      <c r="B26480">
        <v>1</v>
      </c>
      <c r="C26480">
        <v>102</v>
      </c>
      <c r="D26480">
        <v>1</v>
      </c>
    </row>
    <row r="26482" spans="2:4">
      <c r="B26482">
        <v>1</v>
      </c>
      <c r="C26482">
        <v>102</v>
      </c>
      <c r="D26482">
        <v>1</v>
      </c>
    </row>
    <row r="26484" spans="2:4">
      <c r="B26484">
        <v>1</v>
      </c>
      <c r="C26484">
        <v>102</v>
      </c>
      <c r="D26484">
        <v>1</v>
      </c>
    </row>
    <row r="26492" spans="2:4">
      <c r="B26492">
        <v>1</v>
      </c>
      <c r="C26492">
        <v>102</v>
      </c>
      <c r="D26492">
        <v>1</v>
      </c>
    </row>
    <row r="26494" spans="2:4">
      <c r="B26494">
        <v>1</v>
      </c>
      <c r="C26494">
        <v>102</v>
      </c>
      <c r="D26494">
        <v>1</v>
      </c>
    </row>
    <row r="26495" spans="2:4">
      <c r="B26495">
        <v>1</v>
      </c>
      <c r="C26495">
        <v>102</v>
      </c>
      <c r="D26495">
        <v>1</v>
      </c>
    </row>
    <row r="26496" spans="2:4">
      <c r="B26496">
        <v>1</v>
      </c>
      <c r="C26496">
        <v>102</v>
      </c>
      <c r="D26496">
        <v>1</v>
      </c>
    </row>
    <row r="26497" spans="2:4">
      <c r="B26497">
        <v>1</v>
      </c>
      <c r="C26497">
        <v>102</v>
      </c>
      <c r="D26497">
        <v>1</v>
      </c>
    </row>
    <row r="26500" spans="2:4">
      <c r="B26500">
        <v>1</v>
      </c>
      <c r="C26500">
        <v>102</v>
      </c>
      <c r="D26500">
        <v>1</v>
      </c>
    </row>
    <row r="26501" spans="2:4">
      <c r="B26501">
        <v>1</v>
      </c>
      <c r="C26501">
        <v>102</v>
      </c>
      <c r="D26501">
        <v>1</v>
      </c>
    </row>
    <row r="26502" spans="2:4">
      <c r="B26502">
        <v>1</v>
      </c>
      <c r="C26502">
        <v>102</v>
      </c>
      <c r="D26502">
        <v>1</v>
      </c>
    </row>
    <row r="26504" spans="2:4">
      <c r="B26504">
        <v>1</v>
      </c>
      <c r="C26504">
        <v>102</v>
      </c>
      <c r="D26504">
        <v>1</v>
      </c>
    </row>
    <row r="26506" spans="2:4">
      <c r="B26506">
        <v>1</v>
      </c>
      <c r="C26506">
        <v>102</v>
      </c>
      <c r="D26506">
        <v>1</v>
      </c>
    </row>
    <row r="26509" spans="2:4">
      <c r="B26509">
        <v>1</v>
      </c>
      <c r="C26509">
        <v>102</v>
      </c>
      <c r="D26509">
        <v>1</v>
      </c>
    </row>
    <row r="26511" spans="2:4">
      <c r="B26511">
        <v>1</v>
      </c>
      <c r="C26511">
        <v>102</v>
      </c>
      <c r="D26511">
        <v>1</v>
      </c>
    </row>
    <row r="26520" spans="2:4">
      <c r="B26520">
        <v>1</v>
      </c>
      <c r="C26520">
        <v>102</v>
      </c>
      <c r="D26520">
        <v>1</v>
      </c>
    </row>
    <row r="26527" spans="2:4">
      <c r="B26527">
        <v>1</v>
      </c>
      <c r="C26527">
        <v>102</v>
      </c>
      <c r="D26527">
        <v>1</v>
      </c>
    </row>
    <row r="26529" spans="2:4">
      <c r="B26529">
        <v>1</v>
      </c>
      <c r="C26529">
        <v>102</v>
      </c>
      <c r="D26529">
        <v>1</v>
      </c>
    </row>
    <row r="26530" spans="2:4">
      <c r="B26530">
        <v>1</v>
      </c>
      <c r="C26530">
        <v>102</v>
      </c>
      <c r="D26530">
        <v>1</v>
      </c>
    </row>
    <row r="26533" spans="2:4">
      <c r="B26533">
        <v>1</v>
      </c>
      <c r="C26533">
        <v>102</v>
      </c>
      <c r="D26533">
        <v>1</v>
      </c>
    </row>
    <row r="26536" spans="2:4">
      <c r="B26536">
        <v>1</v>
      </c>
      <c r="C26536">
        <v>102</v>
      </c>
      <c r="D26536">
        <v>1</v>
      </c>
    </row>
    <row r="26537" spans="2:4">
      <c r="B26537">
        <v>1</v>
      </c>
      <c r="C26537">
        <v>102</v>
      </c>
      <c r="D26537">
        <v>1</v>
      </c>
    </row>
    <row r="26541" spans="2:4">
      <c r="B26541">
        <v>1</v>
      </c>
      <c r="C26541">
        <v>102</v>
      </c>
      <c r="D26541">
        <v>1</v>
      </c>
    </row>
    <row r="26543" spans="2:4">
      <c r="B26543">
        <v>1</v>
      </c>
      <c r="C26543">
        <v>102</v>
      </c>
      <c r="D26543">
        <v>1</v>
      </c>
    </row>
    <row r="26550" spans="2:4">
      <c r="B26550">
        <v>1</v>
      </c>
      <c r="C26550">
        <v>102</v>
      </c>
      <c r="D26550">
        <v>1</v>
      </c>
    </row>
    <row r="26554" spans="2:4">
      <c r="B26554">
        <v>1</v>
      </c>
      <c r="C26554">
        <v>102</v>
      </c>
      <c r="D26554">
        <v>1</v>
      </c>
    </row>
    <row r="26555" spans="2:4">
      <c r="B26555">
        <v>1</v>
      </c>
      <c r="C26555">
        <v>102</v>
      </c>
      <c r="D26555">
        <v>1</v>
      </c>
    </row>
    <row r="26558" spans="2:4">
      <c r="B26558">
        <v>1</v>
      </c>
      <c r="C26558">
        <v>102</v>
      </c>
      <c r="D26558">
        <v>1</v>
      </c>
    </row>
    <row r="26564" spans="2:4">
      <c r="B26564">
        <v>1</v>
      </c>
      <c r="C26564">
        <v>102</v>
      </c>
      <c r="D26564">
        <v>1</v>
      </c>
    </row>
    <row r="26569" spans="2:4">
      <c r="B26569">
        <v>1</v>
      </c>
      <c r="C26569">
        <v>102</v>
      </c>
      <c r="D26569">
        <v>1</v>
      </c>
    </row>
    <row r="26572" spans="2:4">
      <c r="B26572">
        <v>1</v>
      </c>
      <c r="C26572">
        <v>102</v>
      </c>
      <c r="D26572">
        <v>1</v>
      </c>
    </row>
    <row r="26575" spans="2:4">
      <c r="B26575">
        <v>1</v>
      </c>
      <c r="C26575">
        <v>102</v>
      </c>
      <c r="D26575">
        <v>1</v>
      </c>
    </row>
    <row r="26577" spans="2:4">
      <c r="B26577">
        <v>1</v>
      </c>
      <c r="C26577">
        <v>102</v>
      </c>
      <c r="D26577">
        <v>1</v>
      </c>
    </row>
    <row r="26578" spans="2:4">
      <c r="B26578">
        <v>1</v>
      </c>
      <c r="C26578">
        <v>102</v>
      </c>
      <c r="D26578">
        <v>1</v>
      </c>
    </row>
    <row r="26579" spans="2:4">
      <c r="B26579">
        <v>1</v>
      </c>
      <c r="C26579">
        <v>102</v>
      </c>
      <c r="D26579">
        <v>1</v>
      </c>
    </row>
    <row r="26580" spans="2:4">
      <c r="B26580">
        <v>1</v>
      </c>
      <c r="C26580">
        <v>102</v>
      </c>
      <c r="D26580">
        <v>1</v>
      </c>
    </row>
    <row r="26587" spans="2:4">
      <c r="B26587">
        <v>1</v>
      </c>
      <c r="C26587">
        <v>102</v>
      </c>
      <c r="D26587">
        <v>1</v>
      </c>
    </row>
    <row r="26588" spans="2:4">
      <c r="B26588">
        <v>1</v>
      </c>
      <c r="C26588">
        <v>102</v>
      </c>
      <c r="D26588">
        <v>1</v>
      </c>
    </row>
    <row r="26589" spans="2:4">
      <c r="B26589">
        <v>1</v>
      </c>
      <c r="C26589">
        <v>102</v>
      </c>
      <c r="D26589">
        <v>1</v>
      </c>
    </row>
    <row r="26590" spans="2:4">
      <c r="B26590">
        <v>1</v>
      </c>
      <c r="C26590">
        <v>102</v>
      </c>
      <c r="D26590">
        <v>1</v>
      </c>
    </row>
    <row r="26594" spans="2:4">
      <c r="B26594">
        <v>1</v>
      </c>
      <c r="C26594">
        <v>102</v>
      </c>
      <c r="D26594">
        <v>1</v>
      </c>
    </row>
    <row r="26596" spans="2:4">
      <c r="B26596">
        <v>1</v>
      </c>
      <c r="C26596">
        <v>102</v>
      </c>
      <c r="D26596">
        <v>1</v>
      </c>
    </row>
    <row r="26599" spans="2:4">
      <c r="B26599">
        <v>1</v>
      </c>
      <c r="C26599">
        <v>102</v>
      </c>
      <c r="D26599">
        <v>1</v>
      </c>
    </row>
    <row r="26600" spans="2:4">
      <c r="B26600">
        <v>1</v>
      </c>
      <c r="C26600">
        <v>102</v>
      </c>
      <c r="D26600">
        <v>1</v>
      </c>
    </row>
    <row r="26603" spans="2:4">
      <c r="B26603">
        <v>1</v>
      </c>
      <c r="C26603">
        <v>102</v>
      </c>
      <c r="D26603">
        <v>1</v>
      </c>
    </row>
    <row r="26606" spans="2:4">
      <c r="B26606">
        <v>1</v>
      </c>
      <c r="C26606">
        <v>102</v>
      </c>
      <c r="D26606">
        <v>1</v>
      </c>
    </row>
    <row r="26609" spans="2:4">
      <c r="B26609">
        <v>1</v>
      </c>
      <c r="C26609">
        <v>102</v>
      </c>
      <c r="D26609">
        <v>1</v>
      </c>
    </row>
    <row r="26611" spans="2:4">
      <c r="B26611">
        <v>1</v>
      </c>
      <c r="C26611">
        <v>102</v>
      </c>
      <c r="D26611">
        <v>1</v>
      </c>
    </row>
    <row r="26616" spans="2:4">
      <c r="B26616">
        <v>1</v>
      </c>
      <c r="C26616">
        <v>102</v>
      </c>
      <c r="D26616">
        <v>1</v>
      </c>
    </row>
    <row r="26617" spans="2:4">
      <c r="B26617">
        <v>1</v>
      </c>
      <c r="C26617">
        <v>102</v>
      </c>
      <c r="D26617">
        <v>1</v>
      </c>
    </row>
    <row r="26619" spans="2:4">
      <c r="B26619">
        <v>1</v>
      </c>
      <c r="C26619">
        <v>102</v>
      </c>
      <c r="D26619">
        <v>1</v>
      </c>
    </row>
    <row r="26621" spans="2:4">
      <c r="B26621">
        <v>1</v>
      </c>
      <c r="C26621">
        <v>102</v>
      </c>
      <c r="D26621">
        <v>1</v>
      </c>
    </row>
    <row r="26627" spans="2:4">
      <c r="B26627">
        <v>1</v>
      </c>
      <c r="C26627">
        <v>102</v>
      </c>
      <c r="D26627">
        <v>1</v>
      </c>
    </row>
    <row r="26631" spans="2:4">
      <c r="B26631">
        <v>1</v>
      </c>
      <c r="C26631">
        <v>102</v>
      </c>
      <c r="D26631">
        <v>1</v>
      </c>
    </row>
    <row r="26635" spans="2:4">
      <c r="B26635">
        <v>1</v>
      </c>
      <c r="C26635">
        <v>102</v>
      </c>
      <c r="D26635">
        <v>1</v>
      </c>
    </row>
    <row r="26640" spans="2:4">
      <c r="B26640">
        <v>1</v>
      </c>
      <c r="C26640">
        <v>102</v>
      </c>
      <c r="D26640">
        <v>1</v>
      </c>
    </row>
    <row r="26646" spans="2:4">
      <c r="B26646">
        <v>1</v>
      </c>
      <c r="C26646">
        <v>102</v>
      </c>
      <c r="D26646">
        <v>1</v>
      </c>
    </row>
    <row r="26647" spans="2:4">
      <c r="B26647">
        <v>1</v>
      </c>
      <c r="C26647">
        <v>102</v>
      </c>
      <c r="D26647">
        <v>1</v>
      </c>
    </row>
    <row r="26649" spans="2:4">
      <c r="B26649">
        <v>1</v>
      </c>
      <c r="C26649">
        <v>102</v>
      </c>
      <c r="D26649">
        <v>1</v>
      </c>
    </row>
    <row r="26650" spans="2:4">
      <c r="B26650">
        <v>1</v>
      </c>
      <c r="C26650">
        <v>102</v>
      </c>
      <c r="D26650">
        <v>1</v>
      </c>
    </row>
    <row r="26651" spans="2:4">
      <c r="B26651">
        <v>1</v>
      </c>
      <c r="C26651">
        <v>102</v>
      </c>
      <c r="D26651">
        <v>1</v>
      </c>
    </row>
    <row r="26654" spans="2:4">
      <c r="B26654">
        <v>1</v>
      </c>
      <c r="C26654">
        <v>102</v>
      </c>
      <c r="D26654">
        <v>1</v>
      </c>
    </row>
    <row r="26656" spans="2:4">
      <c r="B26656">
        <v>1</v>
      </c>
      <c r="C26656">
        <v>102</v>
      </c>
      <c r="D26656">
        <v>1</v>
      </c>
    </row>
    <row r="26659" spans="2:4">
      <c r="B26659">
        <v>1</v>
      </c>
      <c r="C26659">
        <v>102</v>
      </c>
      <c r="D26659">
        <v>1</v>
      </c>
    </row>
    <row r="26660" spans="2:4">
      <c r="B26660">
        <v>1</v>
      </c>
      <c r="C26660">
        <v>102</v>
      </c>
      <c r="D26660">
        <v>1</v>
      </c>
    </row>
    <row r="26662" spans="2:4">
      <c r="B26662">
        <v>1</v>
      </c>
      <c r="C26662">
        <v>102</v>
      </c>
      <c r="D26662">
        <v>1</v>
      </c>
    </row>
    <row r="26666" spans="2:4">
      <c r="B26666">
        <v>1</v>
      </c>
      <c r="C26666">
        <v>102</v>
      </c>
      <c r="D26666">
        <v>1</v>
      </c>
    </row>
    <row r="26677" spans="2:4">
      <c r="B26677">
        <v>1</v>
      </c>
      <c r="C26677">
        <v>102</v>
      </c>
      <c r="D26677">
        <v>1</v>
      </c>
    </row>
    <row r="26679" spans="2:4">
      <c r="B26679">
        <v>1</v>
      </c>
      <c r="C26679">
        <v>102</v>
      </c>
      <c r="D26679">
        <v>1</v>
      </c>
    </row>
    <row r="26681" spans="2:4">
      <c r="B26681">
        <v>1</v>
      </c>
      <c r="C26681">
        <v>102</v>
      </c>
      <c r="D26681">
        <v>1</v>
      </c>
    </row>
    <row r="26690" spans="2:4">
      <c r="B26690">
        <v>1</v>
      </c>
      <c r="C26690">
        <v>102</v>
      </c>
      <c r="D26690">
        <v>1</v>
      </c>
    </row>
    <row r="26696" spans="2:4">
      <c r="B26696">
        <v>1</v>
      </c>
      <c r="C26696">
        <v>102</v>
      </c>
      <c r="D26696">
        <v>1</v>
      </c>
    </row>
    <row r="26701" spans="2:4">
      <c r="B26701">
        <v>1</v>
      </c>
      <c r="C26701">
        <v>102</v>
      </c>
      <c r="D26701">
        <v>1</v>
      </c>
    </row>
    <row r="26702" spans="2:4">
      <c r="B26702">
        <v>1</v>
      </c>
      <c r="C26702">
        <v>102</v>
      </c>
      <c r="D26702">
        <v>1</v>
      </c>
    </row>
    <row r="26709" spans="2:4">
      <c r="B26709">
        <v>1</v>
      </c>
      <c r="C26709">
        <v>102</v>
      </c>
      <c r="D26709">
        <v>1</v>
      </c>
    </row>
    <row r="26714" spans="2:4">
      <c r="B26714">
        <v>1</v>
      </c>
      <c r="C26714">
        <v>102</v>
      </c>
      <c r="D26714">
        <v>1</v>
      </c>
    </row>
    <row r="26721" spans="2:4">
      <c r="B26721">
        <v>1</v>
      </c>
      <c r="C26721">
        <v>102</v>
      </c>
      <c r="D26721">
        <v>1</v>
      </c>
    </row>
    <row r="26732" spans="2:4">
      <c r="B26732">
        <v>1</v>
      </c>
      <c r="C26732">
        <v>102</v>
      </c>
      <c r="D26732">
        <v>1</v>
      </c>
    </row>
    <row r="26733" spans="2:4">
      <c r="B26733">
        <v>1</v>
      </c>
      <c r="C26733">
        <v>102</v>
      </c>
      <c r="D26733">
        <v>1</v>
      </c>
    </row>
    <row r="26736" spans="2:4">
      <c r="B26736">
        <v>1</v>
      </c>
      <c r="C26736">
        <v>102</v>
      </c>
      <c r="D26736">
        <v>1</v>
      </c>
    </row>
    <row r="26738" spans="2:4">
      <c r="B26738">
        <v>1</v>
      </c>
      <c r="C26738">
        <v>102</v>
      </c>
      <c r="D26738">
        <v>1</v>
      </c>
    </row>
    <row r="26740" spans="2:4">
      <c r="B26740">
        <v>1</v>
      </c>
      <c r="C26740">
        <v>102</v>
      </c>
      <c r="D26740">
        <v>1</v>
      </c>
    </row>
    <row r="26748" spans="2:4">
      <c r="B26748">
        <v>1</v>
      </c>
      <c r="C26748">
        <v>102</v>
      </c>
      <c r="D26748">
        <v>1</v>
      </c>
    </row>
    <row r="26750" spans="2:4">
      <c r="B26750">
        <v>1</v>
      </c>
      <c r="C26750">
        <v>102</v>
      </c>
      <c r="D26750">
        <v>1</v>
      </c>
    </row>
    <row r="26751" spans="2:4">
      <c r="B26751">
        <v>1</v>
      </c>
      <c r="C26751">
        <v>102</v>
      </c>
      <c r="D26751">
        <v>1</v>
      </c>
    </row>
    <row r="26752" spans="2:4">
      <c r="B26752">
        <v>1</v>
      </c>
      <c r="C26752">
        <v>102</v>
      </c>
      <c r="D26752">
        <v>1</v>
      </c>
    </row>
    <row r="26753" spans="2:4">
      <c r="B26753">
        <v>1</v>
      </c>
      <c r="C26753">
        <v>102</v>
      </c>
      <c r="D26753">
        <v>1</v>
      </c>
    </row>
    <row r="26756" spans="2:4">
      <c r="B26756">
        <v>1</v>
      </c>
      <c r="C26756">
        <v>102</v>
      </c>
      <c r="D26756">
        <v>1</v>
      </c>
    </row>
    <row r="26757" spans="2:4">
      <c r="B26757">
        <v>1</v>
      </c>
      <c r="C26757">
        <v>102</v>
      </c>
      <c r="D26757">
        <v>1</v>
      </c>
    </row>
    <row r="26758" spans="2:4">
      <c r="B26758">
        <v>1</v>
      </c>
      <c r="C26758">
        <v>102</v>
      </c>
      <c r="D26758">
        <v>1</v>
      </c>
    </row>
    <row r="26760" spans="2:4">
      <c r="B26760">
        <v>1</v>
      </c>
      <c r="C26760">
        <v>102</v>
      </c>
      <c r="D26760">
        <v>1</v>
      </c>
    </row>
    <row r="26762" spans="2:4">
      <c r="B26762">
        <v>1</v>
      </c>
      <c r="C26762">
        <v>102</v>
      </c>
      <c r="D26762">
        <v>1</v>
      </c>
    </row>
    <row r="26765" spans="2:4">
      <c r="B26765">
        <v>1</v>
      </c>
      <c r="C26765">
        <v>102</v>
      </c>
      <c r="D26765">
        <v>1</v>
      </c>
    </row>
    <row r="26767" spans="2:4">
      <c r="B26767">
        <v>1</v>
      </c>
      <c r="C26767">
        <v>102</v>
      </c>
      <c r="D26767">
        <v>1</v>
      </c>
    </row>
    <row r="26776" spans="2:4">
      <c r="B26776">
        <v>1</v>
      </c>
      <c r="C26776">
        <v>102</v>
      </c>
      <c r="D26776">
        <v>1</v>
      </c>
    </row>
    <row r="26783" spans="2:4">
      <c r="B26783">
        <v>1</v>
      </c>
      <c r="C26783">
        <v>102</v>
      </c>
      <c r="D26783">
        <v>1</v>
      </c>
    </row>
    <row r="26785" spans="2:4">
      <c r="B26785">
        <v>1</v>
      </c>
      <c r="C26785">
        <v>102</v>
      </c>
      <c r="D26785">
        <v>1</v>
      </c>
    </row>
    <row r="26786" spans="2:4">
      <c r="B26786">
        <v>1</v>
      </c>
      <c r="C26786">
        <v>102</v>
      </c>
      <c r="D26786">
        <v>1</v>
      </c>
    </row>
    <row r="26789" spans="2:4">
      <c r="B26789">
        <v>1</v>
      </c>
      <c r="C26789">
        <v>102</v>
      </c>
      <c r="D26789">
        <v>1</v>
      </c>
    </row>
    <row r="26792" spans="2:4">
      <c r="B26792">
        <v>1</v>
      </c>
      <c r="C26792">
        <v>102</v>
      </c>
      <c r="D26792">
        <v>1</v>
      </c>
    </row>
    <row r="26793" spans="2:4">
      <c r="B26793">
        <v>1</v>
      </c>
      <c r="C26793">
        <v>102</v>
      </c>
      <c r="D26793">
        <v>1</v>
      </c>
    </row>
    <row r="26797" spans="2:4">
      <c r="B26797">
        <v>1</v>
      </c>
      <c r="C26797">
        <v>102</v>
      </c>
      <c r="D26797">
        <v>1</v>
      </c>
    </row>
    <row r="26799" spans="2:4">
      <c r="B26799">
        <v>1</v>
      </c>
      <c r="C26799">
        <v>102</v>
      </c>
      <c r="D26799">
        <v>1</v>
      </c>
    </row>
    <row r="26806" spans="2:4">
      <c r="B26806">
        <v>1</v>
      </c>
      <c r="C26806">
        <v>102</v>
      </c>
      <c r="D26806">
        <v>1</v>
      </c>
    </row>
    <row r="26810" spans="2:4">
      <c r="B26810">
        <v>1</v>
      </c>
      <c r="C26810">
        <v>102</v>
      </c>
      <c r="D26810">
        <v>1</v>
      </c>
    </row>
    <row r="26811" spans="2:4">
      <c r="B26811">
        <v>1</v>
      </c>
      <c r="C26811">
        <v>102</v>
      </c>
      <c r="D26811">
        <v>1</v>
      </c>
    </row>
    <row r="26814" spans="2:4">
      <c r="B26814">
        <v>1</v>
      </c>
      <c r="C26814">
        <v>102</v>
      </c>
      <c r="D26814">
        <v>1</v>
      </c>
    </row>
    <row r="26820" spans="2:4">
      <c r="B26820">
        <v>1</v>
      </c>
      <c r="C26820">
        <v>102</v>
      </c>
      <c r="D26820">
        <v>1</v>
      </c>
    </row>
    <row r="26825" spans="2:4">
      <c r="B26825">
        <v>1</v>
      </c>
      <c r="C26825">
        <v>102</v>
      </c>
      <c r="D26825">
        <v>1</v>
      </c>
    </row>
    <row r="26828" spans="2:4">
      <c r="B26828">
        <v>1</v>
      </c>
      <c r="C26828">
        <v>102</v>
      </c>
      <c r="D26828">
        <v>1</v>
      </c>
    </row>
    <row r="26831" spans="2:4">
      <c r="B26831">
        <v>1</v>
      </c>
      <c r="C26831">
        <v>102</v>
      </c>
      <c r="D26831">
        <v>1</v>
      </c>
    </row>
    <row r="26833" spans="2:4">
      <c r="B26833">
        <v>1</v>
      </c>
      <c r="C26833">
        <v>102</v>
      </c>
      <c r="D26833">
        <v>1</v>
      </c>
    </row>
    <row r="26834" spans="2:4">
      <c r="B26834">
        <v>1</v>
      </c>
      <c r="C26834">
        <v>102</v>
      </c>
      <c r="D26834">
        <v>1</v>
      </c>
    </row>
    <row r="26835" spans="2:4">
      <c r="B26835">
        <v>1</v>
      </c>
      <c r="C26835">
        <v>102</v>
      </c>
      <c r="D26835">
        <v>1</v>
      </c>
    </row>
    <row r="26836" spans="2:4">
      <c r="B26836">
        <v>1</v>
      </c>
      <c r="C26836">
        <v>102</v>
      </c>
      <c r="D26836">
        <v>1</v>
      </c>
    </row>
    <row r="26843" spans="2:4">
      <c r="B26843">
        <v>1</v>
      </c>
      <c r="C26843">
        <v>102</v>
      </c>
      <c r="D26843">
        <v>1</v>
      </c>
    </row>
    <row r="26844" spans="2:4">
      <c r="B26844">
        <v>1</v>
      </c>
      <c r="C26844">
        <v>102</v>
      </c>
      <c r="D26844">
        <v>1</v>
      </c>
    </row>
    <row r="26845" spans="2:4">
      <c r="B26845">
        <v>1</v>
      </c>
      <c r="C26845">
        <v>102</v>
      </c>
      <c r="D26845">
        <v>1</v>
      </c>
    </row>
    <row r="26846" spans="2:4">
      <c r="B26846">
        <v>1</v>
      </c>
      <c r="C26846">
        <v>102</v>
      </c>
      <c r="D26846">
        <v>1</v>
      </c>
    </row>
    <row r="26850" spans="2:4">
      <c r="B26850">
        <v>1</v>
      </c>
      <c r="C26850">
        <v>102</v>
      </c>
      <c r="D26850">
        <v>1</v>
      </c>
    </row>
    <row r="26852" spans="2:4">
      <c r="B26852">
        <v>1</v>
      </c>
      <c r="C26852">
        <v>102</v>
      </c>
      <c r="D26852">
        <v>1</v>
      </c>
    </row>
    <row r="26855" spans="2:4">
      <c r="B26855">
        <v>1</v>
      </c>
      <c r="C26855">
        <v>102</v>
      </c>
      <c r="D26855">
        <v>1</v>
      </c>
    </row>
    <row r="26856" spans="2:4">
      <c r="B26856">
        <v>1</v>
      </c>
      <c r="C26856">
        <v>102</v>
      </c>
      <c r="D26856">
        <v>1</v>
      </c>
    </row>
    <row r="26859" spans="2:4">
      <c r="B26859">
        <v>1</v>
      </c>
      <c r="C26859">
        <v>102</v>
      </c>
      <c r="D26859">
        <v>1</v>
      </c>
    </row>
    <row r="26862" spans="2:4">
      <c r="B26862">
        <v>1</v>
      </c>
      <c r="C26862">
        <v>102</v>
      </c>
      <c r="D26862">
        <v>1</v>
      </c>
    </row>
    <row r="26865" spans="2:4">
      <c r="B26865">
        <v>1</v>
      </c>
      <c r="C26865">
        <v>102</v>
      </c>
      <c r="D26865">
        <v>1</v>
      </c>
    </row>
    <row r="26867" spans="2:4">
      <c r="B26867">
        <v>1</v>
      </c>
      <c r="C26867">
        <v>102</v>
      </c>
      <c r="D26867">
        <v>1</v>
      </c>
    </row>
    <row r="26872" spans="2:4">
      <c r="B26872">
        <v>1</v>
      </c>
      <c r="C26872">
        <v>102</v>
      </c>
      <c r="D26872">
        <v>1</v>
      </c>
    </row>
    <row r="26873" spans="2:4">
      <c r="B26873">
        <v>1</v>
      </c>
      <c r="C26873">
        <v>102</v>
      </c>
      <c r="D26873">
        <v>1</v>
      </c>
    </row>
    <row r="26875" spans="2:4">
      <c r="B26875">
        <v>1</v>
      </c>
      <c r="C26875">
        <v>102</v>
      </c>
      <c r="D26875">
        <v>1</v>
      </c>
    </row>
    <row r="26877" spans="2:4">
      <c r="B26877">
        <v>1</v>
      </c>
      <c r="C26877">
        <v>102</v>
      </c>
      <c r="D26877">
        <v>1</v>
      </c>
    </row>
    <row r="26883" spans="2:4">
      <c r="B26883">
        <v>1</v>
      </c>
      <c r="C26883">
        <v>102</v>
      </c>
      <c r="D26883">
        <v>1</v>
      </c>
    </row>
    <row r="26887" spans="2:4">
      <c r="B26887">
        <v>1</v>
      </c>
      <c r="C26887">
        <v>102</v>
      </c>
      <c r="D26887">
        <v>1</v>
      </c>
    </row>
    <row r="26891" spans="2:4">
      <c r="B26891">
        <v>1</v>
      </c>
      <c r="C26891">
        <v>102</v>
      </c>
      <c r="D26891">
        <v>1</v>
      </c>
    </row>
    <row r="26896" spans="2:4">
      <c r="B26896">
        <v>1</v>
      </c>
      <c r="C26896">
        <v>102</v>
      </c>
      <c r="D26896">
        <v>1</v>
      </c>
    </row>
    <row r="26902" spans="2:4">
      <c r="B26902">
        <v>1</v>
      </c>
      <c r="C26902">
        <v>102</v>
      </c>
      <c r="D26902">
        <v>1</v>
      </c>
    </row>
    <row r="26903" spans="2:4">
      <c r="B26903">
        <v>1</v>
      </c>
      <c r="C26903">
        <v>102</v>
      </c>
      <c r="D26903">
        <v>1</v>
      </c>
    </row>
    <row r="26905" spans="2:4">
      <c r="B26905">
        <v>1</v>
      </c>
      <c r="C26905">
        <v>102</v>
      </c>
      <c r="D26905">
        <v>1</v>
      </c>
    </row>
    <row r="26906" spans="2:4">
      <c r="B26906">
        <v>1</v>
      </c>
      <c r="C26906">
        <v>102</v>
      </c>
      <c r="D26906">
        <v>1</v>
      </c>
    </row>
    <row r="26907" spans="2:4">
      <c r="B26907">
        <v>1</v>
      </c>
      <c r="C26907">
        <v>102</v>
      </c>
      <c r="D26907">
        <v>1</v>
      </c>
    </row>
    <row r="26910" spans="2:4">
      <c r="B26910">
        <v>1</v>
      </c>
      <c r="C26910">
        <v>102</v>
      </c>
      <c r="D26910">
        <v>1</v>
      </c>
    </row>
    <row r="26912" spans="2:4">
      <c r="B26912">
        <v>1</v>
      </c>
      <c r="C26912">
        <v>102</v>
      </c>
      <c r="D26912">
        <v>1</v>
      </c>
    </row>
    <row r="26915" spans="2:4">
      <c r="B26915">
        <v>1</v>
      </c>
      <c r="C26915">
        <v>102</v>
      </c>
      <c r="D26915">
        <v>1</v>
      </c>
    </row>
    <row r="26916" spans="2:4">
      <c r="B26916">
        <v>1</v>
      </c>
      <c r="C26916">
        <v>102</v>
      </c>
      <c r="D26916">
        <v>1</v>
      </c>
    </row>
    <row r="26918" spans="2:4">
      <c r="B26918">
        <v>1</v>
      </c>
      <c r="C26918">
        <v>102</v>
      </c>
      <c r="D26918">
        <v>1</v>
      </c>
    </row>
    <row r="26922" spans="2:4">
      <c r="B26922">
        <v>1</v>
      </c>
      <c r="C26922">
        <v>102</v>
      </c>
      <c r="D26922">
        <v>1</v>
      </c>
    </row>
    <row r="26933" spans="2:4">
      <c r="B26933">
        <v>1</v>
      </c>
      <c r="C26933">
        <v>102</v>
      </c>
      <c r="D26933">
        <v>1</v>
      </c>
    </row>
    <row r="26935" spans="2:4">
      <c r="B26935">
        <v>1</v>
      </c>
      <c r="C26935">
        <v>102</v>
      </c>
      <c r="D26935">
        <v>1</v>
      </c>
    </row>
    <row r="26937" spans="2:4">
      <c r="B26937">
        <v>1</v>
      </c>
      <c r="C26937">
        <v>102</v>
      </c>
      <c r="D26937">
        <v>1</v>
      </c>
    </row>
    <row r="26946" spans="2:4">
      <c r="B26946">
        <v>1</v>
      </c>
      <c r="C26946">
        <v>102</v>
      </c>
      <c r="D26946">
        <v>1</v>
      </c>
    </row>
    <row r="26952" spans="2:4">
      <c r="B26952">
        <v>1</v>
      </c>
      <c r="C26952">
        <v>102</v>
      </c>
      <c r="D26952">
        <v>1</v>
      </c>
    </row>
    <row r="26957" spans="2:4">
      <c r="B26957">
        <v>1</v>
      </c>
      <c r="C26957">
        <v>102</v>
      </c>
      <c r="D26957">
        <v>1</v>
      </c>
    </row>
    <row r="26958" spans="2:4">
      <c r="B26958">
        <v>1</v>
      </c>
      <c r="C26958">
        <v>102</v>
      </c>
      <c r="D26958">
        <v>1</v>
      </c>
    </row>
    <row r="26965" spans="2:4">
      <c r="B26965">
        <v>1</v>
      </c>
      <c r="C26965">
        <v>102</v>
      </c>
      <c r="D26965">
        <v>1</v>
      </c>
    </row>
    <row r="26970" spans="2:4">
      <c r="B26970">
        <v>1</v>
      </c>
      <c r="C26970">
        <v>102</v>
      </c>
      <c r="D26970">
        <v>1</v>
      </c>
    </row>
    <row r="26977" spans="2:4">
      <c r="B26977">
        <v>1</v>
      </c>
      <c r="C26977">
        <v>102</v>
      </c>
      <c r="D26977">
        <v>1</v>
      </c>
    </row>
    <row r="26988" spans="2:4">
      <c r="B26988">
        <v>1</v>
      </c>
      <c r="C26988">
        <v>102</v>
      </c>
      <c r="D26988">
        <v>1</v>
      </c>
    </row>
    <row r="26989" spans="2:4">
      <c r="B26989">
        <v>1</v>
      </c>
      <c r="C26989">
        <v>102</v>
      </c>
      <c r="D26989">
        <v>1</v>
      </c>
    </row>
    <row r="26992" spans="2:4">
      <c r="B26992">
        <v>1</v>
      </c>
      <c r="C26992">
        <v>102</v>
      </c>
      <c r="D26992">
        <v>1</v>
      </c>
    </row>
    <row r="26994" spans="2:4">
      <c r="B26994">
        <v>1</v>
      </c>
      <c r="C26994">
        <v>102</v>
      </c>
      <c r="D26994">
        <v>1</v>
      </c>
    </row>
    <row r="26996" spans="2:4">
      <c r="B26996">
        <v>1</v>
      </c>
      <c r="C26996">
        <v>102</v>
      </c>
      <c r="D26996">
        <v>1</v>
      </c>
    </row>
    <row r="27004" spans="2:4">
      <c r="B27004">
        <v>1</v>
      </c>
      <c r="C27004">
        <v>102</v>
      </c>
      <c r="D27004">
        <v>1</v>
      </c>
    </row>
    <row r="27006" spans="2:4">
      <c r="B27006">
        <v>1</v>
      </c>
      <c r="C27006">
        <v>102</v>
      </c>
      <c r="D27006">
        <v>1</v>
      </c>
    </row>
    <row r="27007" spans="2:4">
      <c r="B27007">
        <v>1</v>
      </c>
      <c r="C27007">
        <v>102</v>
      </c>
      <c r="D27007">
        <v>1</v>
      </c>
    </row>
    <row r="27008" spans="2:4">
      <c r="B27008">
        <v>1</v>
      </c>
      <c r="C27008">
        <v>102</v>
      </c>
      <c r="D27008">
        <v>1</v>
      </c>
    </row>
    <row r="27009" spans="2:4">
      <c r="B27009">
        <v>1</v>
      </c>
      <c r="C27009">
        <v>102</v>
      </c>
      <c r="D27009">
        <v>1</v>
      </c>
    </row>
    <row r="27012" spans="2:4">
      <c r="B27012">
        <v>1</v>
      </c>
      <c r="C27012">
        <v>102</v>
      </c>
      <c r="D27012">
        <v>1</v>
      </c>
    </row>
    <row r="27013" spans="2:4">
      <c r="B27013">
        <v>1</v>
      </c>
      <c r="C27013">
        <v>102</v>
      </c>
      <c r="D27013">
        <v>1</v>
      </c>
    </row>
    <row r="27014" spans="2:4">
      <c r="B27014">
        <v>1</v>
      </c>
      <c r="C27014">
        <v>102</v>
      </c>
      <c r="D27014">
        <v>1</v>
      </c>
    </row>
    <row r="27016" spans="2:4">
      <c r="B27016">
        <v>1</v>
      </c>
      <c r="C27016">
        <v>102</v>
      </c>
      <c r="D27016">
        <v>1</v>
      </c>
    </row>
    <row r="27018" spans="2:4">
      <c r="B27018">
        <v>1</v>
      </c>
      <c r="C27018">
        <v>102</v>
      </c>
      <c r="D27018">
        <v>1</v>
      </c>
    </row>
    <row r="27021" spans="2:4">
      <c r="B27021">
        <v>1</v>
      </c>
      <c r="C27021">
        <v>102</v>
      </c>
      <c r="D27021">
        <v>1</v>
      </c>
    </row>
    <row r="27023" spans="2:4">
      <c r="B27023">
        <v>1</v>
      </c>
      <c r="C27023">
        <v>102</v>
      </c>
      <c r="D27023">
        <v>1</v>
      </c>
    </row>
    <row r="27032" spans="2:4">
      <c r="B27032">
        <v>1</v>
      </c>
      <c r="C27032">
        <v>102</v>
      </c>
      <c r="D27032">
        <v>1</v>
      </c>
    </row>
    <row r="27039" spans="2:4">
      <c r="B27039">
        <v>1</v>
      </c>
      <c r="C27039">
        <v>102</v>
      </c>
      <c r="D27039">
        <v>1</v>
      </c>
    </row>
    <row r="27041" spans="2:4">
      <c r="B27041">
        <v>1</v>
      </c>
      <c r="C27041">
        <v>102</v>
      </c>
      <c r="D27041">
        <v>1</v>
      </c>
    </row>
    <row r="27042" spans="2:4">
      <c r="B27042">
        <v>1</v>
      </c>
      <c r="C27042">
        <v>102</v>
      </c>
      <c r="D27042">
        <v>1</v>
      </c>
    </row>
    <row r="27045" spans="2:4">
      <c r="B27045">
        <v>1</v>
      </c>
      <c r="C27045">
        <v>102</v>
      </c>
      <c r="D27045">
        <v>1</v>
      </c>
    </row>
    <row r="27048" spans="2:4">
      <c r="B27048">
        <v>1</v>
      </c>
      <c r="C27048">
        <v>102</v>
      </c>
      <c r="D27048">
        <v>1</v>
      </c>
    </row>
    <row r="27049" spans="2:4">
      <c r="B27049">
        <v>1</v>
      </c>
      <c r="C27049">
        <v>102</v>
      </c>
      <c r="D27049">
        <v>1</v>
      </c>
    </row>
    <row r="27053" spans="2:4">
      <c r="B27053">
        <v>1</v>
      </c>
      <c r="C27053">
        <v>102</v>
      </c>
      <c r="D27053">
        <v>1</v>
      </c>
    </row>
    <row r="27055" spans="2:4">
      <c r="B27055">
        <v>1</v>
      </c>
      <c r="C27055">
        <v>102</v>
      </c>
      <c r="D27055">
        <v>1</v>
      </c>
    </row>
    <row r="27062" spans="2:4">
      <c r="B27062">
        <v>1</v>
      </c>
      <c r="C27062">
        <v>102</v>
      </c>
      <c r="D27062">
        <v>1</v>
      </c>
    </row>
    <row r="27066" spans="2:4">
      <c r="B27066">
        <v>1</v>
      </c>
      <c r="C27066">
        <v>102</v>
      </c>
      <c r="D27066">
        <v>1</v>
      </c>
    </row>
    <row r="27067" spans="2:4">
      <c r="B27067">
        <v>1</v>
      </c>
      <c r="C27067">
        <v>102</v>
      </c>
      <c r="D27067">
        <v>1</v>
      </c>
    </row>
    <row r="27070" spans="2:4">
      <c r="B27070">
        <v>1</v>
      </c>
      <c r="C27070">
        <v>102</v>
      </c>
      <c r="D27070">
        <v>1</v>
      </c>
    </row>
    <row r="27076" spans="2:4">
      <c r="B27076">
        <v>1</v>
      </c>
      <c r="C27076">
        <v>102</v>
      </c>
      <c r="D27076">
        <v>1</v>
      </c>
    </row>
    <row r="27081" spans="2:4">
      <c r="B27081">
        <v>1</v>
      </c>
      <c r="C27081">
        <v>102</v>
      </c>
      <c r="D27081">
        <v>1</v>
      </c>
    </row>
    <row r="27084" spans="2:4">
      <c r="B27084">
        <v>1</v>
      </c>
      <c r="C27084">
        <v>102</v>
      </c>
      <c r="D27084">
        <v>1</v>
      </c>
    </row>
    <row r="27087" spans="2:4">
      <c r="B27087">
        <v>1</v>
      </c>
      <c r="C27087">
        <v>102</v>
      </c>
      <c r="D27087">
        <v>1</v>
      </c>
    </row>
    <row r="27089" spans="2:4">
      <c r="B27089">
        <v>1</v>
      </c>
      <c r="C27089">
        <v>102</v>
      </c>
      <c r="D27089">
        <v>1</v>
      </c>
    </row>
    <row r="27090" spans="2:4">
      <c r="B27090">
        <v>1</v>
      </c>
      <c r="C27090">
        <v>102</v>
      </c>
      <c r="D27090">
        <v>1</v>
      </c>
    </row>
    <row r="27091" spans="2:4">
      <c r="B27091">
        <v>1</v>
      </c>
      <c r="C27091">
        <v>102</v>
      </c>
      <c r="D27091">
        <v>1</v>
      </c>
    </row>
    <row r="27092" spans="2:4">
      <c r="B27092">
        <v>1</v>
      </c>
      <c r="C27092">
        <v>102</v>
      </c>
      <c r="D27092">
        <v>1</v>
      </c>
    </row>
    <row r="27099" spans="2:4">
      <c r="B27099">
        <v>1</v>
      </c>
      <c r="C27099">
        <v>102</v>
      </c>
      <c r="D27099">
        <v>1</v>
      </c>
    </row>
    <row r="27100" spans="2:4">
      <c r="B27100">
        <v>1</v>
      </c>
      <c r="C27100">
        <v>102</v>
      </c>
      <c r="D27100">
        <v>1</v>
      </c>
    </row>
    <row r="27101" spans="2:4">
      <c r="B27101">
        <v>1</v>
      </c>
      <c r="C27101">
        <v>102</v>
      </c>
      <c r="D27101">
        <v>1</v>
      </c>
    </row>
    <row r="27102" spans="2:4">
      <c r="B27102">
        <v>1</v>
      </c>
      <c r="C27102">
        <v>102</v>
      </c>
      <c r="D27102">
        <v>1</v>
      </c>
    </row>
    <row r="27106" spans="2:4">
      <c r="B27106">
        <v>1</v>
      </c>
      <c r="C27106">
        <v>102</v>
      </c>
      <c r="D27106">
        <v>1</v>
      </c>
    </row>
    <row r="27108" spans="2:4">
      <c r="B27108">
        <v>1</v>
      </c>
      <c r="C27108">
        <v>102</v>
      </c>
      <c r="D27108">
        <v>1</v>
      </c>
    </row>
    <row r="27111" spans="2:4">
      <c r="B27111">
        <v>1</v>
      </c>
      <c r="C27111">
        <v>102</v>
      </c>
      <c r="D27111">
        <v>1</v>
      </c>
    </row>
    <row r="27112" spans="2:4">
      <c r="B27112">
        <v>1</v>
      </c>
      <c r="C27112">
        <v>102</v>
      </c>
      <c r="D27112">
        <v>1</v>
      </c>
    </row>
    <row r="27115" spans="2:4">
      <c r="B27115">
        <v>1</v>
      </c>
      <c r="C27115">
        <v>102</v>
      </c>
      <c r="D27115">
        <v>1</v>
      </c>
    </row>
    <row r="27118" spans="2:4">
      <c r="B27118">
        <v>1</v>
      </c>
      <c r="C27118">
        <v>102</v>
      </c>
      <c r="D27118">
        <v>1</v>
      </c>
    </row>
    <row r="27121" spans="2:4">
      <c r="B27121">
        <v>1</v>
      </c>
      <c r="C27121">
        <v>102</v>
      </c>
      <c r="D27121">
        <v>1</v>
      </c>
    </row>
    <row r="27123" spans="2:4">
      <c r="B27123">
        <v>1</v>
      </c>
      <c r="C27123">
        <v>102</v>
      </c>
      <c r="D27123">
        <v>1</v>
      </c>
    </row>
    <row r="27128" spans="2:4">
      <c r="B27128">
        <v>1</v>
      </c>
      <c r="C27128">
        <v>102</v>
      </c>
      <c r="D27128">
        <v>1</v>
      </c>
    </row>
    <row r="27129" spans="2:4">
      <c r="B27129">
        <v>1</v>
      </c>
      <c r="C27129">
        <v>102</v>
      </c>
      <c r="D27129">
        <v>1</v>
      </c>
    </row>
    <row r="27131" spans="2:4">
      <c r="B27131">
        <v>1</v>
      </c>
      <c r="C27131">
        <v>102</v>
      </c>
      <c r="D27131">
        <v>1</v>
      </c>
    </row>
    <row r="27133" spans="2:4">
      <c r="B27133">
        <v>1</v>
      </c>
      <c r="C27133">
        <v>102</v>
      </c>
      <c r="D27133">
        <v>1</v>
      </c>
    </row>
    <row r="27139" spans="2:4">
      <c r="B27139">
        <v>1</v>
      </c>
      <c r="C27139">
        <v>102</v>
      </c>
      <c r="D27139">
        <v>1</v>
      </c>
    </row>
    <row r="27143" spans="2:4">
      <c r="B27143">
        <v>1</v>
      </c>
      <c r="C27143">
        <v>102</v>
      </c>
      <c r="D27143">
        <v>1</v>
      </c>
    </row>
    <row r="27147" spans="2:4">
      <c r="B27147">
        <v>1</v>
      </c>
      <c r="C27147">
        <v>102</v>
      </c>
      <c r="D27147">
        <v>1</v>
      </c>
    </row>
    <row r="27152" spans="2:4">
      <c r="B27152">
        <v>1</v>
      </c>
      <c r="C27152">
        <v>102</v>
      </c>
      <c r="D27152">
        <v>1</v>
      </c>
    </row>
    <row r="27158" spans="2:4">
      <c r="B27158">
        <v>1</v>
      </c>
      <c r="C27158">
        <v>102</v>
      </c>
      <c r="D27158">
        <v>1</v>
      </c>
    </row>
    <row r="27159" spans="2:4">
      <c r="B27159">
        <v>1</v>
      </c>
      <c r="C27159">
        <v>102</v>
      </c>
      <c r="D27159">
        <v>1</v>
      </c>
    </row>
    <row r="27161" spans="2:4">
      <c r="B27161">
        <v>1</v>
      </c>
      <c r="C27161">
        <v>102</v>
      </c>
      <c r="D27161">
        <v>1</v>
      </c>
    </row>
    <row r="27162" spans="2:4">
      <c r="B27162">
        <v>1</v>
      </c>
      <c r="C27162">
        <v>102</v>
      </c>
      <c r="D27162">
        <v>1</v>
      </c>
    </row>
    <row r="27163" spans="2:4">
      <c r="B27163">
        <v>1</v>
      </c>
      <c r="C27163">
        <v>102</v>
      </c>
      <c r="D27163">
        <v>1</v>
      </c>
    </row>
    <row r="27166" spans="2:4">
      <c r="B27166">
        <v>1</v>
      </c>
      <c r="C27166">
        <v>102</v>
      </c>
      <c r="D27166">
        <v>1</v>
      </c>
    </row>
    <row r="27168" spans="2:4">
      <c r="B27168">
        <v>1</v>
      </c>
      <c r="C27168">
        <v>102</v>
      </c>
      <c r="D27168">
        <v>1</v>
      </c>
    </row>
    <row r="27171" spans="2:4">
      <c r="B27171">
        <v>1</v>
      </c>
      <c r="C27171">
        <v>102</v>
      </c>
      <c r="D27171">
        <v>1</v>
      </c>
    </row>
    <row r="27172" spans="2:4">
      <c r="B27172">
        <v>1</v>
      </c>
      <c r="C27172">
        <v>102</v>
      </c>
      <c r="D27172">
        <v>1</v>
      </c>
    </row>
    <row r="27174" spans="2:4">
      <c r="B27174">
        <v>1</v>
      </c>
      <c r="C27174">
        <v>102</v>
      </c>
      <c r="D27174">
        <v>1</v>
      </c>
    </row>
    <row r="27178" spans="2:4">
      <c r="B27178">
        <v>1</v>
      </c>
      <c r="C27178">
        <v>102</v>
      </c>
      <c r="D27178">
        <v>1</v>
      </c>
    </row>
    <row r="27189" spans="2:4">
      <c r="B27189">
        <v>1</v>
      </c>
      <c r="C27189">
        <v>102</v>
      </c>
      <c r="D27189">
        <v>1</v>
      </c>
    </row>
    <row r="27191" spans="2:4">
      <c r="B27191">
        <v>1</v>
      </c>
      <c r="C27191">
        <v>102</v>
      </c>
      <c r="D27191">
        <v>1</v>
      </c>
    </row>
    <row r="27193" spans="2:4">
      <c r="B27193">
        <v>1</v>
      </c>
      <c r="C27193">
        <v>102</v>
      </c>
      <c r="D27193">
        <v>1</v>
      </c>
    </row>
    <row r="27202" spans="2:4">
      <c r="B27202">
        <v>1</v>
      </c>
      <c r="C27202">
        <v>102</v>
      </c>
      <c r="D27202">
        <v>1</v>
      </c>
    </row>
    <row r="27208" spans="2:4">
      <c r="B27208">
        <v>1</v>
      </c>
      <c r="C27208">
        <v>102</v>
      </c>
      <c r="D27208">
        <v>1</v>
      </c>
    </row>
    <row r="27213" spans="2:4">
      <c r="B27213">
        <v>1</v>
      </c>
      <c r="C27213">
        <v>102</v>
      </c>
      <c r="D27213">
        <v>1</v>
      </c>
    </row>
    <row r="27214" spans="2:4">
      <c r="B27214">
        <v>1</v>
      </c>
      <c r="C27214">
        <v>102</v>
      </c>
      <c r="D27214">
        <v>1</v>
      </c>
    </row>
    <row r="27221" spans="2:4">
      <c r="B27221">
        <v>1</v>
      </c>
      <c r="C27221">
        <v>102</v>
      </c>
      <c r="D27221">
        <v>1</v>
      </c>
    </row>
    <row r="27226" spans="2:4">
      <c r="B27226">
        <v>1</v>
      </c>
      <c r="C27226">
        <v>102</v>
      </c>
      <c r="D27226">
        <v>1</v>
      </c>
    </row>
    <row r="27233" spans="2:4">
      <c r="B27233">
        <v>1</v>
      </c>
      <c r="C27233">
        <v>102</v>
      </c>
      <c r="D27233">
        <v>1</v>
      </c>
    </row>
    <row r="27244" spans="2:4">
      <c r="B27244">
        <v>1</v>
      </c>
      <c r="C27244">
        <v>102</v>
      </c>
      <c r="D27244">
        <v>1</v>
      </c>
    </row>
    <row r="27245" spans="2:4">
      <c r="B27245">
        <v>1</v>
      </c>
      <c r="C27245">
        <v>102</v>
      </c>
      <c r="D27245">
        <v>1</v>
      </c>
    </row>
    <row r="27248" spans="2:4">
      <c r="B27248">
        <v>1</v>
      </c>
      <c r="C27248">
        <v>102</v>
      </c>
      <c r="D27248">
        <v>1</v>
      </c>
    </row>
    <row r="27250" spans="2:4">
      <c r="B27250">
        <v>1</v>
      </c>
      <c r="C27250">
        <v>102</v>
      </c>
      <c r="D27250">
        <v>1</v>
      </c>
    </row>
    <row r="27252" spans="2:4">
      <c r="B27252">
        <v>1</v>
      </c>
      <c r="C27252">
        <v>102</v>
      </c>
      <c r="D27252">
        <v>1</v>
      </c>
    </row>
    <row r="27260" spans="2:4">
      <c r="B27260">
        <v>1</v>
      </c>
      <c r="C27260">
        <v>102</v>
      </c>
      <c r="D27260">
        <v>1</v>
      </c>
    </row>
    <row r="27262" spans="2:4">
      <c r="B27262">
        <v>1</v>
      </c>
      <c r="C27262">
        <v>102</v>
      </c>
      <c r="D27262">
        <v>1</v>
      </c>
    </row>
    <row r="27263" spans="2:4">
      <c r="B27263">
        <v>1</v>
      </c>
      <c r="C27263">
        <v>102</v>
      </c>
      <c r="D27263">
        <v>1</v>
      </c>
    </row>
    <row r="27264" spans="2:4">
      <c r="B27264">
        <v>1</v>
      </c>
      <c r="C27264">
        <v>102</v>
      </c>
      <c r="D27264">
        <v>1</v>
      </c>
    </row>
    <row r="27265" spans="2:4">
      <c r="B27265">
        <v>1</v>
      </c>
      <c r="C27265">
        <v>102</v>
      </c>
      <c r="D27265">
        <v>1</v>
      </c>
    </row>
    <row r="27268" spans="2:4">
      <c r="B27268">
        <v>1</v>
      </c>
      <c r="C27268">
        <v>102</v>
      </c>
      <c r="D27268">
        <v>1</v>
      </c>
    </row>
    <row r="27269" spans="2:4">
      <c r="B27269">
        <v>1</v>
      </c>
      <c r="C27269">
        <v>102</v>
      </c>
      <c r="D27269">
        <v>1</v>
      </c>
    </row>
    <row r="27270" spans="2:4">
      <c r="B27270">
        <v>1</v>
      </c>
      <c r="C27270">
        <v>102</v>
      </c>
      <c r="D27270">
        <v>1</v>
      </c>
    </row>
    <row r="27272" spans="2:4">
      <c r="B27272">
        <v>1</v>
      </c>
      <c r="C27272">
        <v>102</v>
      </c>
      <c r="D27272">
        <v>1</v>
      </c>
    </row>
    <row r="27274" spans="2:4">
      <c r="B27274">
        <v>1</v>
      </c>
      <c r="C27274">
        <v>102</v>
      </c>
      <c r="D27274">
        <v>1</v>
      </c>
    </row>
    <row r="27277" spans="2:4">
      <c r="B27277">
        <v>1</v>
      </c>
      <c r="C27277">
        <v>102</v>
      </c>
      <c r="D27277">
        <v>1</v>
      </c>
    </row>
    <row r="27279" spans="2:4">
      <c r="B27279">
        <v>1</v>
      </c>
      <c r="C27279">
        <v>102</v>
      </c>
      <c r="D27279">
        <v>1</v>
      </c>
    </row>
    <row r="27288" spans="2:4">
      <c r="B27288">
        <v>1</v>
      </c>
      <c r="C27288">
        <v>102</v>
      </c>
      <c r="D27288">
        <v>1</v>
      </c>
    </row>
    <row r="27295" spans="2:4">
      <c r="B27295">
        <v>1</v>
      </c>
      <c r="C27295">
        <v>102</v>
      </c>
      <c r="D27295">
        <v>1</v>
      </c>
    </row>
    <row r="27297" spans="2:4">
      <c r="B27297">
        <v>1</v>
      </c>
      <c r="C27297">
        <v>102</v>
      </c>
      <c r="D27297">
        <v>1</v>
      </c>
    </row>
    <row r="27298" spans="2:4">
      <c r="B27298">
        <v>1</v>
      </c>
      <c r="C27298">
        <v>102</v>
      </c>
      <c r="D27298">
        <v>1</v>
      </c>
    </row>
    <row r="27301" spans="2:4">
      <c r="B27301">
        <v>1</v>
      </c>
      <c r="C27301">
        <v>102</v>
      </c>
      <c r="D27301">
        <v>1</v>
      </c>
    </row>
    <row r="27304" spans="2:4">
      <c r="B27304">
        <v>1</v>
      </c>
      <c r="C27304">
        <v>102</v>
      </c>
      <c r="D27304">
        <v>1</v>
      </c>
    </row>
    <row r="27305" spans="2:4">
      <c r="B27305">
        <v>1</v>
      </c>
      <c r="C27305">
        <v>102</v>
      </c>
      <c r="D27305">
        <v>1</v>
      </c>
    </row>
    <row r="27309" spans="2:4">
      <c r="B27309">
        <v>1</v>
      </c>
      <c r="C27309">
        <v>102</v>
      </c>
      <c r="D27309">
        <v>1</v>
      </c>
    </row>
    <row r="27311" spans="2:4">
      <c r="B27311">
        <v>1</v>
      </c>
      <c r="C27311">
        <v>102</v>
      </c>
      <c r="D27311">
        <v>1</v>
      </c>
    </row>
    <row r="27318" spans="2:4">
      <c r="B27318">
        <v>1</v>
      </c>
      <c r="C27318">
        <v>102</v>
      </c>
      <c r="D27318">
        <v>1</v>
      </c>
    </row>
    <row r="27322" spans="2:4">
      <c r="B27322">
        <v>1</v>
      </c>
      <c r="C27322">
        <v>102</v>
      </c>
      <c r="D27322">
        <v>1</v>
      </c>
    </row>
    <row r="27323" spans="2:4">
      <c r="B27323">
        <v>1</v>
      </c>
      <c r="C27323">
        <v>102</v>
      </c>
      <c r="D27323">
        <v>1</v>
      </c>
    </row>
    <row r="27326" spans="2:4">
      <c r="B27326">
        <v>1</v>
      </c>
      <c r="C27326">
        <v>102</v>
      </c>
      <c r="D27326">
        <v>1</v>
      </c>
    </row>
    <row r="27332" spans="2:4">
      <c r="B27332">
        <v>1</v>
      </c>
      <c r="C27332">
        <v>102</v>
      </c>
      <c r="D27332">
        <v>1</v>
      </c>
    </row>
    <row r="27337" spans="2:4">
      <c r="B27337">
        <v>1</v>
      </c>
      <c r="C27337">
        <v>102</v>
      </c>
      <c r="D27337">
        <v>1</v>
      </c>
    </row>
    <row r="27340" spans="2:4">
      <c r="B27340">
        <v>1</v>
      </c>
      <c r="C27340">
        <v>102</v>
      </c>
      <c r="D27340">
        <v>1</v>
      </c>
    </row>
    <row r="27343" spans="2:4">
      <c r="B27343">
        <v>1</v>
      </c>
      <c r="C27343">
        <v>102</v>
      </c>
      <c r="D27343">
        <v>1</v>
      </c>
    </row>
    <row r="27345" spans="2:4">
      <c r="B27345">
        <v>1</v>
      </c>
      <c r="C27345">
        <v>102</v>
      </c>
      <c r="D27345">
        <v>1</v>
      </c>
    </row>
    <row r="27346" spans="2:4">
      <c r="B27346">
        <v>1</v>
      </c>
      <c r="C27346">
        <v>102</v>
      </c>
      <c r="D27346">
        <v>1</v>
      </c>
    </row>
    <row r="27347" spans="2:4">
      <c r="B27347">
        <v>1</v>
      </c>
      <c r="C27347">
        <v>102</v>
      </c>
      <c r="D27347">
        <v>1</v>
      </c>
    </row>
    <row r="27348" spans="2:4">
      <c r="B27348">
        <v>1</v>
      </c>
      <c r="C27348">
        <v>102</v>
      </c>
      <c r="D27348">
        <v>1</v>
      </c>
    </row>
    <row r="27355" spans="2:4">
      <c r="B27355">
        <v>1</v>
      </c>
      <c r="C27355">
        <v>102</v>
      </c>
      <c r="D27355">
        <v>1</v>
      </c>
    </row>
    <row r="27356" spans="2:4">
      <c r="B27356">
        <v>1</v>
      </c>
      <c r="C27356">
        <v>102</v>
      </c>
      <c r="D27356">
        <v>1</v>
      </c>
    </row>
    <row r="27357" spans="2:4">
      <c r="B27357">
        <v>1</v>
      </c>
      <c r="C27357">
        <v>102</v>
      </c>
      <c r="D27357">
        <v>1</v>
      </c>
    </row>
    <row r="27358" spans="2:4">
      <c r="B27358">
        <v>1</v>
      </c>
      <c r="C27358">
        <v>102</v>
      </c>
      <c r="D27358">
        <v>1</v>
      </c>
    </row>
    <row r="27362" spans="2:4">
      <c r="B27362">
        <v>1</v>
      </c>
      <c r="C27362">
        <v>102</v>
      </c>
      <c r="D27362">
        <v>1</v>
      </c>
    </row>
    <row r="27364" spans="2:4">
      <c r="B27364">
        <v>1</v>
      </c>
      <c r="C27364">
        <v>102</v>
      </c>
      <c r="D27364">
        <v>1</v>
      </c>
    </row>
    <row r="27367" spans="2:4">
      <c r="B27367">
        <v>1</v>
      </c>
      <c r="C27367">
        <v>102</v>
      </c>
      <c r="D27367">
        <v>1</v>
      </c>
    </row>
    <row r="27368" spans="2:4">
      <c r="B27368">
        <v>1</v>
      </c>
      <c r="C27368">
        <v>102</v>
      </c>
      <c r="D27368">
        <v>1</v>
      </c>
    </row>
    <row r="27371" spans="2:4">
      <c r="B27371">
        <v>1</v>
      </c>
      <c r="C27371">
        <v>102</v>
      </c>
      <c r="D27371">
        <v>1</v>
      </c>
    </row>
    <row r="27374" spans="2:4">
      <c r="B27374">
        <v>1</v>
      </c>
      <c r="C27374">
        <v>102</v>
      </c>
      <c r="D27374">
        <v>1</v>
      </c>
    </row>
    <row r="27377" spans="2:4">
      <c r="B27377">
        <v>1</v>
      </c>
      <c r="C27377">
        <v>102</v>
      </c>
      <c r="D27377">
        <v>1</v>
      </c>
    </row>
    <row r="27379" spans="2:4">
      <c r="B27379">
        <v>1</v>
      </c>
      <c r="C27379">
        <v>102</v>
      </c>
      <c r="D27379">
        <v>1</v>
      </c>
    </row>
    <row r="27384" spans="2:4">
      <c r="B27384">
        <v>1</v>
      </c>
      <c r="C27384">
        <v>102</v>
      </c>
      <c r="D27384">
        <v>1</v>
      </c>
    </row>
    <row r="27385" spans="2:4">
      <c r="B27385">
        <v>1</v>
      </c>
      <c r="C27385">
        <v>102</v>
      </c>
      <c r="D27385">
        <v>1</v>
      </c>
    </row>
    <row r="27387" spans="2:4">
      <c r="B27387">
        <v>1</v>
      </c>
      <c r="C27387">
        <v>102</v>
      </c>
      <c r="D27387">
        <v>1</v>
      </c>
    </row>
    <row r="27389" spans="2:4">
      <c r="B27389">
        <v>1</v>
      </c>
      <c r="C27389">
        <v>102</v>
      </c>
      <c r="D27389">
        <v>1</v>
      </c>
    </row>
    <row r="27395" spans="2:4">
      <c r="B27395">
        <v>1</v>
      </c>
      <c r="C27395">
        <v>102</v>
      </c>
      <c r="D27395">
        <v>1</v>
      </c>
    </row>
    <row r="27399" spans="2:4">
      <c r="B27399">
        <v>1</v>
      </c>
      <c r="C27399">
        <v>102</v>
      </c>
      <c r="D27399">
        <v>1</v>
      </c>
    </row>
    <row r="27403" spans="2:4">
      <c r="B27403">
        <v>1</v>
      </c>
      <c r="C27403">
        <v>102</v>
      </c>
      <c r="D27403">
        <v>1</v>
      </c>
    </row>
    <row r="27408" spans="2:4">
      <c r="B27408">
        <v>1</v>
      </c>
      <c r="C27408">
        <v>102</v>
      </c>
      <c r="D27408">
        <v>1</v>
      </c>
    </row>
    <row r="27414" spans="2:4">
      <c r="B27414">
        <v>1</v>
      </c>
      <c r="C27414">
        <v>102</v>
      </c>
      <c r="D27414">
        <v>1</v>
      </c>
    </row>
    <row r="27415" spans="2:4">
      <c r="B27415">
        <v>1</v>
      </c>
      <c r="C27415">
        <v>102</v>
      </c>
      <c r="D27415">
        <v>1</v>
      </c>
    </row>
    <row r="27417" spans="2:4">
      <c r="B27417">
        <v>1</v>
      </c>
      <c r="C27417">
        <v>102</v>
      </c>
      <c r="D27417">
        <v>1</v>
      </c>
    </row>
    <row r="27418" spans="2:4">
      <c r="B27418">
        <v>1</v>
      </c>
      <c r="C27418">
        <v>102</v>
      </c>
      <c r="D27418">
        <v>1</v>
      </c>
    </row>
    <row r="27419" spans="2:4">
      <c r="B27419">
        <v>1</v>
      </c>
      <c r="C27419">
        <v>102</v>
      </c>
      <c r="D27419">
        <v>1</v>
      </c>
    </row>
    <row r="27422" spans="2:4">
      <c r="B27422">
        <v>1</v>
      </c>
      <c r="C27422">
        <v>102</v>
      </c>
      <c r="D27422">
        <v>1</v>
      </c>
    </row>
    <row r="27424" spans="2:4">
      <c r="B27424">
        <v>1</v>
      </c>
      <c r="C27424">
        <v>102</v>
      </c>
      <c r="D27424">
        <v>1</v>
      </c>
    </row>
    <row r="27427" spans="2:4">
      <c r="B27427">
        <v>1</v>
      </c>
      <c r="C27427">
        <v>102</v>
      </c>
      <c r="D27427">
        <v>1</v>
      </c>
    </row>
    <row r="27428" spans="2:4">
      <c r="B27428">
        <v>1</v>
      </c>
      <c r="C27428">
        <v>102</v>
      </c>
      <c r="D27428">
        <v>1</v>
      </c>
    </row>
    <row r="27430" spans="2:4">
      <c r="B27430">
        <v>1</v>
      </c>
      <c r="C27430">
        <v>102</v>
      </c>
      <c r="D27430">
        <v>1</v>
      </c>
    </row>
    <row r="27434" spans="2:4">
      <c r="B27434">
        <v>1</v>
      </c>
      <c r="C27434">
        <v>102</v>
      </c>
      <c r="D27434">
        <v>1</v>
      </c>
    </row>
    <row r="27445" spans="2:4">
      <c r="B27445">
        <v>1</v>
      </c>
      <c r="C27445">
        <v>102</v>
      </c>
      <c r="D27445">
        <v>1</v>
      </c>
    </row>
    <row r="27447" spans="2:4">
      <c r="B27447">
        <v>1</v>
      </c>
      <c r="C27447">
        <v>102</v>
      </c>
      <c r="D27447">
        <v>1</v>
      </c>
    </row>
    <row r="27449" spans="2:4">
      <c r="B27449">
        <v>1</v>
      </c>
      <c r="C27449">
        <v>102</v>
      </c>
      <c r="D27449">
        <v>1</v>
      </c>
    </row>
    <row r="27458" spans="2:4">
      <c r="B27458">
        <v>1</v>
      </c>
      <c r="C27458">
        <v>102</v>
      </c>
      <c r="D27458">
        <v>1</v>
      </c>
    </row>
    <row r="27464" spans="2:4">
      <c r="B27464">
        <v>1</v>
      </c>
      <c r="C27464">
        <v>102</v>
      </c>
      <c r="D27464">
        <v>1</v>
      </c>
    </row>
    <row r="27469" spans="2:4">
      <c r="B27469">
        <v>1</v>
      </c>
      <c r="C27469">
        <v>102</v>
      </c>
      <c r="D27469">
        <v>1</v>
      </c>
    </row>
    <row r="27470" spans="2:4">
      <c r="B27470">
        <v>1</v>
      </c>
      <c r="C27470">
        <v>102</v>
      </c>
      <c r="D27470">
        <v>1</v>
      </c>
    </row>
    <row r="27477" spans="2:4">
      <c r="B27477">
        <v>1</v>
      </c>
      <c r="C27477">
        <v>102</v>
      </c>
      <c r="D27477">
        <v>1</v>
      </c>
    </row>
    <row r="27482" spans="2:4">
      <c r="B27482">
        <v>1</v>
      </c>
      <c r="C27482">
        <v>102</v>
      </c>
      <c r="D27482">
        <v>1</v>
      </c>
    </row>
    <row r="27489" spans="2:4">
      <c r="B27489">
        <v>1</v>
      </c>
      <c r="C27489">
        <v>102</v>
      </c>
      <c r="D27489">
        <v>1</v>
      </c>
    </row>
    <row r="27500" spans="2:4">
      <c r="B27500">
        <v>1</v>
      </c>
      <c r="C27500">
        <v>102</v>
      </c>
      <c r="D27500">
        <v>1</v>
      </c>
    </row>
    <row r="27501" spans="2:4">
      <c r="B27501">
        <v>1</v>
      </c>
      <c r="C27501">
        <v>102</v>
      </c>
      <c r="D27501">
        <v>1</v>
      </c>
    </row>
    <row r="27504" spans="2:4">
      <c r="B27504">
        <v>1</v>
      </c>
      <c r="C27504">
        <v>102</v>
      </c>
      <c r="D27504">
        <v>1</v>
      </c>
    </row>
    <row r="27506" spans="2:4">
      <c r="B27506">
        <v>1</v>
      </c>
      <c r="C27506">
        <v>102</v>
      </c>
      <c r="D27506">
        <v>1</v>
      </c>
    </row>
    <row r="27508" spans="2:4">
      <c r="B27508">
        <v>1</v>
      </c>
      <c r="C27508">
        <v>102</v>
      </c>
      <c r="D27508">
        <v>1</v>
      </c>
    </row>
    <row r="27516" spans="2:4">
      <c r="B27516">
        <v>1</v>
      </c>
      <c r="C27516">
        <v>102</v>
      </c>
      <c r="D27516">
        <v>1</v>
      </c>
    </row>
    <row r="27518" spans="2:4">
      <c r="B27518">
        <v>1</v>
      </c>
      <c r="C27518">
        <v>102</v>
      </c>
      <c r="D27518">
        <v>1</v>
      </c>
    </row>
    <row r="27519" spans="2:4">
      <c r="B27519">
        <v>1</v>
      </c>
      <c r="C27519">
        <v>102</v>
      </c>
      <c r="D27519">
        <v>1</v>
      </c>
    </row>
    <row r="27520" spans="2:4">
      <c r="B27520">
        <v>1</v>
      </c>
      <c r="C27520">
        <v>102</v>
      </c>
      <c r="D27520">
        <v>1</v>
      </c>
    </row>
    <row r="27521" spans="2:4">
      <c r="B27521">
        <v>1</v>
      </c>
      <c r="C27521">
        <v>102</v>
      </c>
      <c r="D27521">
        <v>1</v>
      </c>
    </row>
    <row r="27524" spans="2:4">
      <c r="B27524">
        <v>1</v>
      </c>
      <c r="C27524">
        <v>102</v>
      </c>
      <c r="D27524">
        <v>1</v>
      </c>
    </row>
    <row r="27525" spans="2:4">
      <c r="B27525">
        <v>1</v>
      </c>
      <c r="C27525">
        <v>102</v>
      </c>
      <c r="D27525">
        <v>1</v>
      </c>
    </row>
    <row r="27526" spans="2:4">
      <c r="B27526">
        <v>1</v>
      </c>
      <c r="C27526">
        <v>102</v>
      </c>
      <c r="D27526">
        <v>1</v>
      </c>
    </row>
    <row r="27528" spans="2:4">
      <c r="B27528">
        <v>1</v>
      </c>
      <c r="C27528">
        <v>102</v>
      </c>
      <c r="D27528">
        <v>1</v>
      </c>
    </row>
    <row r="27530" spans="2:4">
      <c r="B27530">
        <v>1</v>
      </c>
      <c r="C27530">
        <v>102</v>
      </c>
      <c r="D27530">
        <v>1</v>
      </c>
    </row>
    <row r="27533" spans="2:4">
      <c r="B27533">
        <v>1</v>
      </c>
      <c r="C27533">
        <v>102</v>
      </c>
      <c r="D27533">
        <v>1</v>
      </c>
    </row>
    <row r="27535" spans="2:4">
      <c r="B27535">
        <v>1</v>
      </c>
      <c r="C27535">
        <v>102</v>
      </c>
      <c r="D27535">
        <v>1</v>
      </c>
    </row>
    <row r="27544" spans="2:4">
      <c r="B27544">
        <v>1</v>
      </c>
      <c r="C27544">
        <v>102</v>
      </c>
      <c r="D27544">
        <v>1</v>
      </c>
    </row>
    <row r="27551" spans="2:4">
      <c r="B27551">
        <v>1</v>
      </c>
      <c r="C27551">
        <v>102</v>
      </c>
      <c r="D27551">
        <v>1</v>
      </c>
    </row>
    <row r="27553" spans="2:4">
      <c r="B27553">
        <v>1</v>
      </c>
      <c r="C27553">
        <v>102</v>
      </c>
      <c r="D27553">
        <v>1</v>
      </c>
    </row>
    <row r="27554" spans="2:4">
      <c r="B27554">
        <v>1</v>
      </c>
      <c r="C27554">
        <v>102</v>
      </c>
      <c r="D27554">
        <v>1</v>
      </c>
    </row>
    <row r="27557" spans="2:4">
      <c r="B27557">
        <v>1</v>
      </c>
      <c r="C27557">
        <v>102</v>
      </c>
      <c r="D27557">
        <v>1</v>
      </c>
    </row>
    <row r="27560" spans="2:4">
      <c r="B27560">
        <v>1</v>
      </c>
      <c r="C27560">
        <v>102</v>
      </c>
      <c r="D27560">
        <v>1</v>
      </c>
    </row>
    <row r="27561" spans="2:4">
      <c r="B27561">
        <v>1</v>
      </c>
      <c r="C27561">
        <v>102</v>
      </c>
      <c r="D27561">
        <v>1</v>
      </c>
    </row>
    <row r="27565" spans="2:4">
      <c r="B27565">
        <v>1</v>
      </c>
      <c r="C27565">
        <v>102</v>
      </c>
      <c r="D27565">
        <v>1</v>
      </c>
    </row>
    <row r="27567" spans="2:4">
      <c r="B27567">
        <v>1</v>
      </c>
      <c r="C27567">
        <v>102</v>
      </c>
      <c r="D27567">
        <v>1</v>
      </c>
    </row>
    <row r="27574" spans="2:4">
      <c r="B27574">
        <v>1</v>
      </c>
      <c r="C27574">
        <v>102</v>
      </c>
      <c r="D27574">
        <v>1</v>
      </c>
    </row>
    <row r="27578" spans="2:4">
      <c r="B27578">
        <v>1</v>
      </c>
      <c r="C27578">
        <v>102</v>
      </c>
      <c r="D27578">
        <v>1</v>
      </c>
    </row>
    <row r="27579" spans="2:4">
      <c r="B27579">
        <v>1</v>
      </c>
      <c r="C27579">
        <v>102</v>
      </c>
      <c r="D27579">
        <v>1</v>
      </c>
    </row>
    <row r="27582" spans="2:4">
      <c r="B27582">
        <v>1</v>
      </c>
      <c r="C27582">
        <v>102</v>
      </c>
      <c r="D27582">
        <v>1</v>
      </c>
    </row>
    <row r="27588" spans="2:4">
      <c r="B27588">
        <v>1</v>
      </c>
      <c r="C27588">
        <v>102</v>
      </c>
      <c r="D27588">
        <v>1</v>
      </c>
    </row>
    <row r="27593" spans="2:4">
      <c r="B27593">
        <v>1</v>
      </c>
      <c r="C27593">
        <v>102</v>
      </c>
      <c r="D27593">
        <v>1</v>
      </c>
    </row>
    <row r="27596" spans="2:4">
      <c r="B27596">
        <v>1</v>
      </c>
      <c r="C27596">
        <v>102</v>
      </c>
      <c r="D27596">
        <v>1</v>
      </c>
    </row>
    <row r="27599" spans="2:4">
      <c r="B27599">
        <v>1</v>
      </c>
      <c r="C27599">
        <v>102</v>
      </c>
      <c r="D27599">
        <v>1</v>
      </c>
    </row>
    <row r="27601" spans="2:4">
      <c r="B27601">
        <v>1</v>
      </c>
      <c r="C27601">
        <v>102</v>
      </c>
      <c r="D27601">
        <v>1</v>
      </c>
    </row>
    <row r="27602" spans="2:4">
      <c r="B27602">
        <v>1</v>
      </c>
      <c r="C27602">
        <v>102</v>
      </c>
      <c r="D27602">
        <v>1</v>
      </c>
    </row>
    <row r="27603" spans="2:4">
      <c r="B27603">
        <v>1</v>
      </c>
      <c r="C27603">
        <v>102</v>
      </c>
      <c r="D27603">
        <v>1</v>
      </c>
    </row>
    <row r="27604" spans="2:4">
      <c r="B27604">
        <v>1</v>
      </c>
      <c r="C27604">
        <v>102</v>
      </c>
      <c r="D27604">
        <v>1</v>
      </c>
    </row>
    <row r="27611" spans="2:4">
      <c r="B27611">
        <v>1</v>
      </c>
      <c r="C27611">
        <v>102</v>
      </c>
      <c r="D27611">
        <v>1</v>
      </c>
    </row>
    <row r="27612" spans="2:4">
      <c r="B27612">
        <v>1</v>
      </c>
      <c r="C27612">
        <v>102</v>
      </c>
      <c r="D27612">
        <v>1</v>
      </c>
    </row>
    <row r="27613" spans="2:4">
      <c r="B27613">
        <v>1</v>
      </c>
      <c r="C27613">
        <v>102</v>
      </c>
      <c r="D27613">
        <v>1</v>
      </c>
    </row>
    <row r="27614" spans="2:4">
      <c r="B27614">
        <v>1</v>
      </c>
      <c r="C27614">
        <v>102</v>
      </c>
      <c r="D27614">
        <v>1</v>
      </c>
    </row>
    <row r="27618" spans="2:4">
      <c r="B27618">
        <v>1</v>
      </c>
      <c r="C27618">
        <v>102</v>
      </c>
      <c r="D27618">
        <v>1</v>
      </c>
    </row>
    <row r="27620" spans="2:4">
      <c r="B27620">
        <v>1</v>
      </c>
      <c r="C27620">
        <v>102</v>
      </c>
      <c r="D27620">
        <v>1</v>
      </c>
    </row>
    <row r="27623" spans="2:4">
      <c r="B27623">
        <v>1</v>
      </c>
      <c r="C27623">
        <v>102</v>
      </c>
      <c r="D27623">
        <v>1</v>
      </c>
    </row>
    <row r="27624" spans="2:4">
      <c r="B27624">
        <v>1</v>
      </c>
      <c r="C27624">
        <v>102</v>
      </c>
      <c r="D27624">
        <v>1</v>
      </c>
    </row>
    <row r="27627" spans="2:4">
      <c r="B27627">
        <v>1</v>
      </c>
      <c r="C27627">
        <v>102</v>
      </c>
      <c r="D27627">
        <v>1</v>
      </c>
    </row>
    <row r="27630" spans="2:4">
      <c r="B27630">
        <v>1</v>
      </c>
      <c r="C27630">
        <v>102</v>
      </c>
      <c r="D27630">
        <v>1</v>
      </c>
    </row>
    <row r="27633" spans="2:4">
      <c r="B27633">
        <v>1</v>
      </c>
      <c r="C27633">
        <v>102</v>
      </c>
      <c r="D27633">
        <v>1</v>
      </c>
    </row>
    <row r="27635" spans="2:4">
      <c r="B27635">
        <v>1</v>
      </c>
      <c r="C27635">
        <v>102</v>
      </c>
      <c r="D27635">
        <v>1</v>
      </c>
    </row>
    <row r="27640" spans="2:4">
      <c r="B27640">
        <v>1</v>
      </c>
      <c r="C27640">
        <v>102</v>
      </c>
      <c r="D27640">
        <v>1</v>
      </c>
    </row>
    <row r="27641" spans="2:4">
      <c r="B27641">
        <v>1</v>
      </c>
      <c r="C27641">
        <v>102</v>
      </c>
      <c r="D27641">
        <v>1</v>
      </c>
    </row>
    <row r="27643" spans="2:4">
      <c r="B27643">
        <v>1</v>
      </c>
      <c r="C27643">
        <v>102</v>
      </c>
      <c r="D27643">
        <v>1</v>
      </c>
    </row>
    <row r="27645" spans="2:4">
      <c r="B27645">
        <v>1</v>
      </c>
      <c r="C27645">
        <v>102</v>
      </c>
      <c r="D27645">
        <v>1</v>
      </c>
    </row>
    <row r="27651" spans="2:4">
      <c r="B27651">
        <v>1</v>
      </c>
      <c r="C27651">
        <v>102</v>
      </c>
      <c r="D27651">
        <v>1</v>
      </c>
    </row>
    <row r="27655" spans="2:4">
      <c r="B27655">
        <v>1</v>
      </c>
      <c r="C27655">
        <v>102</v>
      </c>
      <c r="D27655">
        <v>1</v>
      </c>
    </row>
    <row r="27659" spans="2:4">
      <c r="B27659">
        <v>1</v>
      </c>
      <c r="C27659">
        <v>102</v>
      </c>
      <c r="D27659">
        <v>1</v>
      </c>
    </row>
    <row r="27664" spans="2:4">
      <c r="B27664">
        <v>1</v>
      </c>
      <c r="C27664">
        <v>102</v>
      </c>
      <c r="D27664">
        <v>1</v>
      </c>
    </row>
    <row r="27670" spans="2:4">
      <c r="B27670">
        <v>1</v>
      </c>
      <c r="C27670">
        <v>102</v>
      </c>
      <c r="D27670">
        <v>1</v>
      </c>
    </row>
    <row r="27671" spans="2:4">
      <c r="B27671">
        <v>1</v>
      </c>
      <c r="C27671">
        <v>102</v>
      </c>
      <c r="D27671">
        <v>1</v>
      </c>
    </row>
    <row r="27673" spans="2:4">
      <c r="B27673">
        <v>1</v>
      </c>
      <c r="C27673">
        <v>102</v>
      </c>
      <c r="D27673">
        <v>1</v>
      </c>
    </row>
    <row r="27674" spans="2:4">
      <c r="B27674">
        <v>1</v>
      </c>
      <c r="C27674">
        <v>102</v>
      </c>
      <c r="D27674">
        <v>1</v>
      </c>
    </row>
    <row r="27675" spans="2:4">
      <c r="B27675">
        <v>1</v>
      </c>
      <c r="C27675">
        <v>102</v>
      </c>
      <c r="D27675">
        <v>1</v>
      </c>
    </row>
    <row r="27678" spans="2:4">
      <c r="B27678">
        <v>1</v>
      </c>
      <c r="C27678">
        <v>102</v>
      </c>
      <c r="D27678">
        <v>1</v>
      </c>
    </row>
    <row r="27680" spans="2:4">
      <c r="B27680">
        <v>1</v>
      </c>
      <c r="C27680">
        <v>102</v>
      </c>
      <c r="D27680">
        <v>1</v>
      </c>
    </row>
    <row r="27683" spans="2:4">
      <c r="B27683">
        <v>1</v>
      </c>
      <c r="C27683">
        <v>102</v>
      </c>
      <c r="D27683">
        <v>1</v>
      </c>
    </row>
    <row r="27684" spans="2:4">
      <c r="B27684">
        <v>1</v>
      </c>
      <c r="C27684">
        <v>102</v>
      </c>
      <c r="D27684">
        <v>1</v>
      </c>
    </row>
    <row r="27686" spans="2:4">
      <c r="B27686">
        <v>1</v>
      </c>
      <c r="C27686">
        <v>102</v>
      </c>
      <c r="D27686">
        <v>1</v>
      </c>
    </row>
    <row r="27690" spans="2:4">
      <c r="B27690">
        <v>1</v>
      </c>
      <c r="C27690">
        <v>102</v>
      </c>
      <c r="D27690">
        <v>1</v>
      </c>
    </row>
    <row r="27701" spans="2:4">
      <c r="B27701">
        <v>1</v>
      </c>
      <c r="C27701">
        <v>102</v>
      </c>
      <c r="D27701">
        <v>1</v>
      </c>
    </row>
    <row r="27703" spans="2:4">
      <c r="B27703">
        <v>1</v>
      </c>
      <c r="C27703">
        <v>102</v>
      </c>
      <c r="D27703">
        <v>1</v>
      </c>
    </row>
    <row r="27705" spans="2:4">
      <c r="B27705">
        <v>1</v>
      </c>
      <c r="C27705">
        <v>102</v>
      </c>
      <c r="D27705">
        <v>1</v>
      </c>
    </row>
    <row r="27714" spans="2:4">
      <c r="B27714">
        <v>1</v>
      </c>
      <c r="C27714">
        <v>102</v>
      </c>
      <c r="D27714">
        <v>1</v>
      </c>
    </row>
    <row r="27720" spans="2:4">
      <c r="B27720">
        <v>1</v>
      </c>
      <c r="C27720">
        <v>102</v>
      </c>
      <c r="D27720">
        <v>1</v>
      </c>
    </row>
    <row r="27725" spans="2:4">
      <c r="B27725">
        <v>1</v>
      </c>
      <c r="C27725">
        <v>102</v>
      </c>
      <c r="D27725">
        <v>1</v>
      </c>
    </row>
    <row r="27726" spans="2:4">
      <c r="B27726">
        <v>1</v>
      </c>
      <c r="C27726">
        <v>102</v>
      </c>
      <c r="D27726">
        <v>1</v>
      </c>
    </row>
    <row r="27733" spans="2:4">
      <c r="B27733">
        <v>1</v>
      </c>
      <c r="C27733">
        <v>102</v>
      </c>
      <c r="D27733">
        <v>1</v>
      </c>
    </row>
    <row r="27738" spans="2:4">
      <c r="B27738">
        <v>1</v>
      </c>
      <c r="C27738">
        <v>102</v>
      </c>
      <c r="D27738">
        <v>1</v>
      </c>
    </row>
    <row r="27745" spans="2:4">
      <c r="B27745">
        <v>1</v>
      </c>
      <c r="C27745">
        <v>102</v>
      </c>
      <c r="D27745">
        <v>1</v>
      </c>
    </row>
    <row r="27756" spans="2:4">
      <c r="B27756">
        <v>1</v>
      </c>
      <c r="C27756">
        <v>102</v>
      </c>
      <c r="D27756">
        <v>1</v>
      </c>
    </row>
    <row r="27757" spans="2:4">
      <c r="B27757">
        <v>1</v>
      </c>
      <c r="C27757">
        <v>102</v>
      </c>
      <c r="D27757">
        <v>1</v>
      </c>
    </row>
    <row r="27760" spans="2:4">
      <c r="B27760">
        <v>1</v>
      </c>
      <c r="C27760">
        <v>102</v>
      </c>
      <c r="D27760">
        <v>1</v>
      </c>
    </row>
    <row r="27762" spans="2:4">
      <c r="B27762">
        <v>1</v>
      </c>
      <c r="C27762">
        <v>102</v>
      </c>
      <c r="D27762">
        <v>1</v>
      </c>
    </row>
    <row r="27764" spans="2:4">
      <c r="B27764">
        <v>1</v>
      </c>
      <c r="C27764">
        <v>102</v>
      </c>
      <c r="D27764">
        <v>1</v>
      </c>
    </row>
    <row r="27772" spans="2:4">
      <c r="B27772">
        <v>1</v>
      </c>
      <c r="C27772">
        <v>102</v>
      </c>
      <c r="D27772">
        <v>1</v>
      </c>
    </row>
    <row r="27774" spans="2:4">
      <c r="B27774">
        <v>1</v>
      </c>
      <c r="C27774">
        <v>102</v>
      </c>
      <c r="D27774">
        <v>1</v>
      </c>
    </row>
    <row r="27775" spans="2:4">
      <c r="B27775">
        <v>1</v>
      </c>
      <c r="C27775">
        <v>102</v>
      </c>
      <c r="D27775">
        <v>1</v>
      </c>
    </row>
    <row r="27776" spans="2:4">
      <c r="B27776">
        <v>1</v>
      </c>
      <c r="C27776">
        <v>102</v>
      </c>
      <c r="D27776">
        <v>1</v>
      </c>
    </row>
    <row r="27777" spans="2:4">
      <c r="B27777">
        <v>1</v>
      </c>
      <c r="C27777">
        <v>102</v>
      </c>
      <c r="D27777">
        <v>1</v>
      </c>
    </row>
    <row r="27780" spans="2:4">
      <c r="B27780">
        <v>1</v>
      </c>
      <c r="C27780">
        <v>102</v>
      </c>
      <c r="D27780">
        <v>1</v>
      </c>
    </row>
    <row r="27781" spans="2:4">
      <c r="B27781">
        <v>1</v>
      </c>
      <c r="C27781">
        <v>102</v>
      </c>
      <c r="D27781">
        <v>1</v>
      </c>
    </row>
    <row r="27782" spans="2:4">
      <c r="B27782">
        <v>1</v>
      </c>
      <c r="C27782">
        <v>102</v>
      </c>
      <c r="D27782">
        <v>1</v>
      </c>
    </row>
    <row r="27784" spans="2:4">
      <c r="B27784">
        <v>1</v>
      </c>
      <c r="C27784">
        <v>102</v>
      </c>
      <c r="D27784">
        <v>1</v>
      </c>
    </row>
    <row r="27786" spans="2:4">
      <c r="B27786">
        <v>1</v>
      </c>
      <c r="C27786">
        <v>102</v>
      </c>
      <c r="D27786">
        <v>1</v>
      </c>
    </row>
    <row r="27789" spans="2:4">
      <c r="B27789">
        <v>1</v>
      </c>
      <c r="C27789">
        <v>102</v>
      </c>
      <c r="D27789">
        <v>1</v>
      </c>
    </row>
    <row r="27791" spans="2:4">
      <c r="B27791">
        <v>1</v>
      </c>
      <c r="C27791">
        <v>102</v>
      </c>
      <c r="D27791">
        <v>1</v>
      </c>
    </row>
    <row r="27800" spans="2:4">
      <c r="B27800">
        <v>1</v>
      </c>
      <c r="C27800">
        <v>102</v>
      </c>
      <c r="D27800">
        <v>1</v>
      </c>
    </row>
    <row r="27807" spans="2:4">
      <c r="B27807">
        <v>1</v>
      </c>
      <c r="C27807">
        <v>102</v>
      </c>
      <c r="D27807">
        <v>1</v>
      </c>
    </row>
    <row r="27809" spans="2:4">
      <c r="B27809">
        <v>1</v>
      </c>
      <c r="C27809">
        <v>102</v>
      </c>
      <c r="D27809">
        <v>1</v>
      </c>
    </row>
    <row r="27810" spans="2:4">
      <c r="B27810">
        <v>1</v>
      </c>
      <c r="C27810">
        <v>102</v>
      </c>
      <c r="D27810">
        <v>1</v>
      </c>
    </row>
    <row r="27813" spans="2:4">
      <c r="B27813">
        <v>1</v>
      </c>
      <c r="C27813">
        <v>102</v>
      </c>
      <c r="D27813">
        <v>1</v>
      </c>
    </row>
    <row r="27816" spans="2:4">
      <c r="B27816">
        <v>1</v>
      </c>
      <c r="C27816">
        <v>102</v>
      </c>
      <c r="D27816">
        <v>1</v>
      </c>
    </row>
    <row r="27817" spans="2:4">
      <c r="B27817">
        <v>1</v>
      </c>
      <c r="C27817">
        <v>102</v>
      </c>
      <c r="D27817">
        <v>1</v>
      </c>
    </row>
    <row r="27821" spans="2:4">
      <c r="B27821">
        <v>1</v>
      </c>
      <c r="C27821">
        <v>102</v>
      </c>
      <c r="D27821">
        <v>1</v>
      </c>
    </row>
    <row r="27823" spans="2:4">
      <c r="B27823">
        <v>1</v>
      </c>
      <c r="C27823">
        <v>102</v>
      </c>
      <c r="D27823">
        <v>1</v>
      </c>
    </row>
    <row r="27830" spans="2:4">
      <c r="B27830">
        <v>1</v>
      </c>
      <c r="C27830">
        <v>102</v>
      </c>
      <c r="D27830">
        <v>1</v>
      </c>
    </row>
    <row r="27834" spans="2:4">
      <c r="B27834">
        <v>1</v>
      </c>
      <c r="C27834">
        <v>102</v>
      </c>
      <c r="D27834">
        <v>1</v>
      </c>
    </row>
    <row r="27835" spans="2:4">
      <c r="B27835">
        <v>1</v>
      </c>
      <c r="C27835">
        <v>102</v>
      </c>
      <c r="D27835">
        <v>1</v>
      </c>
    </row>
    <row r="27838" spans="2:4">
      <c r="B27838">
        <v>1</v>
      </c>
      <c r="C27838">
        <v>102</v>
      </c>
      <c r="D27838">
        <v>1</v>
      </c>
    </row>
    <row r="27844" spans="2:4">
      <c r="B27844">
        <v>1</v>
      </c>
      <c r="C27844">
        <v>102</v>
      </c>
      <c r="D27844">
        <v>1</v>
      </c>
    </row>
    <row r="27849" spans="2:4">
      <c r="B27849">
        <v>1</v>
      </c>
      <c r="C27849">
        <v>102</v>
      </c>
      <c r="D27849">
        <v>1</v>
      </c>
    </row>
    <row r="27852" spans="2:4">
      <c r="B27852">
        <v>1</v>
      </c>
      <c r="C27852">
        <v>102</v>
      </c>
      <c r="D27852">
        <v>1</v>
      </c>
    </row>
    <row r="27855" spans="2:4">
      <c r="B27855">
        <v>1</v>
      </c>
      <c r="C27855">
        <v>102</v>
      </c>
      <c r="D27855">
        <v>1</v>
      </c>
    </row>
    <row r="27857" spans="2:4">
      <c r="B27857">
        <v>1</v>
      </c>
      <c r="C27857">
        <v>102</v>
      </c>
      <c r="D27857">
        <v>1</v>
      </c>
    </row>
    <row r="27858" spans="2:4">
      <c r="B27858">
        <v>1</v>
      </c>
      <c r="C27858">
        <v>102</v>
      </c>
      <c r="D27858">
        <v>1</v>
      </c>
    </row>
    <row r="27859" spans="2:4">
      <c r="B27859">
        <v>1</v>
      </c>
      <c r="C27859">
        <v>102</v>
      </c>
      <c r="D27859">
        <v>1</v>
      </c>
    </row>
    <row r="27860" spans="2:4">
      <c r="B27860">
        <v>1</v>
      </c>
      <c r="C27860">
        <v>102</v>
      </c>
      <c r="D27860">
        <v>1</v>
      </c>
    </row>
    <row r="27867" spans="2:4">
      <c r="B27867">
        <v>1</v>
      </c>
      <c r="C27867">
        <v>102</v>
      </c>
      <c r="D27867">
        <v>1</v>
      </c>
    </row>
    <row r="27868" spans="2:4">
      <c r="B27868">
        <v>1</v>
      </c>
      <c r="C27868">
        <v>102</v>
      </c>
      <c r="D27868">
        <v>1</v>
      </c>
    </row>
    <row r="27869" spans="2:4">
      <c r="B27869">
        <v>1</v>
      </c>
      <c r="C27869">
        <v>102</v>
      </c>
      <c r="D27869">
        <v>1</v>
      </c>
    </row>
    <row r="27870" spans="2:4">
      <c r="B27870">
        <v>1</v>
      </c>
      <c r="C27870">
        <v>102</v>
      </c>
      <c r="D27870">
        <v>1</v>
      </c>
    </row>
    <row r="27874" spans="2:4">
      <c r="B27874">
        <v>1</v>
      </c>
      <c r="C27874">
        <v>102</v>
      </c>
      <c r="D27874">
        <v>1</v>
      </c>
    </row>
    <row r="27876" spans="2:4">
      <c r="B27876">
        <v>1</v>
      </c>
      <c r="C27876">
        <v>102</v>
      </c>
      <c r="D27876">
        <v>1</v>
      </c>
    </row>
    <row r="27879" spans="2:4">
      <c r="B27879">
        <v>1</v>
      </c>
      <c r="C27879">
        <v>102</v>
      </c>
      <c r="D27879">
        <v>1</v>
      </c>
    </row>
    <row r="27880" spans="2:4">
      <c r="B27880">
        <v>1</v>
      </c>
      <c r="C27880">
        <v>102</v>
      </c>
      <c r="D27880">
        <v>1</v>
      </c>
    </row>
    <row r="27883" spans="2:4">
      <c r="B27883">
        <v>1</v>
      </c>
      <c r="C27883">
        <v>102</v>
      </c>
      <c r="D27883">
        <v>1</v>
      </c>
    </row>
    <row r="27886" spans="2:4">
      <c r="B27886">
        <v>1</v>
      </c>
      <c r="C27886">
        <v>102</v>
      </c>
      <c r="D27886">
        <v>1</v>
      </c>
    </row>
    <row r="27889" spans="2:4">
      <c r="B27889">
        <v>1</v>
      </c>
      <c r="C27889">
        <v>102</v>
      </c>
      <c r="D27889">
        <v>1</v>
      </c>
    </row>
    <row r="27891" spans="2:4">
      <c r="B27891">
        <v>1</v>
      </c>
      <c r="C27891">
        <v>102</v>
      </c>
      <c r="D27891">
        <v>1</v>
      </c>
    </row>
    <row r="27896" spans="2:4">
      <c r="B27896">
        <v>1</v>
      </c>
      <c r="C27896">
        <v>102</v>
      </c>
      <c r="D27896">
        <v>1</v>
      </c>
    </row>
    <row r="27897" spans="2:4">
      <c r="B27897">
        <v>1</v>
      </c>
      <c r="C27897">
        <v>102</v>
      </c>
      <c r="D27897">
        <v>1</v>
      </c>
    </row>
    <row r="27899" spans="2:4">
      <c r="B27899">
        <v>1</v>
      </c>
      <c r="C27899">
        <v>102</v>
      </c>
      <c r="D27899">
        <v>1</v>
      </c>
    </row>
    <row r="27901" spans="2:4">
      <c r="B27901">
        <v>1</v>
      </c>
      <c r="C27901">
        <v>102</v>
      </c>
      <c r="D27901">
        <v>1</v>
      </c>
    </row>
    <row r="27907" spans="2:4">
      <c r="B27907">
        <v>1</v>
      </c>
      <c r="C27907">
        <v>102</v>
      </c>
      <c r="D27907">
        <v>1</v>
      </c>
    </row>
    <row r="27911" spans="2:4">
      <c r="B27911">
        <v>1</v>
      </c>
      <c r="C27911">
        <v>102</v>
      </c>
      <c r="D27911">
        <v>1</v>
      </c>
    </row>
    <row r="27915" spans="2:4">
      <c r="B27915">
        <v>1</v>
      </c>
      <c r="C27915">
        <v>102</v>
      </c>
      <c r="D27915">
        <v>1</v>
      </c>
    </row>
    <row r="27920" spans="2:4">
      <c r="B27920">
        <v>1</v>
      </c>
      <c r="C27920">
        <v>102</v>
      </c>
      <c r="D27920">
        <v>1</v>
      </c>
    </row>
    <row r="27926" spans="2:4">
      <c r="B27926">
        <v>1</v>
      </c>
      <c r="C27926">
        <v>102</v>
      </c>
      <c r="D27926">
        <v>1</v>
      </c>
    </row>
    <row r="27927" spans="2:4">
      <c r="B27927">
        <v>1</v>
      </c>
      <c r="C27927">
        <v>102</v>
      </c>
      <c r="D27927">
        <v>1</v>
      </c>
    </row>
    <row r="27929" spans="2:4">
      <c r="B27929">
        <v>1</v>
      </c>
      <c r="C27929">
        <v>102</v>
      </c>
      <c r="D27929">
        <v>1</v>
      </c>
    </row>
    <row r="27930" spans="2:4">
      <c r="B27930">
        <v>1</v>
      </c>
      <c r="C27930">
        <v>102</v>
      </c>
      <c r="D27930">
        <v>1</v>
      </c>
    </row>
    <row r="27931" spans="2:4">
      <c r="B27931">
        <v>1</v>
      </c>
      <c r="C27931">
        <v>102</v>
      </c>
      <c r="D27931">
        <v>1</v>
      </c>
    </row>
    <row r="27934" spans="2:4">
      <c r="B27934">
        <v>1</v>
      </c>
      <c r="C27934">
        <v>102</v>
      </c>
      <c r="D27934">
        <v>1</v>
      </c>
    </row>
    <row r="27936" spans="2:4">
      <c r="B27936">
        <v>1</v>
      </c>
      <c r="C27936">
        <v>102</v>
      </c>
      <c r="D27936">
        <v>1</v>
      </c>
    </row>
    <row r="27939" spans="2:4">
      <c r="B27939">
        <v>1</v>
      </c>
      <c r="C27939">
        <v>102</v>
      </c>
      <c r="D27939">
        <v>1</v>
      </c>
    </row>
    <row r="27940" spans="2:4">
      <c r="B27940">
        <v>1</v>
      </c>
      <c r="C27940">
        <v>102</v>
      </c>
      <c r="D27940">
        <v>1</v>
      </c>
    </row>
    <row r="27942" spans="2:4">
      <c r="B27942">
        <v>1</v>
      </c>
      <c r="C27942">
        <v>102</v>
      </c>
      <c r="D27942">
        <v>1</v>
      </c>
    </row>
    <row r="27946" spans="2:4">
      <c r="B27946">
        <v>1</v>
      </c>
      <c r="C27946">
        <v>102</v>
      </c>
      <c r="D27946">
        <v>1</v>
      </c>
    </row>
    <row r="27957" spans="2:4">
      <c r="B27957">
        <v>1</v>
      </c>
      <c r="C27957">
        <v>102</v>
      </c>
      <c r="D27957">
        <v>1</v>
      </c>
    </row>
    <row r="27959" spans="2:4">
      <c r="B27959">
        <v>1</v>
      </c>
      <c r="C27959">
        <v>102</v>
      </c>
      <c r="D27959">
        <v>1</v>
      </c>
    </row>
    <row r="27961" spans="2:4">
      <c r="B27961">
        <v>1</v>
      </c>
      <c r="C27961">
        <v>102</v>
      </c>
      <c r="D27961">
        <v>1</v>
      </c>
    </row>
    <row r="27970" spans="2:4">
      <c r="B27970">
        <v>1</v>
      </c>
      <c r="C27970">
        <v>102</v>
      </c>
      <c r="D27970">
        <v>1</v>
      </c>
    </row>
    <row r="27976" spans="2:4">
      <c r="B27976">
        <v>1</v>
      </c>
      <c r="C27976">
        <v>102</v>
      </c>
      <c r="D27976">
        <v>1</v>
      </c>
    </row>
    <row r="27981" spans="2:4">
      <c r="B27981">
        <v>1</v>
      </c>
      <c r="C27981">
        <v>102</v>
      </c>
      <c r="D27981">
        <v>1</v>
      </c>
    </row>
    <row r="27982" spans="2:4">
      <c r="B27982">
        <v>1</v>
      </c>
      <c r="C27982">
        <v>102</v>
      </c>
      <c r="D27982">
        <v>1</v>
      </c>
    </row>
    <row r="27989" spans="2:4">
      <c r="B27989">
        <v>1</v>
      </c>
      <c r="C27989">
        <v>102</v>
      </c>
      <c r="D27989">
        <v>1</v>
      </c>
    </row>
    <row r="27994" spans="2:4">
      <c r="B27994">
        <v>1</v>
      </c>
      <c r="C27994">
        <v>102</v>
      </c>
      <c r="D27994">
        <v>1</v>
      </c>
    </row>
    <row r="28001" spans="2:4">
      <c r="B28001">
        <v>1</v>
      </c>
      <c r="C28001">
        <v>102</v>
      </c>
      <c r="D28001">
        <v>1</v>
      </c>
    </row>
    <row r="28012" spans="2:4">
      <c r="B28012">
        <v>1</v>
      </c>
      <c r="C28012">
        <v>102</v>
      </c>
      <c r="D28012">
        <v>1</v>
      </c>
    </row>
    <row r="28013" spans="2:4">
      <c r="B28013">
        <v>1</v>
      </c>
      <c r="C28013">
        <v>102</v>
      </c>
      <c r="D28013">
        <v>1</v>
      </c>
    </row>
    <row r="28016" spans="2:4">
      <c r="B28016">
        <v>1</v>
      </c>
      <c r="C28016">
        <v>102</v>
      </c>
      <c r="D28016">
        <v>1</v>
      </c>
    </row>
    <row r="28018" spans="2:4">
      <c r="B28018">
        <v>1</v>
      </c>
      <c r="C28018">
        <v>102</v>
      </c>
      <c r="D28018">
        <v>1</v>
      </c>
    </row>
    <row r="28020" spans="2:4">
      <c r="B28020">
        <v>1</v>
      </c>
      <c r="C28020">
        <v>102</v>
      </c>
      <c r="D28020">
        <v>1</v>
      </c>
    </row>
    <row r="28028" spans="2:4">
      <c r="B28028">
        <v>1</v>
      </c>
      <c r="C28028">
        <v>102</v>
      </c>
      <c r="D28028">
        <v>1</v>
      </c>
    </row>
    <row r="28030" spans="2:4">
      <c r="B28030">
        <v>1</v>
      </c>
      <c r="C28030">
        <v>102</v>
      </c>
      <c r="D28030">
        <v>1</v>
      </c>
    </row>
    <row r="28031" spans="2:4">
      <c r="B28031">
        <v>1</v>
      </c>
      <c r="C28031">
        <v>102</v>
      </c>
      <c r="D28031">
        <v>1</v>
      </c>
    </row>
    <row r="28032" spans="2:4">
      <c r="B28032">
        <v>1</v>
      </c>
      <c r="C28032">
        <v>102</v>
      </c>
      <c r="D28032">
        <v>1</v>
      </c>
    </row>
    <row r="28033" spans="2:4">
      <c r="B28033">
        <v>1</v>
      </c>
      <c r="C28033">
        <v>102</v>
      </c>
      <c r="D28033">
        <v>1</v>
      </c>
    </row>
    <row r="28036" spans="2:4">
      <c r="B28036">
        <v>1</v>
      </c>
      <c r="C28036">
        <v>102</v>
      </c>
      <c r="D28036">
        <v>1</v>
      </c>
    </row>
    <row r="28037" spans="2:4">
      <c r="B28037">
        <v>1</v>
      </c>
      <c r="C28037">
        <v>102</v>
      </c>
      <c r="D28037">
        <v>1</v>
      </c>
    </row>
    <row r="28038" spans="2:4">
      <c r="B28038">
        <v>1</v>
      </c>
      <c r="C28038">
        <v>102</v>
      </c>
      <c r="D28038">
        <v>1</v>
      </c>
    </row>
    <row r="28040" spans="2:4">
      <c r="B28040">
        <v>1</v>
      </c>
      <c r="C28040">
        <v>102</v>
      </c>
      <c r="D28040">
        <v>1</v>
      </c>
    </row>
    <row r="28042" spans="2:4">
      <c r="B28042">
        <v>1</v>
      </c>
      <c r="C28042">
        <v>102</v>
      </c>
      <c r="D28042">
        <v>1</v>
      </c>
    </row>
    <row r="28045" spans="2:4">
      <c r="B28045">
        <v>1</v>
      </c>
      <c r="C28045">
        <v>102</v>
      </c>
      <c r="D28045">
        <v>1</v>
      </c>
    </row>
    <row r="28047" spans="2:4">
      <c r="B28047">
        <v>1</v>
      </c>
      <c r="C28047">
        <v>102</v>
      </c>
      <c r="D28047">
        <v>1</v>
      </c>
    </row>
    <row r="28056" spans="2:4">
      <c r="B28056">
        <v>1</v>
      </c>
      <c r="C28056">
        <v>102</v>
      </c>
      <c r="D28056">
        <v>1</v>
      </c>
    </row>
    <row r="28063" spans="2:4">
      <c r="B28063">
        <v>1</v>
      </c>
      <c r="C28063">
        <v>102</v>
      </c>
      <c r="D28063">
        <v>1</v>
      </c>
    </row>
    <row r="28065" spans="2:4">
      <c r="B28065">
        <v>1</v>
      </c>
      <c r="C28065">
        <v>102</v>
      </c>
      <c r="D28065">
        <v>1</v>
      </c>
    </row>
    <row r="28066" spans="2:4">
      <c r="B28066">
        <v>1</v>
      </c>
      <c r="C28066">
        <v>102</v>
      </c>
      <c r="D28066">
        <v>1</v>
      </c>
    </row>
    <row r="28069" spans="2:4">
      <c r="B28069">
        <v>1</v>
      </c>
      <c r="C28069">
        <v>102</v>
      </c>
      <c r="D28069">
        <v>1</v>
      </c>
    </row>
    <row r="28072" spans="2:4">
      <c r="B28072">
        <v>1</v>
      </c>
      <c r="C28072">
        <v>102</v>
      </c>
      <c r="D28072">
        <v>1</v>
      </c>
    </row>
    <row r="28073" spans="2:4">
      <c r="B28073">
        <v>1</v>
      </c>
      <c r="C28073">
        <v>102</v>
      </c>
      <c r="D28073">
        <v>1</v>
      </c>
    </row>
    <row r="28077" spans="2:4">
      <c r="B28077">
        <v>1</v>
      </c>
      <c r="C28077">
        <v>102</v>
      </c>
      <c r="D28077">
        <v>1</v>
      </c>
    </row>
    <row r="28079" spans="2:4">
      <c r="B28079">
        <v>1</v>
      </c>
      <c r="C28079">
        <v>102</v>
      </c>
      <c r="D28079">
        <v>1</v>
      </c>
    </row>
    <row r="28086" spans="2:4">
      <c r="B28086">
        <v>1</v>
      </c>
      <c r="C28086">
        <v>102</v>
      </c>
      <c r="D28086">
        <v>1</v>
      </c>
    </row>
    <row r="28090" spans="2:4">
      <c r="B28090">
        <v>1</v>
      </c>
      <c r="C28090">
        <v>102</v>
      </c>
      <c r="D28090">
        <v>1</v>
      </c>
    </row>
    <row r="28091" spans="2:4">
      <c r="B28091">
        <v>1</v>
      </c>
      <c r="C28091">
        <v>102</v>
      </c>
      <c r="D28091">
        <v>1</v>
      </c>
    </row>
    <row r="28094" spans="2:4">
      <c r="B28094">
        <v>1</v>
      </c>
      <c r="C28094">
        <v>102</v>
      </c>
      <c r="D28094">
        <v>1</v>
      </c>
    </row>
    <row r="28100" spans="2:4">
      <c r="B28100">
        <v>1</v>
      </c>
      <c r="C28100">
        <v>102</v>
      </c>
      <c r="D28100">
        <v>1</v>
      </c>
    </row>
    <row r="28105" spans="2:4">
      <c r="B28105">
        <v>1</v>
      </c>
      <c r="C28105">
        <v>102</v>
      </c>
      <c r="D28105">
        <v>1</v>
      </c>
    </row>
    <row r="28108" spans="2:4">
      <c r="B28108">
        <v>1</v>
      </c>
      <c r="C28108">
        <v>102</v>
      </c>
      <c r="D28108">
        <v>1</v>
      </c>
    </row>
    <row r="28111" spans="2:4">
      <c r="B28111">
        <v>1</v>
      </c>
      <c r="C28111">
        <v>102</v>
      </c>
      <c r="D28111">
        <v>1</v>
      </c>
    </row>
    <row r="28113" spans="2:4">
      <c r="B28113">
        <v>1</v>
      </c>
      <c r="C28113">
        <v>102</v>
      </c>
      <c r="D28113">
        <v>1</v>
      </c>
    </row>
    <row r="28114" spans="2:4">
      <c r="B28114">
        <v>1</v>
      </c>
      <c r="C28114">
        <v>102</v>
      </c>
      <c r="D28114">
        <v>1</v>
      </c>
    </row>
    <row r="28115" spans="2:4">
      <c r="B28115">
        <v>1</v>
      </c>
      <c r="C28115">
        <v>102</v>
      </c>
      <c r="D28115">
        <v>1</v>
      </c>
    </row>
    <row r="28116" spans="2:4">
      <c r="B28116">
        <v>1</v>
      </c>
      <c r="C28116">
        <v>102</v>
      </c>
      <c r="D28116">
        <v>1</v>
      </c>
    </row>
    <row r="28123" spans="2:4">
      <c r="B28123">
        <v>1</v>
      </c>
      <c r="C28123">
        <v>102</v>
      </c>
      <c r="D28123">
        <v>1</v>
      </c>
    </row>
    <row r="28124" spans="2:4">
      <c r="B28124">
        <v>1</v>
      </c>
      <c r="C28124">
        <v>102</v>
      </c>
      <c r="D28124">
        <v>1</v>
      </c>
    </row>
    <row r="28125" spans="2:4">
      <c r="B28125">
        <v>1</v>
      </c>
      <c r="C28125">
        <v>102</v>
      </c>
      <c r="D28125">
        <v>1</v>
      </c>
    </row>
    <row r="28126" spans="2:4">
      <c r="B28126">
        <v>1</v>
      </c>
      <c r="C28126">
        <v>102</v>
      </c>
      <c r="D28126">
        <v>1</v>
      </c>
    </row>
    <row r="28130" spans="2:4">
      <c r="B28130">
        <v>1</v>
      </c>
      <c r="C28130">
        <v>102</v>
      </c>
      <c r="D28130">
        <v>1</v>
      </c>
    </row>
    <row r="28132" spans="2:4">
      <c r="B28132">
        <v>1</v>
      </c>
      <c r="C28132">
        <v>102</v>
      </c>
      <c r="D28132">
        <v>1</v>
      </c>
    </row>
    <row r="28135" spans="2:4">
      <c r="B28135">
        <v>1</v>
      </c>
      <c r="C28135">
        <v>102</v>
      </c>
      <c r="D28135">
        <v>1</v>
      </c>
    </row>
    <row r="28136" spans="2:4">
      <c r="B28136">
        <v>1</v>
      </c>
      <c r="C28136">
        <v>102</v>
      </c>
      <c r="D28136">
        <v>1</v>
      </c>
    </row>
    <row r="28139" spans="2:4">
      <c r="B28139">
        <v>1</v>
      </c>
      <c r="C28139">
        <v>102</v>
      </c>
      <c r="D28139">
        <v>1</v>
      </c>
    </row>
    <row r="28142" spans="2:4">
      <c r="B28142">
        <v>1</v>
      </c>
      <c r="C28142">
        <v>102</v>
      </c>
      <c r="D28142">
        <v>1</v>
      </c>
    </row>
    <row r="28145" spans="2:4">
      <c r="B28145">
        <v>1</v>
      </c>
      <c r="C28145">
        <v>102</v>
      </c>
      <c r="D28145">
        <v>1</v>
      </c>
    </row>
    <row r="28147" spans="2:4">
      <c r="B28147">
        <v>1</v>
      </c>
      <c r="C28147">
        <v>102</v>
      </c>
      <c r="D28147">
        <v>1</v>
      </c>
    </row>
    <row r="28152" spans="2:4">
      <c r="B28152">
        <v>1</v>
      </c>
      <c r="C28152">
        <v>102</v>
      </c>
      <c r="D28152">
        <v>1</v>
      </c>
    </row>
    <row r="28153" spans="2:4">
      <c r="B28153">
        <v>1</v>
      </c>
      <c r="C28153">
        <v>102</v>
      </c>
      <c r="D28153">
        <v>1</v>
      </c>
    </row>
    <row r="28155" spans="2:4">
      <c r="B28155">
        <v>1</v>
      </c>
      <c r="C28155">
        <v>102</v>
      </c>
      <c r="D28155">
        <v>1</v>
      </c>
    </row>
    <row r="28157" spans="2:4">
      <c r="B28157">
        <v>1</v>
      </c>
      <c r="C28157">
        <v>102</v>
      </c>
      <c r="D28157">
        <v>1</v>
      </c>
    </row>
    <row r="28163" spans="2:4">
      <c r="B28163">
        <v>1</v>
      </c>
      <c r="C28163">
        <v>102</v>
      </c>
      <c r="D28163">
        <v>1</v>
      </c>
    </row>
    <row r="28167" spans="2:4">
      <c r="B28167">
        <v>1</v>
      </c>
      <c r="C28167">
        <v>102</v>
      </c>
      <c r="D28167">
        <v>1</v>
      </c>
    </row>
    <row r="28171" spans="2:4">
      <c r="B28171">
        <v>1</v>
      </c>
      <c r="C28171">
        <v>102</v>
      </c>
      <c r="D28171">
        <v>1</v>
      </c>
    </row>
    <row r="28176" spans="2:4">
      <c r="B28176">
        <v>1</v>
      </c>
      <c r="C28176">
        <v>102</v>
      </c>
      <c r="D28176">
        <v>1</v>
      </c>
    </row>
    <row r="28182" spans="2:4">
      <c r="B28182">
        <v>1</v>
      </c>
      <c r="C28182">
        <v>102</v>
      </c>
      <c r="D28182">
        <v>1</v>
      </c>
    </row>
    <row r="28183" spans="2:4">
      <c r="B28183">
        <v>1</v>
      </c>
      <c r="C28183">
        <v>102</v>
      </c>
      <c r="D28183">
        <v>1</v>
      </c>
    </row>
    <row r="28185" spans="2:4">
      <c r="B28185">
        <v>1</v>
      </c>
      <c r="C28185">
        <v>102</v>
      </c>
      <c r="D28185">
        <v>1</v>
      </c>
    </row>
    <row r="28186" spans="2:4">
      <c r="B28186">
        <v>1</v>
      </c>
      <c r="C28186">
        <v>102</v>
      </c>
      <c r="D28186">
        <v>1</v>
      </c>
    </row>
    <row r="28187" spans="2:4">
      <c r="B28187">
        <v>1</v>
      </c>
      <c r="C28187">
        <v>102</v>
      </c>
      <c r="D28187">
        <v>1</v>
      </c>
    </row>
    <row r="28190" spans="2:4">
      <c r="B28190">
        <v>1</v>
      </c>
      <c r="C28190">
        <v>102</v>
      </c>
      <c r="D28190">
        <v>1</v>
      </c>
    </row>
    <row r="28192" spans="2:4">
      <c r="B28192">
        <v>1</v>
      </c>
      <c r="C28192">
        <v>102</v>
      </c>
      <c r="D28192">
        <v>1</v>
      </c>
    </row>
    <row r="28195" spans="2:4">
      <c r="B28195">
        <v>1</v>
      </c>
      <c r="C28195">
        <v>102</v>
      </c>
      <c r="D28195">
        <v>1</v>
      </c>
    </row>
    <row r="28196" spans="2:4">
      <c r="B28196">
        <v>1</v>
      </c>
      <c r="C28196">
        <v>102</v>
      </c>
      <c r="D28196">
        <v>1</v>
      </c>
    </row>
    <row r="28198" spans="2:4">
      <c r="B28198">
        <v>1</v>
      </c>
      <c r="C28198">
        <v>102</v>
      </c>
      <c r="D28198">
        <v>1</v>
      </c>
    </row>
    <row r="28202" spans="2:4">
      <c r="B28202">
        <v>1</v>
      </c>
      <c r="C28202">
        <v>102</v>
      </c>
      <c r="D28202">
        <v>1</v>
      </c>
    </row>
    <row r="28213" spans="2:4">
      <c r="B28213">
        <v>1</v>
      </c>
      <c r="C28213">
        <v>102</v>
      </c>
      <c r="D28213">
        <v>1</v>
      </c>
    </row>
    <row r="28215" spans="2:4">
      <c r="B28215">
        <v>1</v>
      </c>
      <c r="C28215">
        <v>102</v>
      </c>
      <c r="D28215">
        <v>1</v>
      </c>
    </row>
    <row r="28217" spans="2:4">
      <c r="B28217">
        <v>1</v>
      </c>
      <c r="C28217">
        <v>102</v>
      </c>
      <c r="D28217">
        <v>1</v>
      </c>
    </row>
    <row r="28226" spans="2:4">
      <c r="B28226">
        <v>1</v>
      </c>
      <c r="C28226">
        <v>102</v>
      </c>
      <c r="D28226">
        <v>1</v>
      </c>
    </row>
    <row r="28232" spans="2:4">
      <c r="B28232">
        <v>1</v>
      </c>
      <c r="C28232">
        <v>102</v>
      </c>
      <c r="D28232">
        <v>1</v>
      </c>
    </row>
    <row r="28237" spans="2:4">
      <c r="B28237">
        <v>1</v>
      </c>
      <c r="C28237">
        <v>102</v>
      </c>
      <c r="D28237">
        <v>1</v>
      </c>
    </row>
    <row r="28238" spans="2:4">
      <c r="B28238">
        <v>1</v>
      </c>
      <c r="C28238">
        <v>102</v>
      </c>
      <c r="D28238">
        <v>1</v>
      </c>
    </row>
    <row r="28245" spans="2:4">
      <c r="B28245">
        <v>1</v>
      </c>
      <c r="C28245">
        <v>102</v>
      </c>
      <c r="D28245">
        <v>1</v>
      </c>
    </row>
    <row r="28250" spans="2:4">
      <c r="B28250">
        <v>1</v>
      </c>
      <c r="C28250">
        <v>102</v>
      </c>
      <c r="D28250">
        <v>1</v>
      </c>
    </row>
    <row r="28257" spans="2:4">
      <c r="B28257">
        <v>1</v>
      </c>
      <c r="C28257">
        <v>102</v>
      </c>
      <c r="D28257">
        <v>1</v>
      </c>
    </row>
    <row r="28268" spans="2:4">
      <c r="B28268">
        <v>1</v>
      </c>
      <c r="C28268">
        <v>102</v>
      </c>
      <c r="D28268">
        <v>1</v>
      </c>
    </row>
    <row r="28269" spans="2:4">
      <c r="B28269">
        <v>1</v>
      </c>
      <c r="C28269">
        <v>102</v>
      </c>
      <c r="D28269">
        <v>1</v>
      </c>
    </row>
    <row r="28272" spans="2:4">
      <c r="B28272">
        <v>1</v>
      </c>
      <c r="C28272">
        <v>102</v>
      </c>
      <c r="D28272">
        <v>1</v>
      </c>
    </row>
    <row r="28274" spans="2:4">
      <c r="B28274">
        <v>1</v>
      </c>
      <c r="C28274">
        <v>102</v>
      </c>
      <c r="D28274">
        <v>1</v>
      </c>
    </row>
    <row r="28276" spans="2:4">
      <c r="B28276">
        <v>1</v>
      </c>
      <c r="C28276">
        <v>102</v>
      </c>
      <c r="D28276">
        <v>1</v>
      </c>
    </row>
    <row r="28284" spans="2:4">
      <c r="B28284">
        <v>1</v>
      </c>
      <c r="C28284">
        <v>102</v>
      </c>
      <c r="D28284">
        <v>1</v>
      </c>
    </row>
    <row r="28286" spans="2:4">
      <c r="B28286">
        <v>1</v>
      </c>
      <c r="C28286">
        <v>102</v>
      </c>
      <c r="D28286">
        <v>1</v>
      </c>
    </row>
    <row r="28287" spans="2:4">
      <c r="B28287">
        <v>1</v>
      </c>
      <c r="C28287">
        <v>102</v>
      </c>
      <c r="D28287">
        <v>1</v>
      </c>
    </row>
    <row r="28288" spans="2:4">
      <c r="B28288">
        <v>1</v>
      </c>
      <c r="C28288">
        <v>102</v>
      </c>
      <c r="D28288">
        <v>1</v>
      </c>
    </row>
    <row r="28289" spans="2:4">
      <c r="B28289">
        <v>1</v>
      </c>
      <c r="C28289">
        <v>102</v>
      </c>
      <c r="D28289">
        <v>1</v>
      </c>
    </row>
    <row r="28292" spans="2:4">
      <c r="B28292">
        <v>1</v>
      </c>
      <c r="C28292">
        <v>102</v>
      </c>
      <c r="D28292">
        <v>1</v>
      </c>
    </row>
    <row r="28293" spans="2:4">
      <c r="B28293">
        <v>1</v>
      </c>
      <c r="C28293">
        <v>102</v>
      </c>
      <c r="D28293">
        <v>1</v>
      </c>
    </row>
    <row r="28294" spans="2:4">
      <c r="B28294">
        <v>1</v>
      </c>
      <c r="C28294">
        <v>102</v>
      </c>
      <c r="D28294">
        <v>1</v>
      </c>
    </row>
    <row r="28296" spans="2:4">
      <c r="B28296">
        <v>1</v>
      </c>
      <c r="C28296">
        <v>102</v>
      </c>
      <c r="D28296">
        <v>1</v>
      </c>
    </row>
    <row r="28298" spans="2:4">
      <c r="B28298">
        <v>1</v>
      </c>
      <c r="C28298">
        <v>102</v>
      </c>
      <c r="D28298">
        <v>1</v>
      </c>
    </row>
    <row r="28301" spans="2:4">
      <c r="B28301">
        <v>1</v>
      </c>
      <c r="C28301">
        <v>102</v>
      </c>
      <c r="D28301">
        <v>1</v>
      </c>
    </row>
    <row r="28303" spans="2:4">
      <c r="B28303">
        <v>1</v>
      </c>
      <c r="C28303">
        <v>102</v>
      </c>
      <c r="D28303">
        <v>1</v>
      </c>
    </row>
    <row r="28306" spans="2:4">
      <c r="B28306">
        <v>1</v>
      </c>
      <c r="C28306">
        <v>102</v>
      </c>
      <c r="D28306">
        <v>1</v>
      </c>
    </row>
    <row r="28307" spans="2:4">
      <c r="B28307">
        <v>1</v>
      </c>
      <c r="C28307">
        <v>102</v>
      </c>
      <c r="D28307">
        <v>1</v>
      </c>
    </row>
    <row r="28308" spans="2:4">
      <c r="B28308">
        <v>1</v>
      </c>
      <c r="C28308">
        <v>102</v>
      </c>
      <c r="D28308">
        <v>1</v>
      </c>
    </row>
    <row r="28316" spans="2:4">
      <c r="B28316">
        <v>1</v>
      </c>
      <c r="C28316">
        <v>102</v>
      </c>
      <c r="D28316">
        <v>1</v>
      </c>
    </row>
    <row r="28317" spans="2:4">
      <c r="B28317">
        <v>1</v>
      </c>
      <c r="C28317">
        <v>102</v>
      </c>
      <c r="D28317">
        <v>1</v>
      </c>
    </row>
    <row r="28322" spans="2:4">
      <c r="B28322">
        <v>1</v>
      </c>
      <c r="C28322">
        <v>102</v>
      </c>
      <c r="D28322">
        <v>1</v>
      </c>
    </row>
    <row r="28323" spans="2:4">
      <c r="B28323">
        <v>1</v>
      </c>
      <c r="C28323">
        <v>102</v>
      </c>
      <c r="D28323">
        <v>1</v>
      </c>
    </row>
    <row r="28326" spans="2:4">
      <c r="B28326">
        <v>1</v>
      </c>
      <c r="C28326">
        <v>102</v>
      </c>
      <c r="D28326">
        <v>1</v>
      </c>
    </row>
    <row r="28327" spans="2:4">
      <c r="B28327">
        <v>1</v>
      </c>
      <c r="C28327">
        <v>102</v>
      </c>
      <c r="D28327">
        <v>1</v>
      </c>
    </row>
    <row r="28328" spans="2:4">
      <c r="B28328">
        <v>1</v>
      </c>
      <c r="C28328">
        <v>102</v>
      </c>
      <c r="D28328">
        <v>1</v>
      </c>
    </row>
    <row r="28330" spans="2:4">
      <c r="B28330">
        <v>1</v>
      </c>
      <c r="C28330">
        <v>102</v>
      </c>
      <c r="D28330">
        <v>1</v>
      </c>
    </row>
    <row r="28331" spans="2:4">
      <c r="B28331">
        <v>1</v>
      </c>
      <c r="C28331">
        <v>102</v>
      </c>
      <c r="D28331">
        <v>1</v>
      </c>
    </row>
    <row r="28334" spans="2:4">
      <c r="B28334">
        <v>1</v>
      </c>
      <c r="C28334">
        <v>102</v>
      </c>
      <c r="D28334">
        <v>1</v>
      </c>
    </row>
    <row r="28337" spans="2:4">
      <c r="B28337">
        <v>1</v>
      </c>
      <c r="C28337">
        <v>102</v>
      </c>
      <c r="D28337">
        <v>1</v>
      </c>
    </row>
    <row r="28339" spans="2:4">
      <c r="B28339">
        <v>1</v>
      </c>
      <c r="C28339">
        <v>102</v>
      </c>
      <c r="D28339">
        <v>1</v>
      </c>
    </row>
    <row r="28343" spans="2:4">
      <c r="B28343">
        <v>1</v>
      </c>
      <c r="C28343">
        <v>102</v>
      </c>
      <c r="D28343">
        <v>1</v>
      </c>
    </row>
    <row r="28344" spans="2:4">
      <c r="B28344">
        <v>1</v>
      </c>
      <c r="C28344">
        <v>102</v>
      </c>
      <c r="D28344">
        <v>1</v>
      </c>
    </row>
    <row r="28346" spans="2:4">
      <c r="B28346">
        <v>1</v>
      </c>
      <c r="C28346">
        <v>102</v>
      </c>
      <c r="D28346">
        <v>1</v>
      </c>
    </row>
    <row r="28347" spans="2:4">
      <c r="B28347">
        <v>1</v>
      </c>
      <c r="C28347">
        <v>102</v>
      </c>
      <c r="D28347">
        <v>1</v>
      </c>
    </row>
    <row r="28349" spans="2:4">
      <c r="B28349">
        <v>1</v>
      </c>
      <c r="C28349">
        <v>102</v>
      </c>
      <c r="D28349">
        <v>1</v>
      </c>
    </row>
    <row r="28355" spans="2:4">
      <c r="B28355">
        <v>1</v>
      </c>
      <c r="C28355">
        <v>102</v>
      </c>
      <c r="D28355">
        <v>1</v>
      </c>
    </row>
    <row r="28359" spans="2:4">
      <c r="B28359">
        <v>1</v>
      </c>
      <c r="C28359">
        <v>102</v>
      </c>
      <c r="D28359">
        <v>1</v>
      </c>
    </row>
    <row r="28363" spans="2:4">
      <c r="B28363">
        <v>1</v>
      </c>
      <c r="C28363">
        <v>102</v>
      </c>
      <c r="D28363">
        <v>1</v>
      </c>
    </row>
    <row r="28368" spans="2:4">
      <c r="B28368">
        <v>1</v>
      </c>
      <c r="C28368">
        <v>102</v>
      </c>
      <c r="D28368">
        <v>1</v>
      </c>
    </row>
    <row r="28371" spans="2:4">
      <c r="B28371">
        <v>1</v>
      </c>
      <c r="C28371">
        <v>102</v>
      </c>
      <c r="D28371">
        <v>1</v>
      </c>
    </row>
    <row r="28373" spans="2:4">
      <c r="B28373">
        <v>1</v>
      </c>
      <c r="C28373">
        <v>102</v>
      </c>
      <c r="D28373">
        <v>1</v>
      </c>
    </row>
    <row r="28374" spans="2:4">
      <c r="B28374">
        <v>1</v>
      </c>
      <c r="C28374">
        <v>102</v>
      </c>
      <c r="D28374">
        <v>1</v>
      </c>
    </row>
    <row r="28375" spans="2:4">
      <c r="B28375">
        <v>1</v>
      </c>
      <c r="C28375">
        <v>102</v>
      </c>
      <c r="D28375">
        <v>1</v>
      </c>
    </row>
    <row r="28377" spans="2:4">
      <c r="B28377">
        <v>1</v>
      </c>
      <c r="C28377">
        <v>102</v>
      </c>
      <c r="D28377">
        <v>1</v>
      </c>
    </row>
    <row r="28379" spans="2:4">
      <c r="B28379">
        <v>1</v>
      </c>
      <c r="C28379">
        <v>102</v>
      </c>
      <c r="D28379">
        <v>1</v>
      </c>
    </row>
    <row r="28382" spans="2:4">
      <c r="B28382">
        <v>1</v>
      </c>
      <c r="C28382">
        <v>102</v>
      </c>
      <c r="D28382">
        <v>1</v>
      </c>
    </row>
    <row r="28384" spans="2:4">
      <c r="B28384">
        <v>1</v>
      </c>
      <c r="C28384">
        <v>102</v>
      </c>
      <c r="D28384">
        <v>1</v>
      </c>
    </row>
    <row r="28387" spans="2:4">
      <c r="B28387">
        <v>1</v>
      </c>
      <c r="C28387">
        <v>102</v>
      </c>
      <c r="D28387">
        <v>1</v>
      </c>
    </row>
    <row r="28388" spans="2:4">
      <c r="B28388">
        <v>1</v>
      </c>
      <c r="C28388">
        <v>102</v>
      </c>
      <c r="D28388">
        <v>1</v>
      </c>
    </row>
    <row r="28390" spans="2:4">
      <c r="B28390">
        <v>1</v>
      </c>
      <c r="C28390">
        <v>102</v>
      </c>
      <c r="D28390">
        <v>1</v>
      </c>
    </row>
    <row r="28391" spans="2:4">
      <c r="B28391">
        <v>1</v>
      </c>
      <c r="C28391">
        <v>102</v>
      </c>
      <c r="D28391">
        <v>1</v>
      </c>
    </row>
    <row r="28394" spans="2:4">
      <c r="B28394">
        <v>1</v>
      </c>
      <c r="C28394">
        <v>102</v>
      </c>
      <c r="D28394">
        <v>1</v>
      </c>
    </row>
    <row r="28396" spans="2:4">
      <c r="B28396">
        <v>1</v>
      </c>
      <c r="C28396">
        <v>102</v>
      </c>
      <c r="D28396">
        <v>1</v>
      </c>
    </row>
    <row r="28402" spans="2:4">
      <c r="B28402">
        <v>1</v>
      </c>
      <c r="C28402">
        <v>102</v>
      </c>
      <c r="D28402">
        <v>1</v>
      </c>
    </row>
    <row r="28404" spans="2:4">
      <c r="B28404">
        <v>1</v>
      </c>
      <c r="C28404">
        <v>102</v>
      </c>
      <c r="D28404">
        <v>1</v>
      </c>
    </row>
    <row r="28405" spans="2:4">
      <c r="B28405">
        <v>1</v>
      </c>
      <c r="C28405">
        <v>102</v>
      </c>
      <c r="D28405">
        <v>1</v>
      </c>
    </row>
    <row r="28407" spans="2:4">
      <c r="B28407">
        <v>1</v>
      </c>
      <c r="C28407">
        <v>102</v>
      </c>
      <c r="D28407">
        <v>1</v>
      </c>
    </row>
    <row r="28409" spans="2:4">
      <c r="B28409">
        <v>1</v>
      </c>
      <c r="C28409">
        <v>102</v>
      </c>
      <c r="D28409">
        <v>1</v>
      </c>
    </row>
    <row r="28412" spans="2:4">
      <c r="B28412">
        <v>1</v>
      </c>
      <c r="C28412">
        <v>102</v>
      </c>
      <c r="D28412">
        <v>1</v>
      </c>
    </row>
    <row r="28418" spans="2:4">
      <c r="B28418">
        <v>1</v>
      </c>
      <c r="C28418">
        <v>102</v>
      </c>
      <c r="D28418">
        <v>1</v>
      </c>
    </row>
    <row r="28423" spans="2:4">
      <c r="B28423">
        <v>1</v>
      </c>
      <c r="C28423">
        <v>102</v>
      </c>
      <c r="D28423">
        <v>1</v>
      </c>
    </row>
    <row r="28424" spans="2:4">
      <c r="B28424">
        <v>1</v>
      </c>
      <c r="C28424">
        <v>102</v>
      </c>
      <c r="D28424">
        <v>1</v>
      </c>
    </row>
    <row r="28430" spans="2:4">
      <c r="B28430">
        <v>1</v>
      </c>
      <c r="C28430">
        <v>102</v>
      </c>
      <c r="D28430">
        <v>1</v>
      </c>
    </row>
    <row r="28437" spans="2:4">
      <c r="B28437">
        <v>1</v>
      </c>
      <c r="C28437">
        <v>102</v>
      </c>
      <c r="D28437">
        <v>1</v>
      </c>
    </row>
    <row r="28438" spans="2:4">
      <c r="B28438">
        <v>1</v>
      </c>
      <c r="C28438">
        <v>102</v>
      </c>
      <c r="D28438">
        <v>1</v>
      </c>
    </row>
    <row r="28440" spans="2:4">
      <c r="B28440">
        <v>1</v>
      </c>
      <c r="C28440">
        <v>102</v>
      </c>
      <c r="D28440">
        <v>1</v>
      </c>
    </row>
    <row r="28441" spans="2:4">
      <c r="B28441">
        <v>1</v>
      </c>
      <c r="C28441">
        <v>102</v>
      </c>
      <c r="D28441">
        <v>1</v>
      </c>
    </row>
    <row r="28442" spans="2:4">
      <c r="B28442">
        <v>1</v>
      </c>
      <c r="C28442">
        <v>102</v>
      </c>
      <c r="D28442">
        <v>1</v>
      </c>
    </row>
    <row r="28447" spans="2:4">
      <c r="B28447">
        <v>1</v>
      </c>
      <c r="C28447">
        <v>102</v>
      </c>
      <c r="D28447">
        <v>1</v>
      </c>
    </row>
    <row r="28448" spans="2:4">
      <c r="B28448">
        <v>1</v>
      </c>
      <c r="C28448">
        <v>102</v>
      </c>
      <c r="D28448">
        <v>1</v>
      </c>
    </row>
    <row r="28449" spans="2:4">
      <c r="B28449">
        <v>1</v>
      </c>
      <c r="C28449">
        <v>102</v>
      </c>
      <c r="D28449">
        <v>1</v>
      </c>
    </row>
    <row r="28453" spans="2:4">
      <c r="B28453">
        <v>1</v>
      </c>
      <c r="C28453">
        <v>102</v>
      </c>
      <c r="D28453">
        <v>1</v>
      </c>
    </row>
    <row r="28460" spans="2:4">
      <c r="B28460">
        <v>1</v>
      </c>
      <c r="C28460">
        <v>102</v>
      </c>
      <c r="D28460">
        <v>1</v>
      </c>
    </row>
    <row r="28461" spans="2:4">
      <c r="B28461">
        <v>1</v>
      </c>
      <c r="C28461">
        <v>102</v>
      </c>
      <c r="D28461">
        <v>1</v>
      </c>
    </row>
    <row r="28464" spans="2:4">
      <c r="B28464">
        <v>1</v>
      </c>
      <c r="C28464">
        <v>102</v>
      </c>
      <c r="D28464">
        <v>1</v>
      </c>
    </row>
    <row r="28466" spans="2:4">
      <c r="B28466">
        <v>1</v>
      </c>
      <c r="C28466">
        <v>102</v>
      </c>
      <c r="D28466">
        <v>1</v>
      </c>
    </row>
    <row r="28468" spans="2:4">
      <c r="B28468">
        <v>1</v>
      </c>
      <c r="C28468">
        <v>102</v>
      </c>
      <c r="D28468">
        <v>1</v>
      </c>
    </row>
    <row r="28470" spans="2:4">
      <c r="B28470">
        <v>1</v>
      </c>
      <c r="C28470">
        <v>102</v>
      </c>
      <c r="D28470">
        <v>1</v>
      </c>
    </row>
    <row r="28476" spans="2:4">
      <c r="B28476">
        <v>1</v>
      </c>
      <c r="C28476">
        <v>102</v>
      </c>
      <c r="D28476">
        <v>1</v>
      </c>
    </row>
    <row r="28479" spans="2:4">
      <c r="B28479">
        <v>1</v>
      </c>
      <c r="C28479">
        <v>102</v>
      </c>
      <c r="D28479">
        <v>1</v>
      </c>
    </row>
    <row r="28480" spans="2:4">
      <c r="B28480">
        <v>1</v>
      </c>
      <c r="C28480">
        <v>102</v>
      </c>
      <c r="D28480">
        <v>1</v>
      </c>
    </row>
    <row r="28481" spans="2:4">
      <c r="B28481">
        <v>1</v>
      </c>
      <c r="C28481">
        <v>102</v>
      </c>
      <c r="D28481">
        <v>1</v>
      </c>
    </row>
    <row r="28484" spans="2:4">
      <c r="B28484">
        <v>1</v>
      </c>
      <c r="C28484">
        <v>102</v>
      </c>
      <c r="D28484">
        <v>1</v>
      </c>
    </row>
    <row r="28485" spans="2:4">
      <c r="B28485">
        <v>1</v>
      </c>
      <c r="C28485">
        <v>102</v>
      </c>
      <c r="D28485">
        <v>1</v>
      </c>
    </row>
    <row r="28486" spans="2:4">
      <c r="B28486">
        <v>1</v>
      </c>
      <c r="C28486">
        <v>102</v>
      </c>
      <c r="D28486">
        <v>1</v>
      </c>
    </row>
    <row r="28489" spans="2:4">
      <c r="B28489">
        <v>1</v>
      </c>
      <c r="C28489">
        <v>102</v>
      </c>
      <c r="D28489">
        <v>1</v>
      </c>
    </row>
    <row r="28490" spans="2:4">
      <c r="B28490">
        <v>1</v>
      </c>
      <c r="C28490">
        <v>102</v>
      </c>
      <c r="D28490">
        <v>1</v>
      </c>
    </row>
    <row r="28493" spans="2:4">
      <c r="B28493">
        <v>1</v>
      </c>
      <c r="C28493">
        <v>102</v>
      </c>
      <c r="D28493">
        <v>1</v>
      </c>
    </row>
    <row r="28495" spans="2:4">
      <c r="B28495">
        <v>1</v>
      </c>
      <c r="C28495">
        <v>102</v>
      </c>
      <c r="D28495">
        <v>1</v>
      </c>
    </row>
    <row r="28504" spans="2:4">
      <c r="B28504">
        <v>1</v>
      </c>
      <c r="C28504">
        <v>102</v>
      </c>
      <c r="D28504">
        <v>1</v>
      </c>
    </row>
    <row r="28511" spans="2:4">
      <c r="B28511">
        <v>1</v>
      </c>
      <c r="C28511">
        <v>102</v>
      </c>
      <c r="D28511">
        <v>1</v>
      </c>
    </row>
    <row r="28513" spans="2:4">
      <c r="B28513">
        <v>1</v>
      </c>
      <c r="C28513">
        <v>102</v>
      </c>
      <c r="D28513">
        <v>1</v>
      </c>
    </row>
    <row r="28514" spans="2:4">
      <c r="B28514">
        <v>1</v>
      </c>
      <c r="C28514">
        <v>102</v>
      </c>
      <c r="D28514">
        <v>1</v>
      </c>
    </row>
    <row r="28517" spans="2:4">
      <c r="B28517">
        <v>1</v>
      </c>
      <c r="C28517">
        <v>102</v>
      </c>
      <c r="D28517">
        <v>1</v>
      </c>
    </row>
    <row r="28521" spans="2:4">
      <c r="B28521">
        <v>1</v>
      </c>
      <c r="C28521">
        <v>102</v>
      </c>
      <c r="D28521">
        <v>1</v>
      </c>
    </row>
    <row r="28526" spans="2:4">
      <c r="B28526">
        <v>1</v>
      </c>
      <c r="C28526">
        <v>102</v>
      </c>
      <c r="D28526">
        <v>1</v>
      </c>
    </row>
    <row r="28527" spans="2:4">
      <c r="B28527">
        <v>1</v>
      </c>
      <c r="C28527">
        <v>102</v>
      </c>
      <c r="D28527">
        <v>1</v>
      </c>
    </row>
    <row r="28529" spans="2:4">
      <c r="B28529">
        <v>1</v>
      </c>
      <c r="C28529">
        <v>102</v>
      </c>
      <c r="D28529">
        <v>1</v>
      </c>
    </row>
    <row r="28531" spans="2:4">
      <c r="B28531">
        <v>1</v>
      </c>
      <c r="C28531">
        <v>102</v>
      </c>
      <c r="D28531">
        <v>1</v>
      </c>
    </row>
    <row r="28534" spans="2:4">
      <c r="B28534">
        <v>1</v>
      </c>
      <c r="C28534">
        <v>102</v>
      </c>
      <c r="D28534">
        <v>1</v>
      </c>
    </row>
    <row r="28538" spans="2:4">
      <c r="B28538">
        <v>1</v>
      </c>
      <c r="C28538">
        <v>102</v>
      </c>
      <c r="D28538">
        <v>1</v>
      </c>
    </row>
    <row r="28541" spans="2:4">
      <c r="B28541">
        <v>1</v>
      </c>
      <c r="C28541">
        <v>102</v>
      </c>
      <c r="D28541">
        <v>1</v>
      </c>
    </row>
    <row r="28542" spans="2:4">
      <c r="B28542">
        <v>1</v>
      </c>
      <c r="C28542">
        <v>102</v>
      </c>
      <c r="D28542">
        <v>1</v>
      </c>
    </row>
    <row r="28544" spans="2:4">
      <c r="B28544">
        <v>1</v>
      </c>
      <c r="C28544">
        <v>102</v>
      </c>
      <c r="D28544">
        <v>1</v>
      </c>
    </row>
    <row r="28548" spans="2:4">
      <c r="B28548">
        <v>1</v>
      </c>
      <c r="C28548">
        <v>102</v>
      </c>
      <c r="D28548">
        <v>1</v>
      </c>
    </row>
    <row r="28549" spans="2:4">
      <c r="B28549">
        <v>1</v>
      </c>
      <c r="C28549">
        <v>102</v>
      </c>
      <c r="D28549">
        <v>1</v>
      </c>
    </row>
    <row r="28553" spans="2:4">
      <c r="B28553">
        <v>1</v>
      </c>
      <c r="C28553">
        <v>102</v>
      </c>
      <c r="D28553">
        <v>1</v>
      </c>
    </row>
    <row r="28555" spans="2:4">
      <c r="B28555">
        <v>1</v>
      </c>
      <c r="C28555">
        <v>102</v>
      </c>
      <c r="D28555">
        <v>1</v>
      </c>
    </row>
    <row r="28556" spans="2:4">
      <c r="B28556">
        <v>1</v>
      </c>
      <c r="C28556">
        <v>102</v>
      </c>
      <c r="D28556">
        <v>1</v>
      </c>
    </row>
    <row r="28560" spans="2:4">
      <c r="B28560">
        <v>1</v>
      </c>
      <c r="C28560">
        <v>102</v>
      </c>
      <c r="D28560">
        <v>1</v>
      </c>
    </row>
    <row r="28561" spans="2:4">
      <c r="B28561">
        <v>1</v>
      </c>
      <c r="C28561">
        <v>102</v>
      </c>
      <c r="D28561">
        <v>1</v>
      </c>
    </row>
    <row r="28562" spans="2:4">
      <c r="B28562">
        <v>1</v>
      </c>
      <c r="C28562">
        <v>102</v>
      </c>
      <c r="D28562">
        <v>1</v>
      </c>
    </row>
    <row r="28563" spans="2:4">
      <c r="B28563">
        <v>1</v>
      </c>
      <c r="C28563">
        <v>102</v>
      </c>
      <c r="D28563">
        <v>1</v>
      </c>
    </row>
    <row r="28564" spans="2:4">
      <c r="B28564">
        <v>1</v>
      </c>
      <c r="C28564">
        <v>102</v>
      </c>
      <c r="D28564">
        <v>1</v>
      </c>
    </row>
    <row r="28572" spans="2:4">
      <c r="B28572">
        <v>1</v>
      </c>
      <c r="C28572">
        <v>102</v>
      </c>
      <c r="D28572">
        <v>1</v>
      </c>
    </row>
    <row r="28573" spans="2:4">
      <c r="B28573">
        <v>1</v>
      </c>
      <c r="C28573">
        <v>102</v>
      </c>
      <c r="D28573">
        <v>1</v>
      </c>
    </row>
    <row r="28578" spans="2:4">
      <c r="B28578">
        <v>1</v>
      </c>
      <c r="C28578">
        <v>102</v>
      </c>
      <c r="D28578">
        <v>1</v>
      </c>
    </row>
    <row r="28579" spans="2:4">
      <c r="B28579">
        <v>1</v>
      </c>
      <c r="C28579">
        <v>102</v>
      </c>
      <c r="D28579">
        <v>1</v>
      </c>
    </row>
    <row r="28582" spans="2:4">
      <c r="B28582">
        <v>1</v>
      </c>
      <c r="C28582">
        <v>102</v>
      </c>
      <c r="D28582">
        <v>1</v>
      </c>
    </row>
    <row r="28583" spans="2:4">
      <c r="B28583">
        <v>1</v>
      </c>
      <c r="C28583">
        <v>102</v>
      </c>
      <c r="D28583">
        <v>1</v>
      </c>
    </row>
    <row r="28584" spans="2:4">
      <c r="B28584">
        <v>1</v>
      </c>
      <c r="C28584">
        <v>102</v>
      </c>
      <c r="D28584">
        <v>1</v>
      </c>
    </row>
    <row r="28586" spans="2:4">
      <c r="B28586">
        <v>1</v>
      </c>
      <c r="C28586">
        <v>102</v>
      </c>
      <c r="D28586">
        <v>1</v>
      </c>
    </row>
    <row r="28587" spans="2:4">
      <c r="B28587">
        <v>1</v>
      </c>
      <c r="C28587">
        <v>102</v>
      </c>
      <c r="D28587">
        <v>1</v>
      </c>
    </row>
    <row r="28590" spans="2:4">
      <c r="B28590">
        <v>1</v>
      </c>
      <c r="C28590">
        <v>102</v>
      </c>
      <c r="D28590">
        <v>1</v>
      </c>
    </row>
    <row r="28593" spans="2:4">
      <c r="B28593">
        <v>1</v>
      </c>
      <c r="C28593">
        <v>102</v>
      </c>
      <c r="D28593">
        <v>1</v>
      </c>
    </row>
    <row r="28595" spans="2:4">
      <c r="B28595">
        <v>1</v>
      </c>
      <c r="C28595">
        <v>102</v>
      </c>
      <c r="D28595">
        <v>1</v>
      </c>
    </row>
    <row r="28599" spans="2:4">
      <c r="B28599">
        <v>1</v>
      </c>
      <c r="C28599">
        <v>102</v>
      </c>
      <c r="D28599">
        <v>1</v>
      </c>
    </row>
    <row r="28600" spans="2:4">
      <c r="B28600">
        <v>1</v>
      </c>
      <c r="C28600">
        <v>102</v>
      </c>
      <c r="D28600">
        <v>1</v>
      </c>
    </row>
    <row r="28602" spans="2:4">
      <c r="B28602">
        <v>1</v>
      </c>
      <c r="C28602">
        <v>102</v>
      </c>
      <c r="D28602">
        <v>1</v>
      </c>
    </row>
    <row r="28603" spans="2:4">
      <c r="B28603">
        <v>1</v>
      </c>
      <c r="C28603">
        <v>102</v>
      </c>
      <c r="D28603">
        <v>1</v>
      </c>
    </row>
    <row r="28605" spans="2:4">
      <c r="B28605">
        <v>1</v>
      </c>
      <c r="C28605">
        <v>102</v>
      </c>
      <c r="D28605">
        <v>1</v>
      </c>
    </row>
    <row r="28611" spans="2:4">
      <c r="B28611">
        <v>1</v>
      </c>
      <c r="C28611">
        <v>102</v>
      </c>
      <c r="D28611">
        <v>1</v>
      </c>
    </row>
    <row r="28615" spans="2:4">
      <c r="B28615">
        <v>1</v>
      </c>
      <c r="C28615">
        <v>102</v>
      </c>
      <c r="D28615">
        <v>1</v>
      </c>
    </row>
    <row r="28619" spans="2:4">
      <c r="B28619">
        <v>1</v>
      </c>
      <c r="C28619">
        <v>102</v>
      </c>
      <c r="D28619">
        <v>1</v>
      </c>
    </row>
    <row r="28624" spans="2:4">
      <c r="B28624">
        <v>1</v>
      </c>
      <c r="C28624">
        <v>102</v>
      </c>
      <c r="D28624">
        <v>1</v>
      </c>
    </row>
    <row r="28627" spans="2:4">
      <c r="B28627">
        <v>1</v>
      </c>
      <c r="C28627">
        <v>102</v>
      </c>
      <c r="D28627">
        <v>1</v>
      </c>
    </row>
    <row r="28629" spans="2:4">
      <c r="B28629">
        <v>1</v>
      </c>
      <c r="C28629">
        <v>102</v>
      </c>
      <c r="D28629">
        <v>1</v>
      </c>
    </row>
    <row r="28630" spans="2:4">
      <c r="B28630">
        <v>1</v>
      </c>
      <c r="C28630">
        <v>102</v>
      </c>
      <c r="D28630">
        <v>1</v>
      </c>
    </row>
    <row r="28631" spans="2:4">
      <c r="B28631">
        <v>1</v>
      </c>
      <c r="C28631">
        <v>102</v>
      </c>
      <c r="D28631">
        <v>1</v>
      </c>
    </row>
    <row r="28633" spans="2:4">
      <c r="B28633">
        <v>1</v>
      </c>
      <c r="C28633">
        <v>102</v>
      </c>
      <c r="D28633">
        <v>1</v>
      </c>
    </row>
    <row r="28635" spans="2:4">
      <c r="B28635">
        <v>1</v>
      </c>
      <c r="C28635">
        <v>102</v>
      </c>
      <c r="D28635">
        <v>1</v>
      </c>
    </row>
    <row r="28638" spans="2:4">
      <c r="B28638">
        <v>1</v>
      </c>
      <c r="C28638">
        <v>102</v>
      </c>
      <c r="D28638">
        <v>1</v>
      </c>
    </row>
    <row r="28640" spans="2:4">
      <c r="B28640">
        <v>1</v>
      </c>
      <c r="C28640">
        <v>102</v>
      </c>
      <c r="D28640">
        <v>1</v>
      </c>
    </row>
    <row r="28643" spans="2:4">
      <c r="B28643">
        <v>1</v>
      </c>
      <c r="C28643">
        <v>102</v>
      </c>
      <c r="D28643">
        <v>1</v>
      </c>
    </row>
    <row r="28644" spans="2:4">
      <c r="B28644">
        <v>1</v>
      </c>
      <c r="C28644">
        <v>102</v>
      </c>
      <c r="D28644">
        <v>1</v>
      </c>
    </row>
    <row r="28646" spans="2:4">
      <c r="B28646">
        <v>1</v>
      </c>
      <c r="C28646">
        <v>102</v>
      </c>
      <c r="D28646">
        <v>1</v>
      </c>
    </row>
    <row r="28647" spans="2:4">
      <c r="B28647">
        <v>1</v>
      </c>
      <c r="C28647">
        <v>102</v>
      </c>
      <c r="D28647">
        <v>1</v>
      </c>
    </row>
    <row r="28650" spans="2:4">
      <c r="B28650">
        <v>1</v>
      </c>
      <c r="C28650">
        <v>102</v>
      </c>
      <c r="D28650">
        <v>1</v>
      </c>
    </row>
    <row r="28652" spans="2:4">
      <c r="B28652">
        <v>1</v>
      </c>
      <c r="C28652">
        <v>102</v>
      </c>
      <c r="D28652">
        <v>1</v>
      </c>
    </row>
    <row r="28658" spans="2:4">
      <c r="B28658">
        <v>1</v>
      </c>
      <c r="C28658">
        <v>102</v>
      </c>
      <c r="D28658">
        <v>1</v>
      </c>
    </row>
    <row r="28660" spans="2:4">
      <c r="B28660">
        <v>1</v>
      </c>
      <c r="C28660">
        <v>102</v>
      </c>
      <c r="D28660">
        <v>1</v>
      </c>
    </row>
    <row r="28661" spans="2:4">
      <c r="B28661">
        <v>1</v>
      </c>
      <c r="C28661">
        <v>102</v>
      </c>
      <c r="D28661">
        <v>1</v>
      </c>
    </row>
    <row r="28663" spans="2:4">
      <c r="B28663">
        <v>1</v>
      </c>
      <c r="C28663">
        <v>102</v>
      </c>
      <c r="D28663">
        <v>1</v>
      </c>
    </row>
    <row r="28665" spans="2:4">
      <c r="B28665">
        <v>1</v>
      </c>
      <c r="C28665">
        <v>102</v>
      </c>
      <c r="D28665">
        <v>1</v>
      </c>
    </row>
    <row r="28668" spans="2:4">
      <c r="B28668">
        <v>1</v>
      </c>
      <c r="C28668">
        <v>102</v>
      </c>
      <c r="D28668">
        <v>1</v>
      </c>
    </row>
    <row r="28674" spans="2:4">
      <c r="B28674">
        <v>1</v>
      </c>
      <c r="C28674">
        <v>102</v>
      </c>
      <c r="D28674">
        <v>1</v>
      </c>
    </row>
    <row r="28679" spans="2:4">
      <c r="B28679">
        <v>1</v>
      </c>
      <c r="C28679">
        <v>102</v>
      </c>
      <c r="D28679">
        <v>1</v>
      </c>
    </row>
    <row r="28680" spans="2:4">
      <c r="B28680">
        <v>1</v>
      </c>
      <c r="C28680">
        <v>102</v>
      </c>
      <c r="D28680">
        <v>1</v>
      </c>
    </row>
    <row r="28686" spans="2:4">
      <c r="B28686">
        <v>1</v>
      </c>
      <c r="C28686">
        <v>102</v>
      </c>
      <c r="D28686">
        <v>1</v>
      </c>
    </row>
    <row r="28693" spans="2:4">
      <c r="B28693">
        <v>1</v>
      </c>
      <c r="C28693">
        <v>102</v>
      </c>
      <c r="D28693">
        <v>1</v>
      </c>
    </row>
    <row r="28694" spans="2:4">
      <c r="B28694">
        <v>1</v>
      </c>
      <c r="C28694">
        <v>102</v>
      </c>
      <c r="D28694">
        <v>1</v>
      </c>
    </row>
    <row r="28696" spans="2:4">
      <c r="B28696">
        <v>1</v>
      </c>
      <c r="C28696">
        <v>102</v>
      </c>
      <c r="D28696">
        <v>1</v>
      </c>
    </row>
    <row r="28697" spans="2:4">
      <c r="B28697">
        <v>1</v>
      </c>
      <c r="C28697">
        <v>102</v>
      </c>
      <c r="D28697">
        <v>1</v>
      </c>
    </row>
    <row r="28698" spans="2:4">
      <c r="B28698">
        <v>1</v>
      </c>
      <c r="C28698">
        <v>102</v>
      </c>
      <c r="D28698">
        <v>1</v>
      </c>
    </row>
    <row r="28703" spans="2:4">
      <c r="B28703">
        <v>1</v>
      </c>
      <c r="C28703">
        <v>102</v>
      </c>
      <c r="D28703">
        <v>1</v>
      </c>
    </row>
    <row r="28704" spans="2:4">
      <c r="B28704">
        <v>1</v>
      </c>
      <c r="C28704">
        <v>102</v>
      </c>
      <c r="D28704">
        <v>1</v>
      </c>
    </row>
    <row r="28705" spans="2:4">
      <c r="B28705">
        <v>1</v>
      </c>
      <c r="C28705">
        <v>102</v>
      </c>
      <c r="D28705">
        <v>1</v>
      </c>
    </row>
    <row r="28709" spans="2:4">
      <c r="B28709">
        <v>1</v>
      </c>
      <c r="C28709">
        <v>102</v>
      </c>
      <c r="D28709">
        <v>1</v>
      </c>
    </row>
    <row r="28716" spans="2:4">
      <c r="B28716">
        <v>1</v>
      </c>
      <c r="C28716">
        <v>102</v>
      </c>
      <c r="D28716">
        <v>1</v>
      </c>
    </row>
    <row r="28717" spans="2:4">
      <c r="B28717">
        <v>1</v>
      </c>
      <c r="C28717">
        <v>102</v>
      </c>
      <c r="D28717">
        <v>1</v>
      </c>
    </row>
    <row r="28720" spans="2:4">
      <c r="B28720">
        <v>1</v>
      </c>
      <c r="C28720">
        <v>102</v>
      </c>
      <c r="D28720">
        <v>1</v>
      </c>
    </row>
    <row r="28722" spans="2:4">
      <c r="B28722">
        <v>1</v>
      </c>
      <c r="C28722">
        <v>102</v>
      </c>
      <c r="D28722">
        <v>1</v>
      </c>
    </row>
    <row r="28724" spans="2:4">
      <c r="B28724">
        <v>1</v>
      </c>
      <c r="C28724">
        <v>102</v>
      </c>
      <c r="D28724">
        <v>1</v>
      </c>
    </row>
    <row r="28726" spans="2:4">
      <c r="B28726">
        <v>1</v>
      </c>
      <c r="C28726">
        <v>102</v>
      </c>
      <c r="D28726">
        <v>1</v>
      </c>
    </row>
    <row r="28732" spans="2:4">
      <c r="B28732">
        <v>1</v>
      </c>
      <c r="C28732">
        <v>102</v>
      </c>
      <c r="D28732">
        <v>1</v>
      </c>
    </row>
    <row r="28735" spans="2:4">
      <c r="B28735">
        <v>1</v>
      </c>
      <c r="C28735">
        <v>102</v>
      </c>
      <c r="D28735">
        <v>1</v>
      </c>
    </row>
    <row r="28736" spans="2:4">
      <c r="B28736">
        <v>1</v>
      </c>
      <c r="C28736">
        <v>102</v>
      </c>
      <c r="D28736">
        <v>1</v>
      </c>
    </row>
    <row r="28737" spans="2:4">
      <c r="B28737">
        <v>1</v>
      </c>
      <c r="C28737">
        <v>102</v>
      </c>
      <c r="D28737">
        <v>1</v>
      </c>
    </row>
    <row r="28740" spans="2:4">
      <c r="B28740">
        <v>1</v>
      </c>
      <c r="C28740">
        <v>102</v>
      </c>
      <c r="D28740">
        <v>1</v>
      </c>
    </row>
    <row r="28741" spans="2:4">
      <c r="B28741">
        <v>1</v>
      </c>
      <c r="C28741">
        <v>102</v>
      </c>
      <c r="D28741">
        <v>1</v>
      </c>
    </row>
    <row r="28742" spans="2:4">
      <c r="B28742">
        <v>1</v>
      </c>
      <c r="C28742">
        <v>102</v>
      </c>
      <c r="D28742">
        <v>1</v>
      </c>
    </row>
    <row r="28745" spans="2:4">
      <c r="B28745">
        <v>1</v>
      </c>
      <c r="C28745">
        <v>102</v>
      </c>
      <c r="D28745">
        <v>1</v>
      </c>
    </row>
    <row r="28746" spans="2:4">
      <c r="B28746">
        <v>1</v>
      </c>
      <c r="C28746">
        <v>102</v>
      </c>
      <c r="D28746">
        <v>1</v>
      </c>
    </row>
    <row r="28749" spans="2:4">
      <c r="B28749">
        <v>1</v>
      </c>
      <c r="C28749">
        <v>102</v>
      </c>
      <c r="D28749">
        <v>1</v>
      </c>
    </row>
    <row r="28751" spans="2:4">
      <c r="B28751">
        <v>1</v>
      </c>
      <c r="C28751">
        <v>102</v>
      </c>
      <c r="D28751">
        <v>1</v>
      </c>
    </row>
    <row r="28760" spans="2:4">
      <c r="B28760">
        <v>1</v>
      </c>
      <c r="C28760">
        <v>102</v>
      </c>
      <c r="D28760">
        <v>1</v>
      </c>
    </row>
    <row r="28767" spans="2:4">
      <c r="B28767">
        <v>1</v>
      </c>
      <c r="C28767">
        <v>102</v>
      </c>
      <c r="D28767">
        <v>1</v>
      </c>
    </row>
    <row r="28769" spans="2:4">
      <c r="B28769">
        <v>1</v>
      </c>
      <c r="C28769">
        <v>102</v>
      </c>
      <c r="D28769">
        <v>1</v>
      </c>
    </row>
    <row r="28770" spans="2:4">
      <c r="B28770">
        <v>1</v>
      </c>
      <c r="C28770">
        <v>102</v>
      </c>
      <c r="D28770">
        <v>1</v>
      </c>
    </row>
    <row r="28773" spans="2:4">
      <c r="B28773">
        <v>1</v>
      </c>
      <c r="C28773">
        <v>102</v>
      </c>
      <c r="D28773">
        <v>1</v>
      </c>
    </row>
    <row r="28777" spans="2:4">
      <c r="B28777">
        <v>1</v>
      </c>
      <c r="C28777">
        <v>102</v>
      </c>
      <c r="D28777">
        <v>1</v>
      </c>
    </row>
    <row r="28782" spans="2:4">
      <c r="B28782">
        <v>1</v>
      </c>
      <c r="C28782">
        <v>102</v>
      </c>
      <c r="D28782">
        <v>1</v>
      </c>
    </row>
    <row r="28783" spans="2:4">
      <c r="B28783">
        <v>1</v>
      </c>
      <c r="C28783">
        <v>102</v>
      </c>
      <c r="D28783">
        <v>1</v>
      </c>
    </row>
    <row r="28785" spans="2:4">
      <c r="B28785">
        <v>1</v>
      </c>
      <c r="C28785">
        <v>102</v>
      </c>
      <c r="D28785">
        <v>1</v>
      </c>
    </row>
    <row r="28787" spans="2:4">
      <c r="B28787">
        <v>1</v>
      </c>
      <c r="C28787">
        <v>102</v>
      </c>
      <c r="D28787">
        <v>1</v>
      </c>
    </row>
    <row r="28790" spans="2:4">
      <c r="B28790">
        <v>1</v>
      </c>
      <c r="C28790">
        <v>102</v>
      </c>
      <c r="D28790">
        <v>1</v>
      </c>
    </row>
    <row r="28794" spans="2:4">
      <c r="B28794">
        <v>1</v>
      </c>
      <c r="C28794">
        <v>102</v>
      </c>
      <c r="D28794">
        <v>1</v>
      </c>
    </row>
    <row r="28797" spans="2:4">
      <c r="B28797">
        <v>1</v>
      </c>
      <c r="C28797">
        <v>102</v>
      </c>
      <c r="D28797">
        <v>1</v>
      </c>
    </row>
    <row r="28798" spans="2:4">
      <c r="B28798">
        <v>1</v>
      </c>
      <c r="C28798">
        <v>102</v>
      </c>
      <c r="D28798">
        <v>1</v>
      </c>
    </row>
    <row r="28800" spans="2:4">
      <c r="B28800">
        <v>1</v>
      </c>
      <c r="C28800">
        <v>102</v>
      </c>
      <c r="D28800">
        <v>1</v>
      </c>
    </row>
    <row r="28804" spans="2:4">
      <c r="B28804">
        <v>1</v>
      </c>
      <c r="C28804">
        <v>102</v>
      </c>
      <c r="D28804">
        <v>1</v>
      </c>
    </row>
    <row r="28805" spans="2:4">
      <c r="B28805">
        <v>1</v>
      </c>
      <c r="C28805">
        <v>102</v>
      </c>
      <c r="D28805">
        <v>1</v>
      </c>
    </row>
    <row r="28809" spans="2:4">
      <c r="B28809">
        <v>1</v>
      </c>
      <c r="C28809">
        <v>102</v>
      </c>
      <c r="D28809">
        <v>1</v>
      </c>
    </row>
    <row r="28811" spans="2:4">
      <c r="B28811">
        <v>1</v>
      </c>
      <c r="C28811">
        <v>102</v>
      </c>
      <c r="D28811">
        <v>1</v>
      </c>
    </row>
    <row r="28812" spans="2:4">
      <c r="B28812">
        <v>1</v>
      </c>
      <c r="C28812">
        <v>102</v>
      </c>
      <c r="D28812">
        <v>1</v>
      </c>
    </row>
    <row r="28816" spans="2:4">
      <c r="B28816">
        <v>1</v>
      </c>
      <c r="C28816">
        <v>102</v>
      </c>
      <c r="D28816">
        <v>1</v>
      </c>
    </row>
    <row r="28817" spans="2:4">
      <c r="B28817">
        <v>1</v>
      </c>
      <c r="C28817">
        <v>102</v>
      </c>
      <c r="D28817">
        <v>1</v>
      </c>
    </row>
    <row r="28818" spans="2:4">
      <c r="B28818">
        <v>1</v>
      </c>
      <c r="C28818">
        <v>102</v>
      </c>
      <c r="D28818">
        <v>1</v>
      </c>
    </row>
    <row r="28819" spans="2:4">
      <c r="B28819">
        <v>1</v>
      </c>
      <c r="C28819">
        <v>102</v>
      </c>
      <c r="D28819">
        <v>1</v>
      </c>
    </row>
    <row r="28820" spans="2:4">
      <c r="B28820">
        <v>1</v>
      </c>
      <c r="C28820">
        <v>102</v>
      </c>
      <c r="D28820">
        <v>1</v>
      </c>
    </row>
    <row r="28828" spans="2:4">
      <c r="B28828">
        <v>1</v>
      </c>
      <c r="C28828">
        <v>102</v>
      </c>
      <c r="D28828">
        <v>1</v>
      </c>
    </row>
    <row r="28829" spans="2:4">
      <c r="B28829">
        <v>1</v>
      </c>
      <c r="C28829">
        <v>102</v>
      </c>
      <c r="D28829">
        <v>1</v>
      </c>
    </row>
    <row r="28834" spans="2:4">
      <c r="B28834">
        <v>1</v>
      </c>
      <c r="C28834">
        <v>102</v>
      </c>
      <c r="D28834">
        <v>1</v>
      </c>
    </row>
    <row r="28835" spans="2:4">
      <c r="B28835">
        <v>1</v>
      </c>
      <c r="C28835">
        <v>102</v>
      </c>
      <c r="D28835">
        <v>1</v>
      </c>
    </row>
    <row r="28838" spans="2:4">
      <c r="B28838">
        <v>1</v>
      </c>
      <c r="C28838">
        <v>102</v>
      </c>
      <c r="D28838">
        <v>1</v>
      </c>
    </row>
    <row r="28839" spans="2:4">
      <c r="B28839">
        <v>1</v>
      </c>
      <c r="C28839">
        <v>102</v>
      </c>
      <c r="D28839">
        <v>1</v>
      </c>
    </row>
    <row r="28840" spans="2:4">
      <c r="B28840">
        <v>1</v>
      </c>
      <c r="C28840">
        <v>102</v>
      </c>
      <c r="D28840">
        <v>1</v>
      </c>
    </row>
    <row r="28842" spans="2:4">
      <c r="B28842">
        <v>1</v>
      </c>
      <c r="C28842">
        <v>102</v>
      </c>
      <c r="D28842">
        <v>1</v>
      </c>
    </row>
    <row r="28843" spans="2:4">
      <c r="B28843">
        <v>1</v>
      </c>
      <c r="C28843">
        <v>102</v>
      </c>
      <c r="D28843">
        <v>1</v>
      </c>
    </row>
    <row r="28846" spans="2:4">
      <c r="B28846">
        <v>1</v>
      </c>
      <c r="C28846">
        <v>102</v>
      </c>
      <c r="D28846">
        <v>1</v>
      </c>
    </row>
    <row r="28849" spans="2:4">
      <c r="B28849">
        <v>1</v>
      </c>
      <c r="C28849">
        <v>102</v>
      </c>
      <c r="D28849">
        <v>1</v>
      </c>
    </row>
    <row r="28851" spans="2:4">
      <c r="B28851">
        <v>1</v>
      </c>
      <c r="C28851">
        <v>102</v>
      </c>
      <c r="D28851">
        <v>1</v>
      </c>
    </row>
    <row r="28855" spans="2:4">
      <c r="B28855">
        <v>1</v>
      </c>
      <c r="C28855">
        <v>102</v>
      </c>
      <c r="D28855">
        <v>1</v>
      </c>
    </row>
    <row r="28856" spans="2:4">
      <c r="B28856">
        <v>1</v>
      </c>
      <c r="C28856">
        <v>102</v>
      </c>
      <c r="D28856">
        <v>1</v>
      </c>
    </row>
    <row r="28858" spans="2:4">
      <c r="B28858">
        <v>1</v>
      </c>
      <c r="C28858">
        <v>102</v>
      </c>
      <c r="D28858">
        <v>1</v>
      </c>
    </row>
    <row r="28859" spans="2:4">
      <c r="B28859">
        <v>1</v>
      </c>
      <c r="C28859">
        <v>102</v>
      </c>
      <c r="D28859">
        <v>1</v>
      </c>
    </row>
    <row r="28861" spans="2:4">
      <c r="B28861">
        <v>1</v>
      </c>
      <c r="C28861">
        <v>102</v>
      </c>
      <c r="D28861">
        <v>1</v>
      </c>
    </row>
    <row r="28867" spans="2:4">
      <c r="B28867">
        <v>1</v>
      </c>
      <c r="C28867">
        <v>102</v>
      </c>
      <c r="D28867">
        <v>1</v>
      </c>
    </row>
    <row r="28871" spans="2:4">
      <c r="B28871">
        <v>1</v>
      </c>
      <c r="C28871">
        <v>102</v>
      </c>
      <c r="D28871">
        <v>1</v>
      </c>
    </row>
    <row r="28875" spans="2:4">
      <c r="B28875">
        <v>1</v>
      </c>
      <c r="C28875">
        <v>102</v>
      </c>
      <c r="D28875">
        <v>1</v>
      </c>
    </row>
    <row r="28880" spans="2:4">
      <c r="B28880">
        <v>1</v>
      </c>
      <c r="C28880">
        <v>102</v>
      </c>
      <c r="D28880">
        <v>1</v>
      </c>
    </row>
    <row r="28883" spans="2:4">
      <c r="B28883">
        <v>1</v>
      </c>
      <c r="C28883">
        <v>102</v>
      </c>
      <c r="D28883">
        <v>1</v>
      </c>
    </row>
    <row r="28885" spans="2:4">
      <c r="B28885">
        <v>1</v>
      </c>
      <c r="C28885">
        <v>102</v>
      </c>
      <c r="D28885">
        <v>1</v>
      </c>
    </row>
    <row r="28886" spans="2:4">
      <c r="B28886">
        <v>1</v>
      </c>
      <c r="C28886">
        <v>102</v>
      </c>
      <c r="D28886">
        <v>1</v>
      </c>
    </row>
    <row r="28887" spans="2:4">
      <c r="B28887">
        <v>1</v>
      </c>
      <c r="C28887">
        <v>102</v>
      </c>
      <c r="D28887">
        <v>1</v>
      </c>
    </row>
    <row r="28889" spans="2:4">
      <c r="B28889">
        <v>1</v>
      </c>
      <c r="C28889">
        <v>102</v>
      </c>
      <c r="D28889">
        <v>1</v>
      </c>
    </row>
    <row r="28891" spans="2:4">
      <c r="B28891">
        <v>1</v>
      </c>
      <c r="C28891">
        <v>102</v>
      </c>
      <c r="D28891">
        <v>1</v>
      </c>
    </row>
    <row r="28894" spans="2:4">
      <c r="B28894">
        <v>1</v>
      </c>
      <c r="C28894">
        <v>102</v>
      </c>
      <c r="D28894">
        <v>1</v>
      </c>
    </row>
    <row r="28896" spans="2:4">
      <c r="B28896">
        <v>1</v>
      </c>
      <c r="C28896">
        <v>102</v>
      </c>
      <c r="D28896">
        <v>1</v>
      </c>
    </row>
    <row r="28899" spans="2:4">
      <c r="B28899">
        <v>1</v>
      </c>
      <c r="C28899">
        <v>102</v>
      </c>
      <c r="D28899">
        <v>1</v>
      </c>
    </row>
    <row r="28900" spans="2:4">
      <c r="B28900">
        <v>1</v>
      </c>
      <c r="C28900">
        <v>102</v>
      </c>
      <c r="D28900">
        <v>1</v>
      </c>
    </row>
    <row r="28902" spans="2:4">
      <c r="B28902">
        <v>1</v>
      </c>
      <c r="C28902">
        <v>102</v>
      </c>
      <c r="D28902">
        <v>1</v>
      </c>
    </row>
    <row r="28903" spans="2:4">
      <c r="B28903">
        <v>1</v>
      </c>
      <c r="C28903">
        <v>102</v>
      </c>
      <c r="D28903">
        <v>1</v>
      </c>
    </row>
    <row r="28906" spans="2:4">
      <c r="B28906">
        <v>1</v>
      </c>
      <c r="C28906">
        <v>102</v>
      </c>
      <c r="D28906">
        <v>1</v>
      </c>
    </row>
    <row r="28908" spans="2:4">
      <c r="B28908">
        <v>1</v>
      </c>
      <c r="C28908">
        <v>102</v>
      </c>
      <c r="D28908">
        <v>1</v>
      </c>
    </row>
    <row r="28914" spans="2:4">
      <c r="B28914">
        <v>1</v>
      </c>
      <c r="C28914">
        <v>102</v>
      </c>
      <c r="D28914">
        <v>1</v>
      </c>
    </row>
    <row r="28916" spans="2:4">
      <c r="B28916">
        <v>1</v>
      </c>
      <c r="C28916">
        <v>102</v>
      </c>
      <c r="D28916">
        <v>1</v>
      </c>
    </row>
    <row r="28917" spans="2:4">
      <c r="B28917">
        <v>1</v>
      </c>
      <c r="C28917">
        <v>102</v>
      </c>
      <c r="D28917">
        <v>1</v>
      </c>
    </row>
    <row r="28919" spans="2:4">
      <c r="B28919">
        <v>1</v>
      </c>
      <c r="C28919">
        <v>102</v>
      </c>
      <c r="D28919">
        <v>1</v>
      </c>
    </row>
    <row r="28921" spans="2:4">
      <c r="B28921">
        <v>1</v>
      </c>
      <c r="C28921">
        <v>102</v>
      </c>
      <c r="D28921">
        <v>1</v>
      </c>
    </row>
    <row r="28924" spans="2:4">
      <c r="B28924">
        <v>1</v>
      </c>
      <c r="C28924">
        <v>102</v>
      </c>
      <c r="D28924">
        <v>1</v>
      </c>
    </row>
    <row r="28930" spans="2:4">
      <c r="B28930">
        <v>1</v>
      </c>
      <c r="C28930">
        <v>102</v>
      </c>
      <c r="D28930">
        <v>1</v>
      </c>
    </row>
    <row r="28935" spans="2:4">
      <c r="B28935">
        <v>1</v>
      </c>
      <c r="C28935">
        <v>102</v>
      </c>
      <c r="D28935">
        <v>1</v>
      </c>
    </row>
    <row r="28936" spans="2:4">
      <c r="B28936">
        <v>1</v>
      </c>
      <c r="C28936">
        <v>102</v>
      </c>
      <c r="D28936">
        <v>1</v>
      </c>
    </row>
    <row r="28942" spans="2:4">
      <c r="B28942">
        <v>1</v>
      </c>
      <c r="C28942">
        <v>102</v>
      </c>
      <c r="D28942">
        <v>1</v>
      </c>
    </row>
    <row r="28949" spans="2:4">
      <c r="B28949">
        <v>1</v>
      </c>
      <c r="C28949">
        <v>102</v>
      </c>
      <c r="D28949">
        <v>1</v>
      </c>
    </row>
    <row r="28950" spans="2:4">
      <c r="B28950">
        <v>1</v>
      </c>
      <c r="C28950">
        <v>102</v>
      </c>
      <c r="D28950">
        <v>1</v>
      </c>
    </row>
    <row r="28952" spans="2:4">
      <c r="B28952">
        <v>1</v>
      </c>
      <c r="C28952">
        <v>102</v>
      </c>
      <c r="D28952">
        <v>1</v>
      </c>
    </row>
    <row r="28953" spans="2:4">
      <c r="B28953">
        <v>1</v>
      </c>
      <c r="C28953">
        <v>102</v>
      </c>
      <c r="D28953">
        <v>1</v>
      </c>
    </row>
    <row r="28954" spans="2:4">
      <c r="B28954">
        <v>1</v>
      </c>
      <c r="C28954">
        <v>102</v>
      </c>
      <c r="D28954">
        <v>1</v>
      </c>
    </row>
    <row r="28959" spans="2:4">
      <c r="B28959">
        <v>1</v>
      </c>
      <c r="C28959">
        <v>102</v>
      </c>
      <c r="D28959">
        <v>1</v>
      </c>
    </row>
    <row r="28960" spans="2:4">
      <c r="B28960">
        <v>1</v>
      </c>
      <c r="C28960">
        <v>102</v>
      </c>
      <c r="D28960">
        <v>1</v>
      </c>
    </row>
    <row r="28961" spans="2:4">
      <c r="B28961">
        <v>1</v>
      </c>
      <c r="C28961">
        <v>102</v>
      </c>
      <c r="D28961">
        <v>1</v>
      </c>
    </row>
    <row r="28965" spans="2:4">
      <c r="B28965">
        <v>1</v>
      </c>
      <c r="C28965">
        <v>102</v>
      </c>
      <c r="D28965">
        <v>1</v>
      </c>
    </row>
    <row r="28972" spans="2:4">
      <c r="B28972">
        <v>1</v>
      </c>
      <c r="C28972">
        <v>102</v>
      </c>
      <c r="D28972">
        <v>1</v>
      </c>
    </row>
    <row r="28973" spans="2:4">
      <c r="B28973">
        <v>1</v>
      </c>
      <c r="C28973">
        <v>102</v>
      </c>
      <c r="D28973">
        <v>1</v>
      </c>
    </row>
    <row r="28976" spans="2:4">
      <c r="B28976">
        <v>1</v>
      </c>
      <c r="C28976">
        <v>102</v>
      </c>
      <c r="D28976">
        <v>1</v>
      </c>
    </row>
    <row r="28978" spans="2:4">
      <c r="B28978">
        <v>1</v>
      </c>
      <c r="C28978">
        <v>102</v>
      </c>
      <c r="D28978">
        <v>1</v>
      </c>
    </row>
    <row r="28980" spans="2:4">
      <c r="B28980">
        <v>1</v>
      </c>
      <c r="C28980">
        <v>102</v>
      </c>
      <c r="D28980">
        <v>1</v>
      </c>
    </row>
    <row r="28982" spans="2:4">
      <c r="B28982">
        <v>1</v>
      </c>
      <c r="C28982">
        <v>102</v>
      </c>
      <c r="D28982">
        <v>1</v>
      </c>
    </row>
    <row r="28988" spans="2:4">
      <c r="B28988">
        <v>1</v>
      </c>
      <c r="C28988">
        <v>102</v>
      </c>
      <c r="D28988">
        <v>1</v>
      </c>
    </row>
    <row r="28991" spans="2:4">
      <c r="B28991">
        <v>1</v>
      </c>
      <c r="C28991">
        <v>102</v>
      </c>
      <c r="D28991">
        <v>1</v>
      </c>
    </row>
    <row r="28992" spans="2:4">
      <c r="B28992">
        <v>1</v>
      </c>
      <c r="C28992">
        <v>102</v>
      </c>
      <c r="D28992">
        <v>1</v>
      </c>
    </row>
    <row r="28993" spans="2:4">
      <c r="B28993">
        <v>1</v>
      </c>
      <c r="C28993">
        <v>102</v>
      </c>
      <c r="D28993">
        <v>1</v>
      </c>
    </row>
    <row r="28996" spans="2:4">
      <c r="B28996">
        <v>1</v>
      </c>
      <c r="C28996">
        <v>102</v>
      </c>
      <c r="D28996">
        <v>1</v>
      </c>
    </row>
    <row r="28997" spans="2:4">
      <c r="B28997">
        <v>1</v>
      </c>
      <c r="C28997">
        <v>102</v>
      </c>
      <c r="D28997">
        <v>1</v>
      </c>
    </row>
    <row r="28998" spans="2:4">
      <c r="B28998">
        <v>1</v>
      </c>
      <c r="C28998">
        <v>102</v>
      </c>
      <c r="D28998">
        <v>1</v>
      </c>
    </row>
    <row r="29001" spans="2:4">
      <c r="B29001">
        <v>1</v>
      </c>
      <c r="C29001">
        <v>102</v>
      </c>
      <c r="D29001">
        <v>1</v>
      </c>
    </row>
    <row r="29002" spans="2:4">
      <c r="B29002">
        <v>1</v>
      </c>
      <c r="C29002">
        <v>102</v>
      </c>
      <c r="D29002">
        <v>1</v>
      </c>
    </row>
    <row r="29005" spans="2:4">
      <c r="B29005">
        <v>1</v>
      </c>
      <c r="C29005">
        <v>102</v>
      </c>
      <c r="D29005">
        <v>1</v>
      </c>
    </row>
    <row r="29007" spans="2:4">
      <c r="B29007">
        <v>1</v>
      </c>
      <c r="C29007">
        <v>102</v>
      </c>
      <c r="D29007">
        <v>1</v>
      </c>
    </row>
    <row r="29016" spans="2:4">
      <c r="B29016">
        <v>1</v>
      </c>
      <c r="C29016">
        <v>102</v>
      </c>
      <c r="D29016">
        <v>1</v>
      </c>
    </row>
    <row r="29023" spans="2:4">
      <c r="B29023">
        <v>1</v>
      </c>
      <c r="C29023">
        <v>102</v>
      </c>
      <c r="D29023">
        <v>1</v>
      </c>
    </row>
    <row r="29025" spans="2:4">
      <c r="B29025">
        <v>1</v>
      </c>
      <c r="C29025">
        <v>102</v>
      </c>
      <c r="D29025">
        <v>1</v>
      </c>
    </row>
    <row r="29026" spans="2:4">
      <c r="B29026">
        <v>1</v>
      </c>
      <c r="C29026">
        <v>102</v>
      </c>
      <c r="D29026">
        <v>1</v>
      </c>
    </row>
    <row r="29029" spans="2:4">
      <c r="B29029">
        <v>1</v>
      </c>
      <c r="C29029">
        <v>102</v>
      </c>
      <c r="D29029">
        <v>1</v>
      </c>
    </row>
    <row r="29033" spans="2:4">
      <c r="B29033">
        <v>1</v>
      </c>
      <c r="C29033">
        <v>102</v>
      </c>
      <c r="D29033">
        <v>1</v>
      </c>
    </row>
    <row r="29038" spans="2:4">
      <c r="B29038">
        <v>1</v>
      </c>
      <c r="C29038">
        <v>102</v>
      </c>
      <c r="D29038">
        <v>1</v>
      </c>
    </row>
    <row r="29039" spans="2:4">
      <c r="B29039">
        <v>1</v>
      </c>
      <c r="C29039">
        <v>102</v>
      </c>
      <c r="D29039">
        <v>1</v>
      </c>
    </row>
    <row r="29041" spans="2:4">
      <c r="B29041">
        <v>1</v>
      </c>
      <c r="C29041">
        <v>102</v>
      </c>
      <c r="D29041">
        <v>1</v>
      </c>
    </row>
    <row r="29043" spans="2:4">
      <c r="B29043">
        <v>1</v>
      </c>
      <c r="C29043">
        <v>102</v>
      </c>
      <c r="D29043">
        <v>1</v>
      </c>
    </row>
    <row r="29046" spans="2:4">
      <c r="B29046">
        <v>1</v>
      </c>
      <c r="C29046">
        <v>102</v>
      </c>
      <c r="D29046">
        <v>1</v>
      </c>
    </row>
    <row r="29050" spans="2:4">
      <c r="B29050">
        <v>1</v>
      </c>
      <c r="C29050">
        <v>102</v>
      </c>
      <c r="D29050">
        <v>1</v>
      </c>
    </row>
    <row r="29053" spans="2:4">
      <c r="B29053">
        <v>1</v>
      </c>
      <c r="C29053">
        <v>102</v>
      </c>
      <c r="D29053">
        <v>1</v>
      </c>
    </row>
    <row r="29054" spans="2:4">
      <c r="B29054">
        <v>1</v>
      </c>
      <c r="C29054">
        <v>102</v>
      </c>
      <c r="D29054">
        <v>1</v>
      </c>
    </row>
    <row r="29056" spans="2:4">
      <c r="B29056">
        <v>1</v>
      </c>
      <c r="C29056">
        <v>102</v>
      </c>
      <c r="D29056">
        <v>1</v>
      </c>
    </row>
    <row r="29060" spans="2:4">
      <c r="B29060">
        <v>1</v>
      </c>
      <c r="C29060">
        <v>102</v>
      </c>
      <c r="D29060">
        <v>1</v>
      </c>
    </row>
    <row r="29061" spans="2:4">
      <c r="B29061">
        <v>1</v>
      </c>
      <c r="C29061">
        <v>102</v>
      </c>
      <c r="D29061">
        <v>1</v>
      </c>
    </row>
    <row r="29065" spans="2:4">
      <c r="B29065">
        <v>1</v>
      </c>
      <c r="C29065">
        <v>102</v>
      </c>
      <c r="D29065">
        <v>1</v>
      </c>
    </row>
    <row r="29067" spans="2:4">
      <c r="B29067">
        <v>1</v>
      </c>
      <c r="C29067">
        <v>102</v>
      </c>
      <c r="D29067">
        <v>1</v>
      </c>
    </row>
    <row r="29068" spans="2:4">
      <c r="B29068">
        <v>1</v>
      </c>
      <c r="C29068">
        <v>102</v>
      </c>
      <c r="D29068">
        <v>1</v>
      </c>
    </row>
    <row r="29072" spans="2:4">
      <c r="B29072">
        <v>1</v>
      </c>
      <c r="C29072">
        <v>102</v>
      </c>
      <c r="D29072">
        <v>1</v>
      </c>
    </row>
    <row r="29073" spans="2:4">
      <c r="B29073">
        <v>1</v>
      </c>
      <c r="C29073">
        <v>102</v>
      </c>
      <c r="D29073">
        <v>1</v>
      </c>
    </row>
    <row r="29074" spans="2:4">
      <c r="B29074">
        <v>1</v>
      </c>
      <c r="C29074">
        <v>102</v>
      </c>
      <c r="D29074">
        <v>1</v>
      </c>
    </row>
    <row r="29075" spans="2:4">
      <c r="B29075">
        <v>1</v>
      </c>
      <c r="C29075">
        <v>102</v>
      </c>
      <c r="D29075">
        <v>1</v>
      </c>
    </row>
    <row r="29076" spans="2:4">
      <c r="B29076">
        <v>1</v>
      </c>
      <c r="C29076">
        <v>102</v>
      </c>
      <c r="D29076">
        <v>1</v>
      </c>
    </row>
    <row r="29084" spans="2:4">
      <c r="B29084">
        <v>1</v>
      </c>
      <c r="C29084">
        <v>102</v>
      </c>
      <c r="D29084">
        <v>1</v>
      </c>
    </row>
    <row r="29085" spans="2:4">
      <c r="B29085">
        <v>1</v>
      </c>
      <c r="C29085">
        <v>102</v>
      </c>
      <c r="D29085">
        <v>1</v>
      </c>
    </row>
    <row r="29090" spans="2:4">
      <c r="B29090">
        <v>1</v>
      </c>
      <c r="C29090">
        <v>102</v>
      </c>
      <c r="D29090">
        <v>1</v>
      </c>
    </row>
    <row r="29091" spans="2:4">
      <c r="B29091">
        <v>1</v>
      </c>
      <c r="C29091">
        <v>102</v>
      </c>
      <c r="D29091">
        <v>1</v>
      </c>
    </row>
    <row r="29094" spans="2:4">
      <c r="B29094">
        <v>1</v>
      </c>
      <c r="C29094">
        <v>102</v>
      </c>
      <c r="D29094">
        <v>1</v>
      </c>
    </row>
    <row r="29095" spans="2:4">
      <c r="B29095">
        <v>1</v>
      </c>
      <c r="C29095">
        <v>102</v>
      </c>
      <c r="D29095">
        <v>1</v>
      </c>
    </row>
    <row r="29096" spans="2:4">
      <c r="B29096">
        <v>1</v>
      </c>
      <c r="C29096">
        <v>102</v>
      </c>
      <c r="D29096">
        <v>1</v>
      </c>
    </row>
    <row r="29098" spans="2:4">
      <c r="B29098">
        <v>1</v>
      </c>
      <c r="C29098">
        <v>102</v>
      </c>
      <c r="D29098">
        <v>1</v>
      </c>
    </row>
    <row r="29099" spans="2:4">
      <c r="B29099">
        <v>1</v>
      </c>
      <c r="C29099">
        <v>102</v>
      </c>
      <c r="D29099">
        <v>1</v>
      </c>
    </row>
    <row r="29102" spans="2:4">
      <c r="B29102">
        <v>1</v>
      </c>
      <c r="C29102">
        <v>102</v>
      </c>
      <c r="D29102">
        <v>1</v>
      </c>
    </row>
    <row r="29105" spans="2:4">
      <c r="B29105">
        <v>1</v>
      </c>
      <c r="C29105">
        <v>102</v>
      </c>
      <c r="D29105">
        <v>1</v>
      </c>
    </row>
    <row r="29107" spans="2:4">
      <c r="B29107">
        <v>1</v>
      </c>
      <c r="C29107">
        <v>102</v>
      </c>
      <c r="D29107">
        <v>1</v>
      </c>
    </row>
    <row r="29111" spans="2:4">
      <c r="B29111">
        <v>1</v>
      </c>
      <c r="C29111">
        <v>102</v>
      </c>
      <c r="D29111">
        <v>1</v>
      </c>
    </row>
    <row r="29112" spans="2:4">
      <c r="B29112">
        <v>1</v>
      </c>
      <c r="C29112">
        <v>102</v>
      </c>
      <c r="D29112">
        <v>1</v>
      </c>
    </row>
    <row r="29114" spans="2:4">
      <c r="B29114">
        <v>1</v>
      </c>
      <c r="C29114">
        <v>102</v>
      </c>
      <c r="D29114">
        <v>1</v>
      </c>
    </row>
    <row r="29115" spans="2:4">
      <c r="B29115">
        <v>1</v>
      </c>
      <c r="C29115">
        <v>102</v>
      </c>
      <c r="D29115">
        <v>1</v>
      </c>
    </row>
    <row r="29117" spans="2:4">
      <c r="B29117">
        <v>1</v>
      </c>
      <c r="C29117">
        <v>102</v>
      </c>
      <c r="D29117">
        <v>1</v>
      </c>
    </row>
    <row r="29123" spans="2:4">
      <c r="B29123">
        <v>1</v>
      </c>
      <c r="C29123">
        <v>102</v>
      </c>
      <c r="D29123">
        <v>1</v>
      </c>
    </row>
    <row r="29127" spans="2:4">
      <c r="B29127">
        <v>1</v>
      </c>
      <c r="C29127">
        <v>102</v>
      </c>
      <c r="D29127">
        <v>1</v>
      </c>
    </row>
    <row r="29131" spans="2:4">
      <c r="B29131">
        <v>1</v>
      </c>
      <c r="C29131">
        <v>102</v>
      </c>
      <c r="D29131">
        <v>1</v>
      </c>
    </row>
    <row r="29136" spans="2:4">
      <c r="B29136">
        <v>1</v>
      </c>
      <c r="C29136">
        <v>102</v>
      </c>
      <c r="D29136">
        <v>1</v>
      </c>
    </row>
    <row r="29139" spans="2:4">
      <c r="B29139">
        <v>1</v>
      </c>
      <c r="C29139">
        <v>102</v>
      </c>
      <c r="D29139">
        <v>1</v>
      </c>
    </row>
    <row r="29141" spans="2:4">
      <c r="B29141">
        <v>1</v>
      </c>
      <c r="C29141">
        <v>102</v>
      </c>
      <c r="D29141">
        <v>1</v>
      </c>
    </row>
    <row r="29142" spans="2:4">
      <c r="B29142">
        <v>1</v>
      </c>
      <c r="C29142">
        <v>102</v>
      </c>
      <c r="D29142">
        <v>1</v>
      </c>
    </row>
    <row r="29143" spans="2:4">
      <c r="B29143">
        <v>1</v>
      </c>
      <c r="C29143">
        <v>102</v>
      </c>
      <c r="D29143">
        <v>1</v>
      </c>
    </row>
    <row r="29145" spans="2:4">
      <c r="B29145">
        <v>1</v>
      </c>
      <c r="C29145">
        <v>102</v>
      </c>
      <c r="D29145">
        <v>1</v>
      </c>
    </row>
    <row r="29147" spans="2:4">
      <c r="B29147">
        <v>1</v>
      </c>
      <c r="C29147">
        <v>102</v>
      </c>
      <c r="D29147">
        <v>1</v>
      </c>
    </row>
    <row r="29150" spans="2:4">
      <c r="B29150">
        <v>1</v>
      </c>
      <c r="C29150">
        <v>102</v>
      </c>
      <c r="D29150">
        <v>1</v>
      </c>
    </row>
    <row r="29152" spans="2:4">
      <c r="B29152">
        <v>1</v>
      </c>
      <c r="C29152">
        <v>102</v>
      </c>
      <c r="D29152">
        <v>1</v>
      </c>
    </row>
    <row r="29155" spans="2:4">
      <c r="B29155">
        <v>1</v>
      </c>
      <c r="C29155">
        <v>102</v>
      </c>
      <c r="D29155">
        <v>1</v>
      </c>
    </row>
    <row r="29156" spans="2:4">
      <c r="B29156">
        <v>1</v>
      </c>
      <c r="C29156">
        <v>102</v>
      </c>
      <c r="D29156">
        <v>1</v>
      </c>
    </row>
    <row r="29158" spans="2:4">
      <c r="B29158">
        <v>1</v>
      </c>
      <c r="C29158">
        <v>102</v>
      </c>
      <c r="D29158">
        <v>1</v>
      </c>
    </row>
    <row r="29159" spans="2:4">
      <c r="B29159">
        <v>1</v>
      </c>
      <c r="C29159">
        <v>102</v>
      </c>
      <c r="D29159">
        <v>1</v>
      </c>
    </row>
    <row r="29162" spans="2:4">
      <c r="B29162">
        <v>1</v>
      </c>
      <c r="C29162">
        <v>102</v>
      </c>
      <c r="D29162">
        <v>1</v>
      </c>
    </row>
    <row r="29164" spans="2:4">
      <c r="B29164">
        <v>1</v>
      </c>
      <c r="C29164">
        <v>102</v>
      </c>
      <c r="D29164">
        <v>1</v>
      </c>
    </row>
    <row r="29170" spans="2:4">
      <c r="B29170">
        <v>1</v>
      </c>
      <c r="C29170">
        <v>102</v>
      </c>
      <c r="D29170">
        <v>1</v>
      </c>
    </row>
    <row r="29172" spans="2:4">
      <c r="B29172">
        <v>1</v>
      </c>
      <c r="C29172">
        <v>102</v>
      </c>
      <c r="D29172">
        <v>1</v>
      </c>
    </row>
    <row r="29173" spans="2:4">
      <c r="B29173">
        <v>1</v>
      </c>
      <c r="C29173">
        <v>102</v>
      </c>
      <c r="D29173">
        <v>1</v>
      </c>
    </row>
    <row r="29175" spans="2:4">
      <c r="B29175">
        <v>1</v>
      </c>
      <c r="C29175">
        <v>102</v>
      </c>
      <c r="D29175">
        <v>1</v>
      </c>
    </row>
    <row r="29177" spans="2:4">
      <c r="B29177">
        <v>1</v>
      </c>
      <c r="C29177">
        <v>102</v>
      </c>
      <c r="D29177">
        <v>1</v>
      </c>
    </row>
    <row r="29180" spans="2:4">
      <c r="B29180">
        <v>1</v>
      </c>
      <c r="C29180">
        <v>102</v>
      </c>
      <c r="D29180">
        <v>1</v>
      </c>
    </row>
    <row r="29186" spans="2:4">
      <c r="B29186">
        <v>1</v>
      </c>
      <c r="C29186">
        <v>102</v>
      </c>
      <c r="D29186">
        <v>1</v>
      </c>
    </row>
    <row r="29191" spans="2:4">
      <c r="B29191">
        <v>1</v>
      </c>
      <c r="C29191">
        <v>102</v>
      </c>
      <c r="D29191">
        <v>1</v>
      </c>
    </row>
    <row r="29192" spans="2:4">
      <c r="B29192">
        <v>1</v>
      </c>
      <c r="C29192">
        <v>102</v>
      </c>
      <c r="D29192">
        <v>1</v>
      </c>
    </row>
    <row r="29198" spans="2:4">
      <c r="B29198">
        <v>1</v>
      </c>
      <c r="C29198">
        <v>102</v>
      </c>
      <c r="D29198">
        <v>1</v>
      </c>
    </row>
    <row r="29205" spans="2:4">
      <c r="B29205">
        <v>1</v>
      </c>
      <c r="C29205">
        <v>102</v>
      </c>
      <c r="D29205">
        <v>1</v>
      </c>
    </row>
    <row r="29206" spans="2:4">
      <c r="B29206">
        <v>1</v>
      </c>
      <c r="C29206">
        <v>102</v>
      </c>
      <c r="D29206">
        <v>1</v>
      </c>
    </row>
    <row r="29208" spans="2:4">
      <c r="B29208">
        <v>1</v>
      </c>
      <c r="C29208">
        <v>102</v>
      </c>
      <c r="D29208">
        <v>1</v>
      </c>
    </row>
    <row r="29209" spans="2:4">
      <c r="B29209">
        <v>1</v>
      </c>
      <c r="C29209">
        <v>102</v>
      </c>
      <c r="D29209">
        <v>1</v>
      </c>
    </row>
    <row r="29210" spans="2:4">
      <c r="B29210">
        <v>1</v>
      </c>
      <c r="C29210">
        <v>102</v>
      </c>
      <c r="D29210">
        <v>1</v>
      </c>
    </row>
    <row r="29215" spans="2:4">
      <c r="B29215">
        <v>1</v>
      </c>
      <c r="C29215">
        <v>102</v>
      </c>
      <c r="D29215">
        <v>1</v>
      </c>
    </row>
    <row r="29216" spans="2:4">
      <c r="B29216">
        <v>1</v>
      </c>
      <c r="C29216">
        <v>102</v>
      </c>
      <c r="D29216">
        <v>1</v>
      </c>
    </row>
    <row r="29217" spans="2:4">
      <c r="B29217">
        <v>1</v>
      </c>
      <c r="C29217">
        <v>102</v>
      </c>
      <c r="D29217">
        <v>1</v>
      </c>
    </row>
    <row r="29221" spans="2:4">
      <c r="B29221">
        <v>1</v>
      </c>
      <c r="C29221">
        <v>102</v>
      </c>
      <c r="D29221">
        <v>1</v>
      </c>
    </row>
    <row r="29228" spans="2:4">
      <c r="B29228">
        <v>1</v>
      </c>
      <c r="C29228">
        <v>102</v>
      </c>
      <c r="D29228">
        <v>1</v>
      </c>
    </row>
    <row r="29229" spans="2:4">
      <c r="B29229">
        <v>1</v>
      </c>
      <c r="C29229">
        <v>102</v>
      </c>
      <c r="D29229">
        <v>1</v>
      </c>
    </row>
    <row r="29232" spans="2:4">
      <c r="B29232">
        <v>1</v>
      </c>
      <c r="C29232">
        <v>102</v>
      </c>
      <c r="D29232">
        <v>1</v>
      </c>
    </row>
    <row r="29234" spans="2:4">
      <c r="B29234">
        <v>1</v>
      </c>
      <c r="C29234">
        <v>102</v>
      </c>
      <c r="D29234">
        <v>1</v>
      </c>
    </row>
    <row r="29236" spans="2:4">
      <c r="B29236">
        <v>1</v>
      </c>
      <c r="C29236">
        <v>102</v>
      </c>
      <c r="D29236">
        <v>1</v>
      </c>
    </row>
    <row r="29238" spans="2:4">
      <c r="B29238">
        <v>1</v>
      </c>
      <c r="C29238">
        <v>102</v>
      </c>
      <c r="D29238">
        <v>1</v>
      </c>
    </row>
    <row r="29244" spans="2:4">
      <c r="B29244">
        <v>1</v>
      </c>
      <c r="C29244">
        <v>102</v>
      </c>
      <c r="D29244">
        <v>1</v>
      </c>
    </row>
    <row r="29247" spans="2:4">
      <c r="B29247">
        <v>1</v>
      </c>
      <c r="C29247">
        <v>102</v>
      </c>
      <c r="D29247">
        <v>1</v>
      </c>
    </row>
    <row r="29248" spans="2:4">
      <c r="B29248">
        <v>1</v>
      </c>
      <c r="C29248">
        <v>102</v>
      </c>
      <c r="D29248">
        <v>1</v>
      </c>
    </row>
    <row r="29249" spans="2:4">
      <c r="B29249">
        <v>1</v>
      </c>
      <c r="C29249">
        <v>102</v>
      </c>
      <c r="D29249">
        <v>1</v>
      </c>
    </row>
    <row r="29252" spans="2:4">
      <c r="B29252">
        <v>1</v>
      </c>
      <c r="C29252">
        <v>102</v>
      </c>
      <c r="D29252">
        <v>1</v>
      </c>
    </row>
    <row r="29253" spans="2:4">
      <c r="B29253">
        <v>1</v>
      </c>
      <c r="C29253">
        <v>102</v>
      </c>
      <c r="D29253">
        <v>1</v>
      </c>
    </row>
    <row r="29254" spans="2:4">
      <c r="B29254">
        <v>1</v>
      </c>
      <c r="C29254">
        <v>102</v>
      </c>
      <c r="D29254">
        <v>1</v>
      </c>
    </row>
    <row r="29257" spans="2:4">
      <c r="B29257">
        <v>1</v>
      </c>
      <c r="C29257">
        <v>102</v>
      </c>
      <c r="D29257">
        <v>1</v>
      </c>
    </row>
    <row r="29258" spans="2:4">
      <c r="B29258">
        <v>1</v>
      </c>
      <c r="C29258">
        <v>102</v>
      </c>
      <c r="D29258">
        <v>1</v>
      </c>
    </row>
    <row r="29261" spans="2:4">
      <c r="B29261">
        <v>1</v>
      </c>
      <c r="C29261">
        <v>102</v>
      </c>
      <c r="D29261">
        <v>1</v>
      </c>
    </row>
    <row r="29263" spans="2:4">
      <c r="B29263">
        <v>1</v>
      </c>
      <c r="C29263">
        <v>102</v>
      </c>
      <c r="D29263">
        <v>1</v>
      </c>
    </row>
    <row r="29272" spans="2:4">
      <c r="B29272">
        <v>1</v>
      </c>
      <c r="C29272">
        <v>102</v>
      </c>
      <c r="D29272">
        <v>1</v>
      </c>
    </row>
    <row r="29279" spans="2:4">
      <c r="B29279">
        <v>1</v>
      </c>
      <c r="C29279">
        <v>102</v>
      </c>
      <c r="D29279">
        <v>1</v>
      </c>
    </row>
    <row r="29281" spans="2:4">
      <c r="B29281">
        <v>1</v>
      </c>
      <c r="C29281">
        <v>102</v>
      </c>
      <c r="D29281">
        <v>1</v>
      </c>
    </row>
    <row r="29282" spans="2:4">
      <c r="B29282">
        <v>1</v>
      </c>
      <c r="C29282">
        <v>102</v>
      </c>
      <c r="D29282">
        <v>1</v>
      </c>
    </row>
    <row r="29285" spans="2:4">
      <c r="B29285">
        <v>1</v>
      </c>
      <c r="C29285">
        <v>102</v>
      </c>
      <c r="D29285">
        <v>1</v>
      </c>
    </row>
    <row r="29289" spans="2:4">
      <c r="B29289">
        <v>1</v>
      </c>
      <c r="C29289">
        <v>102</v>
      </c>
      <c r="D29289">
        <v>1</v>
      </c>
    </row>
    <row r="29294" spans="2:4">
      <c r="B29294">
        <v>1</v>
      </c>
      <c r="C29294">
        <v>102</v>
      </c>
      <c r="D29294">
        <v>1</v>
      </c>
    </row>
    <row r="29295" spans="2:4">
      <c r="B29295">
        <v>1</v>
      </c>
      <c r="C29295">
        <v>102</v>
      </c>
      <c r="D29295">
        <v>1</v>
      </c>
    </row>
    <row r="29297" spans="2:4">
      <c r="B29297">
        <v>1</v>
      </c>
      <c r="C29297">
        <v>102</v>
      </c>
      <c r="D29297">
        <v>1</v>
      </c>
    </row>
    <row r="29299" spans="2:4">
      <c r="B29299">
        <v>1</v>
      </c>
      <c r="C29299">
        <v>102</v>
      </c>
      <c r="D29299">
        <v>1</v>
      </c>
    </row>
    <row r="29302" spans="2:4">
      <c r="B29302">
        <v>1</v>
      </c>
      <c r="C29302">
        <v>102</v>
      </c>
      <c r="D29302">
        <v>1</v>
      </c>
    </row>
    <row r="29306" spans="2:4">
      <c r="B29306">
        <v>1</v>
      </c>
      <c r="C29306">
        <v>102</v>
      </c>
      <c r="D29306">
        <v>1</v>
      </c>
    </row>
    <row r="29309" spans="2:4">
      <c r="B29309">
        <v>1</v>
      </c>
      <c r="C29309">
        <v>102</v>
      </c>
      <c r="D29309">
        <v>1</v>
      </c>
    </row>
    <row r="29310" spans="2:4">
      <c r="B29310">
        <v>1</v>
      </c>
      <c r="C29310">
        <v>102</v>
      </c>
      <c r="D29310">
        <v>1</v>
      </c>
    </row>
    <row r="29312" spans="2:4">
      <c r="B29312">
        <v>1</v>
      </c>
      <c r="C29312">
        <v>102</v>
      </c>
      <c r="D29312">
        <v>1</v>
      </c>
    </row>
    <row r="29316" spans="2:4">
      <c r="B29316">
        <v>1</v>
      </c>
      <c r="C29316">
        <v>102</v>
      </c>
      <c r="D29316">
        <v>1</v>
      </c>
    </row>
    <row r="29317" spans="2:4">
      <c r="B29317">
        <v>1</v>
      </c>
      <c r="C29317">
        <v>102</v>
      </c>
      <c r="D29317">
        <v>1</v>
      </c>
    </row>
    <row r="29321" spans="2:4">
      <c r="B29321">
        <v>1</v>
      </c>
      <c r="C29321">
        <v>102</v>
      </c>
      <c r="D29321">
        <v>1</v>
      </c>
    </row>
    <row r="29323" spans="2:4">
      <c r="B29323">
        <v>1</v>
      </c>
      <c r="C29323">
        <v>102</v>
      </c>
      <c r="D29323">
        <v>1</v>
      </c>
    </row>
    <row r="29324" spans="2:4">
      <c r="B29324">
        <v>1</v>
      </c>
      <c r="C29324">
        <v>102</v>
      </c>
      <c r="D29324">
        <v>1</v>
      </c>
    </row>
    <row r="29328" spans="2:4">
      <c r="B29328">
        <v>1</v>
      </c>
      <c r="C29328">
        <v>102</v>
      </c>
      <c r="D29328">
        <v>1</v>
      </c>
    </row>
    <row r="29329" spans="2:4">
      <c r="B29329">
        <v>1</v>
      </c>
      <c r="C29329">
        <v>102</v>
      </c>
      <c r="D29329">
        <v>1</v>
      </c>
    </row>
    <row r="29330" spans="2:4">
      <c r="B29330">
        <v>1</v>
      </c>
      <c r="C29330">
        <v>102</v>
      </c>
      <c r="D29330">
        <v>1</v>
      </c>
    </row>
    <row r="29331" spans="2:4">
      <c r="B29331">
        <v>1</v>
      </c>
      <c r="C29331">
        <v>102</v>
      </c>
      <c r="D29331">
        <v>1</v>
      </c>
    </row>
    <row r="29332" spans="2:4">
      <c r="B29332">
        <v>1</v>
      </c>
      <c r="C29332">
        <v>102</v>
      </c>
      <c r="D29332">
        <v>1</v>
      </c>
    </row>
    <row r="29340" spans="2:4">
      <c r="B29340">
        <v>1</v>
      </c>
      <c r="C29340">
        <v>102</v>
      </c>
      <c r="D29340">
        <v>1</v>
      </c>
    </row>
    <row r="29341" spans="2:4">
      <c r="B29341">
        <v>1</v>
      </c>
      <c r="C29341">
        <v>102</v>
      </c>
      <c r="D29341">
        <v>1</v>
      </c>
    </row>
    <row r="29346" spans="2:4">
      <c r="B29346">
        <v>1</v>
      </c>
      <c r="C29346">
        <v>102</v>
      </c>
      <c r="D29346">
        <v>1</v>
      </c>
    </row>
    <row r="29347" spans="2:4">
      <c r="B29347">
        <v>1</v>
      </c>
      <c r="C29347">
        <v>102</v>
      </c>
      <c r="D29347">
        <v>1</v>
      </c>
    </row>
    <row r="29350" spans="2:4">
      <c r="B29350">
        <v>1</v>
      </c>
      <c r="C29350">
        <v>102</v>
      </c>
      <c r="D29350">
        <v>1</v>
      </c>
    </row>
    <row r="29351" spans="2:4">
      <c r="B29351">
        <v>1</v>
      </c>
      <c r="C29351">
        <v>102</v>
      </c>
      <c r="D29351">
        <v>1</v>
      </c>
    </row>
    <row r="29352" spans="2:4">
      <c r="B29352">
        <v>1</v>
      </c>
      <c r="C29352">
        <v>102</v>
      </c>
      <c r="D29352">
        <v>1</v>
      </c>
    </row>
    <row r="29354" spans="2:4">
      <c r="B29354">
        <v>1</v>
      </c>
      <c r="C29354">
        <v>102</v>
      </c>
      <c r="D29354">
        <v>1</v>
      </c>
    </row>
    <row r="29355" spans="2:4">
      <c r="B29355">
        <v>1</v>
      </c>
      <c r="C29355">
        <v>102</v>
      </c>
      <c r="D29355">
        <v>1</v>
      </c>
    </row>
    <row r="29358" spans="2:4">
      <c r="B29358">
        <v>1</v>
      </c>
      <c r="C29358">
        <v>102</v>
      </c>
      <c r="D29358">
        <v>1</v>
      </c>
    </row>
    <row r="29361" spans="2:4">
      <c r="B29361">
        <v>1</v>
      </c>
      <c r="C29361">
        <v>102</v>
      </c>
      <c r="D29361">
        <v>1</v>
      </c>
    </row>
    <row r="29363" spans="2:4">
      <c r="B29363">
        <v>1</v>
      </c>
      <c r="C29363">
        <v>102</v>
      </c>
      <c r="D29363">
        <v>1</v>
      </c>
    </row>
    <row r="29367" spans="2:4">
      <c r="B29367">
        <v>1</v>
      </c>
      <c r="C29367">
        <v>102</v>
      </c>
      <c r="D29367">
        <v>1</v>
      </c>
    </row>
    <row r="29368" spans="2:4">
      <c r="B29368">
        <v>1</v>
      </c>
      <c r="C29368">
        <v>102</v>
      </c>
      <c r="D29368">
        <v>1</v>
      </c>
    </row>
    <row r="29370" spans="2:4">
      <c r="B29370">
        <v>1</v>
      </c>
      <c r="C29370">
        <v>102</v>
      </c>
      <c r="D29370">
        <v>1</v>
      </c>
    </row>
    <row r="29371" spans="2:4">
      <c r="B29371">
        <v>1</v>
      </c>
      <c r="C29371">
        <v>102</v>
      </c>
      <c r="D29371">
        <v>1</v>
      </c>
    </row>
    <row r="29373" spans="2:4">
      <c r="B29373">
        <v>1</v>
      </c>
      <c r="C29373">
        <v>102</v>
      </c>
      <c r="D29373">
        <v>1</v>
      </c>
    </row>
    <row r="29379" spans="2:4">
      <c r="B29379">
        <v>1</v>
      </c>
      <c r="C29379">
        <v>102</v>
      </c>
      <c r="D29379">
        <v>1</v>
      </c>
    </row>
    <row r="29383" spans="2:4">
      <c r="B29383">
        <v>1</v>
      </c>
      <c r="C29383">
        <v>102</v>
      </c>
      <c r="D2938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7"/>
  <sheetViews>
    <sheetView showGridLines="0" zoomScaleNormal="100" workbookViewId="0">
      <selection activeCell="G17" sqref="G17:G18"/>
    </sheetView>
  </sheetViews>
  <sheetFormatPr defaultRowHeight="12.75"/>
  <cols>
    <col min="1" max="1" width="11.28515625" style="110" bestFit="1" customWidth="1"/>
    <col min="2" max="2" width="18.7109375" style="110" bestFit="1" customWidth="1"/>
    <col min="3" max="3" width="8" style="110" bestFit="1" customWidth="1"/>
    <col min="4" max="4" width="7.28515625" style="110" bestFit="1" customWidth="1"/>
    <col min="5" max="5" width="6.85546875" style="110" bestFit="1" customWidth="1"/>
    <col min="6" max="6" width="6.28515625" style="110" bestFit="1" customWidth="1"/>
    <col min="7" max="7" width="6.85546875" style="110" bestFit="1" customWidth="1"/>
    <col min="8" max="8" width="10.42578125" style="110" bestFit="1" customWidth="1"/>
    <col min="9" max="9" width="9.140625" style="110"/>
    <col min="10" max="10" width="7.28515625" style="110" bestFit="1" customWidth="1"/>
    <col min="11" max="11" width="11" style="110" bestFit="1" customWidth="1"/>
    <col min="12" max="12" width="9.140625" style="110"/>
    <col min="13" max="13" width="10.140625" style="110" bestFit="1" customWidth="1"/>
    <col min="14" max="16" width="14" style="110" hidden="1" customWidth="1"/>
    <col min="17" max="17" width="8" style="110" hidden="1" customWidth="1"/>
    <col min="18" max="18" width="7.85546875" style="110" hidden="1" customWidth="1"/>
    <col min="19" max="19" width="6.5703125" style="110" hidden="1" customWidth="1"/>
    <col min="20" max="22" width="9.5703125" style="110" hidden="1" customWidth="1"/>
    <col min="23" max="23" width="11.85546875" style="110" bestFit="1" customWidth="1"/>
    <col min="24" max="24" width="9.140625" bestFit="1" customWidth="1"/>
    <col min="28" max="28" width="14.7109375" bestFit="1" customWidth="1"/>
  </cols>
  <sheetData>
    <row r="1" spans="1:28">
      <c r="A1" s="115" t="s">
        <v>11</v>
      </c>
      <c r="B1" s="116" t="s">
        <v>88</v>
      </c>
      <c r="C1" s="116" t="s">
        <v>1</v>
      </c>
      <c r="D1" s="116" t="s">
        <v>20</v>
      </c>
      <c r="E1" s="116" t="s">
        <v>4</v>
      </c>
      <c r="F1" s="116" t="s">
        <v>124</v>
      </c>
      <c r="G1" s="116" t="s">
        <v>81</v>
      </c>
      <c r="H1" s="116" t="s">
        <v>125</v>
      </c>
      <c r="I1" s="116" t="s">
        <v>123</v>
      </c>
      <c r="J1" s="116" t="s">
        <v>139</v>
      </c>
      <c r="K1" s="116" t="s">
        <v>6</v>
      </c>
      <c r="L1" s="116" t="s">
        <v>130</v>
      </c>
      <c r="M1" s="116" t="s">
        <v>126</v>
      </c>
      <c r="N1" s="126" t="s">
        <v>133</v>
      </c>
      <c r="O1" s="126" t="s">
        <v>136</v>
      </c>
      <c r="P1" s="126" t="s">
        <v>134</v>
      </c>
      <c r="Q1" s="126" t="s">
        <v>131</v>
      </c>
      <c r="R1" s="126" t="s">
        <v>132</v>
      </c>
      <c r="S1" s="116" t="s">
        <v>128</v>
      </c>
      <c r="T1" s="116" t="s">
        <v>129</v>
      </c>
      <c r="U1" s="116" t="s">
        <v>137</v>
      </c>
      <c r="V1" s="116" t="s">
        <v>138</v>
      </c>
      <c r="W1" s="116" t="s">
        <v>127</v>
      </c>
      <c r="X1" s="117" t="s">
        <v>135</v>
      </c>
    </row>
    <row r="2" spans="1:28">
      <c r="A2" s="137" t="s">
        <v>13</v>
      </c>
      <c r="B2" s="111" t="str">
        <f ca="1">[1]!GetTransco(A2,"Bloomberg", "Sophis")</f>
        <v>EU0009658145-FWD</v>
      </c>
      <c r="C2" s="111">
        <f ca="1">[1]!GetEquityFixings(A2)</f>
        <v>3552.64</v>
      </c>
      <c r="D2" s="112">
        <f ca="1">[1]!GetVolatilityPoint(A2,I2,K2,"Sophis","callMarket")</f>
        <v>0.17729742172747043</v>
      </c>
      <c r="E2" s="130">
        <v>-4.3E-3</v>
      </c>
      <c r="F2" s="130">
        <v>0.03</v>
      </c>
      <c r="G2" s="130">
        <v>-5.4999999999999997E-3</v>
      </c>
      <c r="H2" s="129" t="s">
        <v>8</v>
      </c>
      <c r="I2" s="131">
        <f ca="1">C2</f>
        <v>3552.64</v>
      </c>
      <c r="J2" s="140">
        <v>0.6</v>
      </c>
      <c r="K2" s="114">
        <f ca="1">EDATE(TODAY(),12*L2)</f>
        <v>46026</v>
      </c>
      <c r="L2" s="129">
        <v>5</v>
      </c>
      <c r="M2" s="112">
        <f ca="1">0.4*D2*C2*EXP(-G2*L2)*L2/C2</f>
        <v>0.36448152039916809</v>
      </c>
      <c r="N2" s="132">
        <f ca="1">LN(C2/(I2))</f>
        <v>0</v>
      </c>
      <c r="O2" s="133">
        <f ca="1">L2*(G2-E2-F2+D2^2/2)</f>
        <v>-7.7414060621978725E-2</v>
      </c>
      <c r="P2" s="134">
        <f ca="1">D2*SQRT(L2)</f>
        <v>0.39644908721807209</v>
      </c>
      <c r="Q2" s="134">
        <f ca="1">(N2+O2)/P2</f>
        <v>-0.19526860602757826</v>
      </c>
      <c r="R2" s="135">
        <f ca="1">Q2-P2</f>
        <v>-0.59171769324565038</v>
      </c>
      <c r="S2" s="124">
        <f ca="1">_xlfn.NORM.DIST(Q2,0,1,TRUE)</f>
        <v>0.42259133636605506</v>
      </c>
      <c r="T2" s="124">
        <f ca="1">_xlfn.NORM.DIST(R2,0,1,TRUE)</f>
        <v>0.27701982325501667</v>
      </c>
      <c r="U2" s="124">
        <f ca="1">_xlfn.NORM.DIST(-Q2,0,1,TRUE)</f>
        <v>0.57740866363394494</v>
      </c>
      <c r="V2" s="124">
        <f ca="1">_xlfn.NORM.DIST(-R2,0,1,TRUE)</f>
        <v>0.72298017674498327</v>
      </c>
      <c r="W2" s="112">
        <f ca="1">IF(H2="Call",(C2*S2-I2*EXP((-G2+E2+F2)*L2)*T2)/C2,IF(H2="Put",(EXP((-G2+E2+F2)*L2)*V2*I2-C2*U2)/C2,0))</f>
        <v>0</v>
      </c>
      <c r="X2" s="127">
        <v>0.12384078616972503</v>
      </c>
    </row>
    <row r="3" spans="1:28">
      <c r="A3" s="137"/>
      <c r="B3" s="111"/>
      <c r="C3" s="111"/>
      <c r="D3" s="112"/>
      <c r="E3" s="130"/>
      <c r="F3" s="130"/>
      <c r="G3" s="130"/>
      <c r="H3" s="129"/>
      <c r="I3" s="131"/>
      <c r="J3" s="140"/>
      <c r="K3" s="114"/>
      <c r="L3" s="129"/>
      <c r="M3" s="112"/>
      <c r="N3" s="111"/>
      <c r="O3" s="136"/>
      <c r="P3" s="112"/>
      <c r="Q3" s="112"/>
      <c r="R3" s="125"/>
      <c r="S3" s="124"/>
      <c r="T3" s="124"/>
      <c r="U3" s="124"/>
      <c r="V3" s="124"/>
      <c r="W3" s="112"/>
      <c r="X3" s="127"/>
    </row>
    <row r="4" spans="1:28">
      <c r="A4" s="138"/>
      <c r="B4" s="111"/>
      <c r="C4" s="111"/>
      <c r="D4" s="112"/>
      <c r="E4" s="111"/>
      <c r="F4" s="113"/>
      <c r="G4" s="111"/>
      <c r="H4" s="111"/>
      <c r="I4" s="113"/>
      <c r="J4" s="113"/>
      <c r="K4" s="114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8"/>
    </row>
    <row r="5" spans="1:28">
      <c r="A5" s="138"/>
      <c r="B5" s="111"/>
      <c r="C5" s="111"/>
      <c r="D5" s="112"/>
      <c r="E5" s="111"/>
      <c r="F5" s="113"/>
      <c r="G5" s="111"/>
      <c r="H5" s="111"/>
      <c r="I5" s="113"/>
      <c r="J5" s="113"/>
      <c r="K5" s="114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8"/>
    </row>
    <row r="6" spans="1:28">
      <c r="A6" s="138"/>
      <c r="B6" s="111"/>
      <c r="C6" s="111"/>
      <c r="D6" s="112"/>
      <c r="E6" s="111"/>
      <c r="F6" s="113"/>
      <c r="G6" s="111"/>
      <c r="H6" s="111"/>
      <c r="I6" s="113"/>
      <c r="J6" s="113"/>
      <c r="K6" s="114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8"/>
    </row>
    <row r="7" spans="1:28">
      <c r="A7" s="138"/>
      <c r="B7" s="111"/>
      <c r="C7" s="111"/>
      <c r="D7" s="112"/>
      <c r="E7" s="111"/>
      <c r="F7" s="113"/>
      <c r="G7" s="111"/>
      <c r="H7" s="111"/>
      <c r="I7" s="113"/>
      <c r="J7" s="113"/>
      <c r="K7" s="114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8"/>
    </row>
    <row r="8" spans="1:28">
      <c r="A8" s="138"/>
      <c r="B8" s="111"/>
      <c r="C8" s="111"/>
      <c r="D8" s="112"/>
      <c r="E8" s="111"/>
      <c r="F8" s="113"/>
      <c r="G8" s="111"/>
      <c r="H8" s="111"/>
      <c r="I8" s="113"/>
      <c r="J8" s="113"/>
      <c r="K8" s="114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8"/>
    </row>
    <row r="9" spans="1:28">
      <c r="A9" s="138"/>
      <c r="B9" s="111"/>
      <c r="C9" s="111"/>
      <c r="D9" s="112"/>
      <c r="E9" s="111"/>
      <c r="F9" s="113"/>
      <c r="G9" s="111"/>
      <c r="H9" s="111"/>
      <c r="I9" s="113"/>
      <c r="J9" s="113"/>
      <c r="K9" s="114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8"/>
    </row>
    <row r="10" spans="1:28">
      <c r="A10" s="138"/>
      <c r="B10" s="111"/>
      <c r="C10" s="111"/>
      <c r="D10" s="112"/>
      <c r="E10" s="111"/>
      <c r="F10" s="113"/>
      <c r="G10" s="111"/>
      <c r="H10" s="111"/>
      <c r="I10" s="113"/>
      <c r="J10" s="113"/>
      <c r="K10" s="114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8"/>
    </row>
    <row r="11" spans="1:28">
      <c r="A11" s="138"/>
      <c r="B11" s="111"/>
      <c r="C11" s="111"/>
      <c r="D11" s="112"/>
      <c r="E11" s="111"/>
      <c r="F11" s="113"/>
      <c r="G11" s="111"/>
      <c r="H11" s="111"/>
      <c r="I11" s="113"/>
      <c r="J11" s="113"/>
      <c r="K11" s="114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8"/>
      <c r="AB11" s="128"/>
    </row>
    <row r="12" spans="1:28">
      <c r="A12" s="138"/>
      <c r="B12" s="111"/>
      <c r="C12" s="111"/>
      <c r="D12" s="112"/>
      <c r="E12" s="111"/>
      <c r="F12" s="113"/>
      <c r="G12" s="111"/>
      <c r="H12" s="111"/>
      <c r="I12" s="113"/>
      <c r="J12" s="113"/>
      <c r="K12" s="114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8"/>
    </row>
    <row r="13" spans="1:28">
      <c r="A13" s="138"/>
      <c r="B13" s="111"/>
      <c r="C13" s="111"/>
      <c r="D13" s="112"/>
      <c r="E13" s="111"/>
      <c r="F13" s="113"/>
      <c r="G13" s="111"/>
      <c r="H13" s="111"/>
      <c r="I13" s="113"/>
      <c r="J13" s="113"/>
      <c r="K13" s="114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8"/>
    </row>
    <row r="14" spans="1:28">
      <c r="A14" s="138"/>
      <c r="B14" s="111"/>
      <c r="C14" s="111"/>
      <c r="D14" s="112"/>
      <c r="E14" s="111"/>
      <c r="F14" s="113"/>
      <c r="G14" s="111"/>
      <c r="H14" s="111"/>
      <c r="I14" s="113"/>
      <c r="J14" s="113"/>
      <c r="K14" s="114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8"/>
    </row>
    <row r="15" spans="1:28">
      <c r="A15" s="138"/>
      <c r="B15" s="111"/>
      <c r="C15" s="111"/>
      <c r="D15" s="112"/>
      <c r="E15" s="111"/>
      <c r="F15" s="113"/>
      <c r="G15" s="111"/>
      <c r="H15" s="111"/>
      <c r="I15" s="113"/>
      <c r="J15" s="113"/>
      <c r="K15" s="114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8"/>
    </row>
    <row r="16" spans="1:28">
      <c r="A16" s="138"/>
      <c r="B16" s="111"/>
      <c r="C16" s="111"/>
      <c r="D16" s="112"/>
      <c r="E16" s="111"/>
      <c r="F16" s="113"/>
      <c r="G16" s="111"/>
      <c r="H16" s="111"/>
      <c r="I16" s="113"/>
      <c r="J16" s="113"/>
      <c r="K16" s="114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8"/>
    </row>
    <row r="17" spans="1:24">
      <c r="A17" s="139"/>
      <c r="B17" s="119"/>
      <c r="C17" s="119"/>
      <c r="D17" s="120"/>
      <c r="E17" s="119"/>
      <c r="F17" s="121"/>
      <c r="G17" s="119"/>
      <c r="H17" s="119"/>
      <c r="I17" s="121"/>
      <c r="J17" s="121"/>
      <c r="K17" s="122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23"/>
    </row>
  </sheetData>
  <dataValidations count="1">
    <dataValidation type="list" allowBlank="1" showInputMessage="1" showErrorMessage="1" sqref="H2:H17">
      <formula1>"Call,Put,PDI"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73</vt:i4>
      </vt:variant>
    </vt:vector>
  </HeadingPairs>
  <TitlesOfParts>
    <vt:vector size="78" baseType="lpstr">
      <vt:lpstr>Main</vt:lpstr>
      <vt:lpstr>Data</vt:lpstr>
      <vt:lpstr>Data2</vt:lpstr>
      <vt:lpstr>Sheet3</vt:lpstr>
      <vt:lpstr>Vanille</vt:lpstr>
      <vt:lpstr>BSGreeks?</vt:lpstr>
      <vt:lpstr>CCy</vt:lpstr>
      <vt:lpstr>CorrelVolSpot</vt:lpstr>
      <vt:lpstr>cpn</vt:lpstr>
      <vt:lpstr>cpn_barrier</vt:lpstr>
      <vt:lpstr>Delta</vt:lpstr>
      <vt:lpstr>DeltaHeston</vt:lpstr>
      <vt:lpstr>DIVIDENDS_EU0009658145_FWD_C37</vt:lpstr>
      <vt:lpstr>DIVIDENDYIELDS_EU0009658145_FWD_B50</vt:lpstr>
      <vt:lpstr>DIVIDENDYIELDS_EU0009658145_FWD_B79</vt:lpstr>
      <vt:lpstr>DIVIDENDYIELDS_GB0001383545_FWD_B50</vt:lpstr>
      <vt:lpstr>Duration</vt:lpstr>
      <vt:lpstr>Duration_Heston</vt:lpstr>
      <vt:lpstr>dvd</vt:lpstr>
      <vt:lpstr>Exec_time</vt:lpstr>
      <vt:lpstr>Exec_time_greeks</vt:lpstr>
      <vt:lpstr>Exec_time_greeks_Heston</vt:lpstr>
      <vt:lpstr>Exec_time2</vt:lpstr>
      <vt:lpstr>freq</vt:lpstr>
      <vt:lpstr>Funding</vt:lpstr>
      <vt:lpstr>Gamma</vt:lpstr>
      <vt:lpstr>GammaHeston</vt:lpstr>
      <vt:lpstr>HEADERINDEX_EU0009658145_FWD_B109</vt:lpstr>
      <vt:lpstr>HEADERINDEX_FR0003500008_FWD_B109</vt:lpstr>
      <vt:lpstr>HGreeks?</vt:lpstr>
      <vt:lpstr>INDEX_EU0009658145_FWD_B109</vt:lpstr>
      <vt:lpstr>INDEX_FR0003500008_FWD_B109</vt:lpstr>
      <vt:lpstr>Matu</vt:lpstr>
      <vt:lpstr>nb_simul</vt:lpstr>
      <vt:lpstr>Nominal</vt:lpstr>
      <vt:lpstr>pdi_barrier</vt:lpstr>
      <vt:lpstr>pdi_strike</vt:lpstr>
      <vt:lpstr>PriceBS</vt:lpstr>
      <vt:lpstr>PriceHeston</vt:lpstr>
      <vt:lpstr>Prob_recall</vt:lpstr>
      <vt:lpstr>Prob_recall2</vt:lpstr>
      <vt:lpstr>RATECURVE_EUR_B16</vt:lpstr>
      <vt:lpstr>RATECURVE_EUR_B44</vt:lpstr>
      <vt:lpstr>RATECURVE_EUR_F16</vt:lpstr>
      <vt:lpstr>RATECURVE_EUR_G16</vt:lpstr>
      <vt:lpstr>RATECURVE_EUR_H16</vt:lpstr>
      <vt:lpstr>RATECURVE_EUR_H44</vt:lpstr>
      <vt:lpstr>RATECURVE_EUR_K16</vt:lpstr>
      <vt:lpstr>RATECURVE_EUR_L16</vt:lpstr>
      <vt:lpstr>RATECURVE_EUR_M16</vt:lpstr>
      <vt:lpstr>RATECURVE_EUR_M44</vt:lpstr>
      <vt:lpstr>recall_barrier</vt:lpstr>
      <vt:lpstr>Recall_force</vt:lpstr>
      <vt:lpstr>repo</vt:lpstr>
      <vt:lpstr>REPOCURVE_EU0009658145_FWD_F50</vt:lpstr>
      <vt:lpstr>REPOCURVE_EU0009658145_FWD_G50</vt:lpstr>
      <vt:lpstr>REPOCURVE_EU0009658145_FWD_H50</vt:lpstr>
      <vt:lpstr>REPOCURVE_EU0009658145_FWD_H79</vt:lpstr>
      <vt:lpstr>REPOCURVE_GB0001383545_FWD_G50</vt:lpstr>
      <vt:lpstr>REPOCURVE_GB0001383545_FWD_H50</vt:lpstr>
      <vt:lpstr>S0</vt:lpstr>
      <vt:lpstr>State</vt:lpstr>
      <vt:lpstr>TRANSCO_DAX_C4</vt:lpstr>
      <vt:lpstr>TRANSCO_DAX_H32</vt:lpstr>
      <vt:lpstr>TRANSCO_SX5E_B4</vt:lpstr>
      <vt:lpstr>TRANSCO_SX5E_C4</vt:lpstr>
      <vt:lpstr>TRANSCO_UKX_B4</vt:lpstr>
      <vt:lpstr>tx</vt:lpstr>
      <vt:lpstr>Underlying_name</vt:lpstr>
      <vt:lpstr>Vega</vt:lpstr>
      <vt:lpstr>VegaHeston</vt:lpstr>
      <vt:lpstr>vol</vt:lpstr>
      <vt:lpstr>Vol_moy</vt:lpstr>
      <vt:lpstr>Vol_vol</vt:lpstr>
      <vt:lpstr>VOLATILITY_EU0009658145_FWD_B81</vt:lpstr>
      <vt:lpstr>VOLATILITY_GB0001383545_FWD_B81</vt:lpstr>
      <vt:lpstr>VOLATILITYPARAMLASTUPDATETIME_EU0009658145_FWD_E4</vt:lpstr>
      <vt:lpstr>VOLATILITYPARAMLASTUPDATETIME_FR0000045072_FWD_E4</vt:lpstr>
    </vt:vector>
  </TitlesOfParts>
  <Company>CA-CIB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BENOLIEL, Tom (CA-CIB)</dc:creator>
  <cp:lastModifiedBy>NADJARI, Anthony (CA-CIB)</cp:lastModifiedBy>
  <dcterms:created xsi:type="dcterms:W3CDTF">2020-08-10T07:07:56Z</dcterms:created>
  <dcterms:modified xsi:type="dcterms:W3CDTF">2021-04-08T08:05:27Z</dcterms:modified>
</cp:coreProperties>
</file>